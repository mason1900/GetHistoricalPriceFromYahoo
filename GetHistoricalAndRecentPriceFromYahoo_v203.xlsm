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CapitalBudgeting\GetHistoricalPriceFromYahoo\"/>
    </mc:Choice>
  </mc:AlternateContent>
  <xr:revisionPtr revIDLastSave="0" documentId="13_ncr:1_{E2922F57-631A-4E15-A1D7-ADBD2408AE2A}" xr6:coauthVersionLast="43" xr6:coauthVersionMax="43" xr10:uidLastSave="{00000000-0000-0000-0000-000000000000}"/>
  <bookViews>
    <workbookView xWindow="0" yWindow="0" windowWidth="28800" windowHeight="15600" xr2:uid="{00000000-000D-0000-FFFF-FFFF00000000}"/>
  </bookViews>
  <sheets>
    <sheet name="GetHistoricalPriceYahoo" sheetId="2" r:id="rId1"/>
    <sheet name="GetRecentPriceYahoo" sheetId="3" r:id="rId2"/>
    <sheet name="YHHistoricalPrices" sheetId="4" r:id="rId3"/>
    <sheet name="YHHistoricalPricesAdjusted" sheetId="5" r:id="rId4"/>
    <sheet name="YHCalculatedReturns" sheetId="6" r:id="rId5"/>
  </sheets>
  <functionGroups builtInGroupCount="19"/>
  <definedNames>
    <definedName name="JSONResponseArea">GetRecentPriceYahoo!$BG$3:$EB$242</definedName>
    <definedName name="JSONstart">GetRecentPriceYahoo!$BG$3</definedName>
    <definedName name="ResPriceAdjHeadingStart">YHHistoricalPricesAdjusted!$A$3</definedName>
    <definedName name="ResPriceHeadingStart">YHHistoricalPrices!$A$3</definedName>
    <definedName name="ResReturnHeadingStart">YHCalculatedReturns!$A$3</definedName>
    <definedName name="YHappDay">GetHistoricalPriceYahoo!$AD$14</definedName>
    <definedName name="YHappMonth">GetHistoricalPriceYahoo!$AD$13</definedName>
    <definedName name="YHappUserDay">GetHistoricalPriceYahoo!$D$6</definedName>
    <definedName name="YHappUserMonth">GetHistoricalPriceYahoo!$C$6</definedName>
    <definedName name="YHappUserYear">GetHistoricalPriceYahoo!$B$6</definedName>
    <definedName name="YHappYear">GetHistoricalPriceYahoo!$AD$12</definedName>
    <definedName name="YHBegDateDaily">GetHistoricalPriceYahoo!$AD$5</definedName>
    <definedName name="YHBegDateMonthly">GetHistoricalPriceYahoo!$AD$8</definedName>
    <definedName name="YHCookie">GetHistoricalPriceYahoo!$I$8</definedName>
    <definedName name="YHCrumb">GetHistoricalPriceYahoo!$I$7</definedName>
    <definedName name="YHCurrentTicker">GetHistoricalPriceYahoo!$I$4</definedName>
    <definedName name="YHDataAreaAdjClose">GetHistoricalPriceYahoo!$AQ$3</definedName>
    <definedName name="YHDataAreaClose">GetHistoricalPriceYahoo!$AP$3</definedName>
    <definedName name="YHDataAreaDate">GetHistoricalPriceYahoo!$AL$3</definedName>
    <definedName name="YHDataAreaEnd">GetHistoricalPriceYahoo!$AT$3</definedName>
    <definedName name="YHDataAreaHeadingEnd">GetHistoricalPriceYahoo!$AT$2</definedName>
    <definedName name="YHDataAreaHeadingStart">GetHistoricalPriceYahoo!$AK$2</definedName>
    <definedName name="YHDataAreaNumberHeadings">GetHistoricalPriceYahoo!$AM$3:$AQ$3</definedName>
    <definedName name="YHDataAreaTicker">GetHistoricalPriceYahoo!$AK$3</definedName>
    <definedName name="YHDataAreaUpHeadingTicker">GetHistoricalPriceYahoo!$AO$2</definedName>
    <definedName name="YHDataAreaVolume">GetHistoricalPriceYahoo!$AR$3</definedName>
    <definedName name="YHDataType">GetHistoricalPriceYahoo!$B$7</definedName>
    <definedName name="YHDebugFlag">GetHistoricalPriceYahoo!$B$9</definedName>
    <definedName name="YHEndDateDaily">GetHistoricalPriceYahoo!$AD$6</definedName>
    <definedName name="YHEndDateMonthly">GetHistoricalPriceYahoo!$AD$9</definedName>
    <definedName name="YHErrorCount">GetHistoricalPriceYahoo!$I$9</definedName>
    <definedName name="YHErrorsMessageHeading">GetHistoricalPriceYahoo!$I$16</definedName>
    <definedName name="YHErrorsTickerHeading">GetHistoricalPriceYahoo!$H$16</definedName>
    <definedName name="YHErrorsURLHeading">GetHistoricalPriceYahoo!$J$16</definedName>
    <definedName name="YHExtractMethod">GetHistoricalPriceYahoo!$B$10</definedName>
    <definedName name="YHFactoryArea1">GetHistoricalPriceYahoo!$AG$5:$AI$6</definedName>
    <definedName name="YHFactoryArea2">GetHistoricalPriceYahoo!$AG$7:$AI$10</definedName>
    <definedName name="YHFactoryPeriod">GetHistoricalPriceYahoo!$AG$3</definedName>
    <definedName name="YHInputArea1">GetHistoricalPriceYahoo!$B$5:$D$6</definedName>
    <definedName name="YHInputArea2">GetHistoricalPriceYahoo!$B$7:$D$10</definedName>
    <definedName name="YHNumPeriod">GetHistoricalPriceYahoo!$I$3</definedName>
    <definedName name="YHOptCSV">GetHistoricalPriceYahoo!$AC$25</definedName>
    <definedName name="YHOptWorkArea">GetHistoricalPriceYahoo!$AC$23</definedName>
    <definedName name="YHOptWorksheet">GetHistoricalPriceYahoo!$AC$24</definedName>
    <definedName name="YHPeriod">GetHistoricalPriceYahoo!$B$3</definedName>
    <definedName name="YHPriceInfoSwitch">GetHistoricalPriceYahoo!$B$8</definedName>
    <definedName name="YHProcess">GetHistoricalPriceYahoo!$I$6</definedName>
    <definedName name="YHRecentTickerEnding">GetRecentPriceYahoo!$B$124</definedName>
    <definedName name="YHRecentTickerHeading">GetRecentPriceYahoo!$B$3</definedName>
    <definedName name="YHResponseHeadingEnd">GetHistoricalPriceYahoo!$AZ$2</definedName>
    <definedName name="YHResponseHeadingStart">GetHistoricalPriceYahoo!$AV$2</definedName>
    <definedName name="YHStatus">GetHistoricalPriceYahoo!$I$5</definedName>
    <definedName name="YHSummaryErrorHeading">GetHistoricalPriceYahoo!$E$16</definedName>
    <definedName name="YHSummaryHistoricalDateHeading">GetHistoricalPriceYahoo!$D$16</definedName>
    <definedName name="YHSummaryPriceHeading">GetHistoricalPriceYahoo!$C$16</definedName>
    <definedName name="YHTickerInputHeading">GetHistoricalPriceYahoo!$B$16</definedName>
    <definedName name="YHWarningCount">GetHistoricalPriceYahoo!$I$10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F6" i="6" l="1"/>
  <c r="CF7" i="6"/>
  <c r="CF8" i="6"/>
  <c r="CF9" i="6"/>
  <c r="CF10" i="6"/>
  <c r="CF11" i="6"/>
  <c r="CF12" i="6"/>
  <c r="CF13" i="6"/>
  <c r="CF14" i="6"/>
  <c r="CF15" i="6"/>
  <c r="CF16" i="6"/>
  <c r="CF17" i="6"/>
  <c r="CF18" i="6"/>
  <c r="CF19" i="6"/>
  <c r="CF20" i="6"/>
  <c r="CF21" i="6"/>
  <c r="CF22" i="6"/>
  <c r="CF23" i="6"/>
  <c r="CF24" i="6"/>
  <c r="CF25" i="6"/>
  <c r="CF26" i="6"/>
  <c r="CF27" i="6"/>
  <c r="CF28" i="6"/>
  <c r="CF29" i="6"/>
  <c r="CF30" i="6"/>
  <c r="CF31" i="6"/>
  <c r="CF32" i="6"/>
  <c r="CF33" i="6"/>
  <c r="CF34" i="6"/>
  <c r="CF35" i="6"/>
  <c r="CF36" i="6"/>
  <c r="CF37" i="6"/>
  <c r="CF38" i="6"/>
  <c r="CF39" i="6"/>
  <c r="CF40" i="6"/>
  <c r="CF41" i="6"/>
  <c r="CF42" i="6"/>
  <c r="CF43" i="6"/>
  <c r="CF44" i="6"/>
  <c r="CF45" i="6"/>
  <c r="CF46" i="6"/>
  <c r="CF47" i="6"/>
  <c r="CF48" i="6"/>
  <c r="CF49" i="6"/>
  <c r="CF50" i="6"/>
  <c r="CF51" i="6"/>
  <c r="CF52" i="6"/>
  <c r="CF53" i="6"/>
  <c r="CF54" i="6"/>
  <c r="CF55" i="6"/>
  <c r="CF56" i="6"/>
  <c r="CF57" i="6"/>
  <c r="CF58" i="6"/>
  <c r="CF59" i="6"/>
  <c r="CF60" i="6"/>
  <c r="CF61" i="6"/>
  <c r="CF62" i="6"/>
  <c r="CF63" i="6"/>
  <c r="CF64" i="6"/>
  <c r="CF5" i="6"/>
  <c r="CE6" i="6"/>
  <c r="CE7" i="6"/>
  <c r="CE8" i="6"/>
  <c r="CE9" i="6"/>
  <c r="CE10" i="6"/>
  <c r="CE11" i="6"/>
  <c r="CE12" i="6"/>
  <c r="CE13" i="6"/>
  <c r="CE14" i="6"/>
  <c r="CE15" i="6"/>
  <c r="CE16" i="6"/>
  <c r="CE17" i="6"/>
  <c r="CE18" i="6"/>
  <c r="CE19" i="6"/>
  <c r="CE20" i="6"/>
  <c r="CE21" i="6"/>
  <c r="CE22" i="6"/>
  <c r="CE23" i="6"/>
  <c r="CE24" i="6"/>
  <c r="CE25" i="6"/>
  <c r="CE26" i="6"/>
  <c r="CE27" i="6"/>
  <c r="CE28" i="6"/>
  <c r="CE29" i="6"/>
  <c r="CE30" i="6"/>
  <c r="CE31" i="6"/>
  <c r="CE32" i="6"/>
  <c r="CE33" i="6"/>
  <c r="CE34" i="6"/>
  <c r="CE35" i="6"/>
  <c r="CE36" i="6"/>
  <c r="CE37" i="6"/>
  <c r="CE38" i="6"/>
  <c r="CE39" i="6"/>
  <c r="CE40" i="6"/>
  <c r="CE41" i="6"/>
  <c r="CE42" i="6"/>
  <c r="CE43" i="6"/>
  <c r="CE44" i="6"/>
  <c r="CE45" i="6"/>
  <c r="CE46" i="6"/>
  <c r="CE47" i="6"/>
  <c r="CE48" i="6"/>
  <c r="CE49" i="6"/>
  <c r="CE50" i="6"/>
  <c r="CE51" i="6"/>
  <c r="CE52" i="6"/>
  <c r="CE53" i="6"/>
  <c r="CE54" i="6"/>
  <c r="CE55" i="6"/>
  <c r="CE56" i="6"/>
  <c r="CE57" i="6"/>
  <c r="CE58" i="6"/>
  <c r="CE59" i="6"/>
  <c r="CE60" i="6"/>
  <c r="CE61" i="6"/>
  <c r="CE62" i="6"/>
  <c r="CE63" i="6"/>
  <c r="CE64" i="6"/>
  <c r="CE5" i="6"/>
  <c r="CD6" i="6"/>
  <c r="CD7" i="6"/>
  <c r="CD8" i="6"/>
  <c r="CD9" i="6"/>
  <c r="CD10" i="6"/>
  <c r="CD11" i="6"/>
  <c r="CD12" i="6"/>
  <c r="CD13" i="6"/>
  <c r="CD14" i="6"/>
  <c r="CD15" i="6"/>
  <c r="CD16" i="6"/>
  <c r="CD17" i="6"/>
  <c r="CD18" i="6"/>
  <c r="CD19" i="6"/>
  <c r="CD20" i="6"/>
  <c r="CD21" i="6"/>
  <c r="CD22" i="6"/>
  <c r="CD23" i="6"/>
  <c r="CD24" i="6"/>
  <c r="CD25" i="6"/>
  <c r="CD26" i="6"/>
  <c r="CD27" i="6"/>
  <c r="CD28" i="6"/>
  <c r="CD29" i="6"/>
  <c r="CD30" i="6"/>
  <c r="CD31" i="6"/>
  <c r="CD32" i="6"/>
  <c r="CD33" i="6"/>
  <c r="CD34" i="6"/>
  <c r="CD35" i="6"/>
  <c r="CD36" i="6"/>
  <c r="CD37" i="6"/>
  <c r="CD38" i="6"/>
  <c r="CD39" i="6"/>
  <c r="CD40" i="6"/>
  <c r="CD41" i="6"/>
  <c r="CD42" i="6"/>
  <c r="CD43" i="6"/>
  <c r="CD44" i="6"/>
  <c r="CD45" i="6"/>
  <c r="CD46" i="6"/>
  <c r="CD47" i="6"/>
  <c r="CD48" i="6"/>
  <c r="CD49" i="6"/>
  <c r="CD50" i="6"/>
  <c r="CD51" i="6"/>
  <c r="CD52" i="6"/>
  <c r="CD53" i="6"/>
  <c r="CD54" i="6"/>
  <c r="CD55" i="6"/>
  <c r="CD56" i="6"/>
  <c r="CD57" i="6"/>
  <c r="CD58" i="6"/>
  <c r="CD59" i="6"/>
  <c r="CD60" i="6"/>
  <c r="CD61" i="6"/>
  <c r="CD62" i="6"/>
  <c r="CD63" i="6"/>
  <c r="CD64" i="6"/>
  <c r="CD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5" i="6"/>
  <c r="CC56" i="6"/>
  <c r="CC57" i="6"/>
  <c r="CC58" i="6"/>
  <c r="CC59" i="6"/>
  <c r="CC60" i="6"/>
  <c r="CC61" i="6"/>
  <c r="CC62" i="6"/>
  <c r="CC63" i="6"/>
  <c r="CC64" i="6"/>
  <c r="CC5" i="6"/>
  <c r="CB6" i="6"/>
  <c r="CB7" i="6"/>
  <c r="CB8" i="6"/>
  <c r="CB9" i="6"/>
  <c r="CB10" i="6"/>
  <c r="CB11" i="6"/>
  <c r="CB12" i="6"/>
  <c r="CB13" i="6"/>
  <c r="CB14" i="6"/>
  <c r="CB15" i="6"/>
  <c r="CB16" i="6"/>
  <c r="CB17" i="6"/>
  <c r="CB18" i="6"/>
  <c r="CB19" i="6"/>
  <c r="CB20" i="6"/>
  <c r="CB21" i="6"/>
  <c r="CB22" i="6"/>
  <c r="CB23" i="6"/>
  <c r="CB24" i="6"/>
  <c r="CB25" i="6"/>
  <c r="CB26" i="6"/>
  <c r="CB27" i="6"/>
  <c r="CB28" i="6"/>
  <c r="CB29" i="6"/>
  <c r="CB30" i="6"/>
  <c r="CB31" i="6"/>
  <c r="CB32" i="6"/>
  <c r="CB33" i="6"/>
  <c r="CB34" i="6"/>
  <c r="CB35" i="6"/>
  <c r="CB36" i="6"/>
  <c r="CB37" i="6"/>
  <c r="CB38" i="6"/>
  <c r="CB39" i="6"/>
  <c r="CB40" i="6"/>
  <c r="CB41" i="6"/>
  <c r="CB42" i="6"/>
  <c r="CB43" i="6"/>
  <c r="CB44" i="6"/>
  <c r="CB45" i="6"/>
  <c r="CB46" i="6"/>
  <c r="CB47" i="6"/>
  <c r="CB48" i="6"/>
  <c r="CB49" i="6"/>
  <c r="CB50" i="6"/>
  <c r="CB51" i="6"/>
  <c r="CB52" i="6"/>
  <c r="CB53" i="6"/>
  <c r="CB54" i="6"/>
  <c r="CB55" i="6"/>
  <c r="CB56" i="6"/>
  <c r="CB57" i="6"/>
  <c r="CB58" i="6"/>
  <c r="CB59" i="6"/>
  <c r="CB60" i="6"/>
  <c r="CB61" i="6"/>
  <c r="CB62" i="6"/>
  <c r="CB63" i="6"/>
  <c r="CB64" i="6"/>
  <c r="CB5" i="6"/>
  <c r="CA6" i="6"/>
  <c r="CA7" i="6"/>
  <c r="CA8" i="6"/>
  <c r="CA9" i="6"/>
  <c r="CA10" i="6"/>
  <c r="CA11" i="6"/>
  <c r="CA12" i="6"/>
  <c r="CA13" i="6"/>
  <c r="CA14" i="6"/>
  <c r="CA15" i="6"/>
  <c r="CA16" i="6"/>
  <c r="CA17" i="6"/>
  <c r="CA18" i="6"/>
  <c r="CA19" i="6"/>
  <c r="CA20" i="6"/>
  <c r="CA21" i="6"/>
  <c r="CA22" i="6"/>
  <c r="CA23" i="6"/>
  <c r="CA24" i="6"/>
  <c r="CA25" i="6"/>
  <c r="CA26" i="6"/>
  <c r="CA27" i="6"/>
  <c r="CA28" i="6"/>
  <c r="CA29" i="6"/>
  <c r="CA30" i="6"/>
  <c r="CA31" i="6"/>
  <c r="CA32" i="6"/>
  <c r="CA33" i="6"/>
  <c r="CA34" i="6"/>
  <c r="CA35" i="6"/>
  <c r="CA36" i="6"/>
  <c r="CA37" i="6"/>
  <c r="CA38" i="6"/>
  <c r="CA39" i="6"/>
  <c r="CA40" i="6"/>
  <c r="CA41" i="6"/>
  <c r="CA42" i="6"/>
  <c r="CA43" i="6"/>
  <c r="CA44" i="6"/>
  <c r="CA45" i="6"/>
  <c r="CA46" i="6"/>
  <c r="CA47" i="6"/>
  <c r="CA48" i="6"/>
  <c r="CA49" i="6"/>
  <c r="CA50" i="6"/>
  <c r="CA51" i="6"/>
  <c r="CA52" i="6"/>
  <c r="CA53" i="6"/>
  <c r="CA54" i="6"/>
  <c r="CA55" i="6"/>
  <c r="CA56" i="6"/>
  <c r="CA57" i="6"/>
  <c r="CA58" i="6"/>
  <c r="CA59" i="6"/>
  <c r="CA60" i="6"/>
  <c r="CA61" i="6"/>
  <c r="CA62" i="6"/>
  <c r="CA63" i="6"/>
  <c r="CA64" i="6"/>
  <c r="CA5" i="6"/>
  <c r="BZ6" i="6"/>
  <c r="BZ7" i="6"/>
  <c r="BZ8" i="6"/>
  <c r="BZ9" i="6"/>
  <c r="BZ10" i="6"/>
  <c r="BZ11" i="6"/>
  <c r="BZ12" i="6"/>
  <c r="BZ13" i="6"/>
  <c r="BZ14" i="6"/>
  <c r="BZ15" i="6"/>
  <c r="BZ16" i="6"/>
  <c r="BZ17" i="6"/>
  <c r="BZ18" i="6"/>
  <c r="BZ19" i="6"/>
  <c r="BZ20" i="6"/>
  <c r="BZ21" i="6"/>
  <c r="BZ22" i="6"/>
  <c r="BZ23" i="6"/>
  <c r="BZ24" i="6"/>
  <c r="BZ25" i="6"/>
  <c r="BZ26" i="6"/>
  <c r="BZ27" i="6"/>
  <c r="BZ28" i="6"/>
  <c r="BZ29" i="6"/>
  <c r="BZ30" i="6"/>
  <c r="BZ31" i="6"/>
  <c r="BZ32" i="6"/>
  <c r="BZ33" i="6"/>
  <c r="BZ34" i="6"/>
  <c r="BZ35" i="6"/>
  <c r="BZ36" i="6"/>
  <c r="BZ37" i="6"/>
  <c r="BZ38" i="6"/>
  <c r="BZ39" i="6"/>
  <c r="BZ40" i="6"/>
  <c r="BZ41" i="6"/>
  <c r="BZ42" i="6"/>
  <c r="BZ43" i="6"/>
  <c r="BZ44" i="6"/>
  <c r="BZ45" i="6"/>
  <c r="BZ46" i="6"/>
  <c r="BZ47" i="6"/>
  <c r="BZ48" i="6"/>
  <c r="BZ49" i="6"/>
  <c r="BZ50" i="6"/>
  <c r="BZ51" i="6"/>
  <c r="BZ52" i="6"/>
  <c r="BZ53" i="6"/>
  <c r="BZ54" i="6"/>
  <c r="BZ55" i="6"/>
  <c r="BZ56" i="6"/>
  <c r="BZ57" i="6"/>
  <c r="BZ58" i="6"/>
  <c r="BZ59" i="6"/>
  <c r="BZ60" i="6"/>
  <c r="BZ61" i="6"/>
  <c r="BZ62" i="6"/>
  <c r="BZ63" i="6"/>
  <c r="BZ64" i="6"/>
  <c r="BZ5" i="6"/>
  <c r="BY6" i="6"/>
  <c r="BY7" i="6"/>
  <c r="BY8" i="6"/>
  <c r="BY9" i="6"/>
  <c r="BY10" i="6"/>
  <c r="BY11" i="6"/>
  <c r="BY12" i="6"/>
  <c r="BY13" i="6"/>
  <c r="BY14" i="6"/>
  <c r="BY15" i="6"/>
  <c r="BY16" i="6"/>
  <c r="BY17" i="6"/>
  <c r="BY18" i="6"/>
  <c r="BY19" i="6"/>
  <c r="BY20" i="6"/>
  <c r="BY21" i="6"/>
  <c r="BY22" i="6"/>
  <c r="BY23" i="6"/>
  <c r="BY24" i="6"/>
  <c r="BY25" i="6"/>
  <c r="BY26" i="6"/>
  <c r="BY27" i="6"/>
  <c r="BY28" i="6"/>
  <c r="BY29" i="6"/>
  <c r="BY30" i="6"/>
  <c r="BY31" i="6"/>
  <c r="BY32" i="6"/>
  <c r="BY33" i="6"/>
  <c r="BY34" i="6"/>
  <c r="BY35" i="6"/>
  <c r="BY36" i="6"/>
  <c r="BY37" i="6"/>
  <c r="BY38" i="6"/>
  <c r="BY39" i="6"/>
  <c r="BY40" i="6"/>
  <c r="BY41" i="6"/>
  <c r="BY42" i="6"/>
  <c r="BY43" i="6"/>
  <c r="BY44" i="6"/>
  <c r="BY45" i="6"/>
  <c r="BY46" i="6"/>
  <c r="BY47" i="6"/>
  <c r="BY48" i="6"/>
  <c r="BY49" i="6"/>
  <c r="BY50" i="6"/>
  <c r="BY51" i="6"/>
  <c r="BY52" i="6"/>
  <c r="BY53" i="6"/>
  <c r="BY54" i="6"/>
  <c r="BY55" i="6"/>
  <c r="BY56" i="6"/>
  <c r="BY57" i="6"/>
  <c r="BY58" i="6"/>
  <c r="BY59" i="6"/>
  <c r="BY60" i="6"/>
  <c r="BY61" i="6"/>
  <c r="BY62" i="6"/>
  <c r="BY63" i="6"/>
  <c r="BY64" i="6"/>
  <c r="BY5" i="6"/>
  <c r="BX6" i="6"/>
  <c r="BX7" i="6"/>
  <c r="BX8" i="6"/>
  <c r="BX9" i="6"/>
  <c r="BX10" i="6"/>
  <c r="BX11" i="6"/>
  <c r="BX12" i="6"/>
  <c r="BX13" i="6"/>
  <c r="BX14" i="6"/>
  <c r="BX15" i="6"/>
  <c r="BX16" i="6"/>
  <c r="BX17" i="6"/>
  <c r="BX18" i="6"/>
  <c r="BX19" i="6"/>
  <c r="BX20" i="6"/>
  <c r="BX21" i="6"/>
  <c r="BX22" i="6"/>
  <c r="BX23" i="6"/>
  <c r="BX24" i="6"/>
  <c r="BX25" i="6"/>
  <c r="BX26" i="6"/>
  <c r="BX27" i="6"/>
  <c r="BX28" i="6"/>
  <c r="BX29" i="6"/>
  <c r="BX30" i="6"/>
  <c r="BX31" i="6"/>
  <c r="BX32" i="6"/>
  <c r="BX33" i="6"/>
  <c r="BX34" i="6"/>
  <c r="BX35" i="6"/>
  <c r="BX36" i="6"/>
  <c r="BX37" i="6"/>
  <c r="BX38" i="6"/>
  <c r="BX39" i="6"/>
  <c r="BX40" i="6"/>
  <c r="BX41" i="6"/>
  <c r="BX42" i="6"/>
  <c r="BX43" i="6"/>
  <c r="BX44" i="6"/>
  <c r="BX45" i="6"/>
  <c r="BX46" i="6"/>
  <c r="BX47" i="6"/>
  <c r="BX48" i="6"/>
  <c r="BX49" i="6"/>
  <c r="BX50" i="6"/>
  <c r="BX51" i="6"/>
  <c r="BX52" i="6"/>
  <c r="BX53" i="6"/>
  <c r="BX54" i="6"/>
  <c r="BX55" i="6"/>
  <c r="BX56" i="6"/>
  <c r="BX57" i="6"/>
  <c r="BX58" i="6"/>
  <c r="BX59" i="6"/>
  <c r="BX60" i="6"/>
  <c r="BX61" i="6"/>
  <c r="BX62" i="6"/>
  <c r="BX63" i="6"/>
  <c r="BX64" i="6"/>
  <c r="BX5" i="6"/>
  <c r="BW6" i="6"/>
  <c r="BW7" i="6"/>
  <c r="BW8" i="6"/>
  <c r="BW9" i="6"/>
  <c r="BW10" i="6"/>
  <c r="BW11" i="6"/>
  <c r="BW12" i="6"/>
  <c r="BW13" i="6"/>
  <c r="BW14" i="6"/>
  <c r="BW15" i="6"/>
  <c r="BW16" i="6"/>
  <c r="BW17" i="6"/>
  <c r="BW18" i="6"/>
  <c r="BW19" i="6"/>
  <c r="BW20" i="6"/>
  <c r="BW21" i="6"/>
  <c r="BW22" i="6"/>
  <c r="BW23" i="6"/>
  <c r="BW24" i="6"/>
  <c r="BW25" i="6"/>
  <c r="BW26" i="6"/>
  <c r="BW27" i="6"/>
  <c r="BW28" i="6"/>
  <c r="BW29" i="6"/>
  <c r="BW30" i="6"/>
  <c r="BW31" i="6"/>
  <c r="BW32" i="6"/>
  <c r="BW33" i="6"/>
  <c r="BW34" i="6"/>
  <c r="BW35" i="6"/>
  <c r="BW36" i="6"/>
  <c r="BW37" i="6"/>
  <c r="BW38" i="6"/>
  <c r="BW39" i="6"/>
  <c r="BW40" i="6"/>
  <c r="BW41" i="6"/>
  <c r="BW42" i="6"/>
  <c r="BW43" i="6"/>
  <c r="BW44" i="6"/>
  <c r="BW45" i="6"/>
  <c r="BW46" i="6"/>
  <c r="BW47" i="6"/>
  <c r="BW48" i="6"/>
  <c r="BW49" i="6"/>
  <c r="BW50" i="6"/>
  <c r="BW51" i="6"/>
  <c r="BW52" i="6"/>
  <c r="BW53" i="6"/>
  <c r="BW54" i="6"/>
  <c r="BW55" i="6"/>
  <c r="BW56" i="6"/>
  <c r="BW57" i="6"/>
  <c r="BW58" i="6"/>
  <c r="BW59" i="6"/>
  <c r="BW60" i="6"/>
  <c r="BW61" i="6"/>
  <c r="BW62" i="6"/>
  <c r="BW63" i="6"/>
  <c r="BW64" i="6"/>
  <c r="BW5" i="6"/>
  <c r="BV6" i="6"/>
  <c r="BV7" i="6"/>
  <c r="BV8" i="6"/>
  <c r="BV9" i="6"/>
  <c r="BV10" i="6"/>
  <c r="BV11" i="6"/>
  <c r="BV12" i="6"/>
  <c r="BV13" i="6"/>
  <c r="BV14" i="6"/>
  <c r="BV15" i="6"/>
  <c r="BV16" i="6"/>
  <c r="BV17" i="6"/>
  <c r="BV18" i="6"/>
  <c r="BV19" i="6"/>
  <c r="BV20" i="6"/>
  <c r="BV21" i="6"/>
  <c r="BV22" i="6"/>
  <c r="BV23" i="6"/>
  <c r="BV24" i="6"/>
  <c r="BV25" i="6"/>
  <c r="BV26" i="6"/>
  <c r="BV27" i="6"/>
  <c r="BV28" i="6"/>
  <c r="BV29" i="6"/>
  <c r="BV30" i="6"/>
  <c r="BV31" i="6"/>
  <c r="BV32" i="6"/>
  <c r="BV33" i="6"/>
  <c r="BV34" i="6"/>
  <c r="BV35" i="6"/>
  <c r="BV36" i="6"/>
  <c r="BV37" i="6"/>
  <c r="BV38" i="6"/>
  <c r="BV39" i="6"/>
  <c r="BV40" i="6"/>
  <c r="BV41" i="6"/>
  <c r="BV42" i="6"/>
  <c r="BV43" i="6"/>
  <c r="BV44" i="6"/>
  <c r="BV45" i="6"/>
  <c r="BV46" i="6"/>
  <c r="BV47" i="6"/>
  <c r="BV48" i="6"/>
  <c r="BV49" i="6"/>
  <c r="BV50" i="6"/>
  <c r="BV51" i="6"/>
  <c r="BV52" i="6"/>
  <c r="BV53" i="6"/>
  <c r="BV54" i="6"/>
  <c r="BV55" i="6"/>
  <c r="BV56" i="6"/>
  <c r="BV57" i="6"/>
  <c r="BV58" i="6"/>
  <c r="BV59" i="6"/>
  <c r="BV60" i="6"/>
  <c r="BV61" i="6"/>
  <c r="BV62" i="6"/>
  <c r="BV63" i="6"/>
  <c r="BV64" i="6"/>
  <c r="BV5" i="6"/>
  <c r="BU6" i="6"/>
  <c r="BU7" i="6"/>
  <c r="BU8" i="6"/>
  <c r="BU9" i="6"/>
  <c r="BU10" i="6"/>
  <c r="BU11" i="6"/>
  <c r="BU12" i="6"/>
  <c r="BU13" i="6"/>
  <c r="BU14" i="6"/>
  <c r="BU15" i="6"/>
  <c r="BU16" i="6"/>
  <c r="BU17" i="6"/>
  <c r="BU18" i="6"/>
  <c r="BU19" i="6"/>
  <c r="BU20" i="6"/>
  <c r="BU21" i="6"/>
  <c r="BU22" i="6"/>
  <c r="BU23" i="6"/>
  <c r="BU24" i="6"/>
  <c r="BU25" i="6"/>
  <c r="BU26" i="6"/>
  <c r="BU27" i="6"/>
  <c r="BU28" i="6"/>
  <c r="BU29" i="6"/>
  <c r="BU30" i="6"/>
  <c r="BU31" i="6"/>
  <c r="BU32" i="6"/>
  <c r="BU33" i="6"/>
  <c r="BU34" i="6"/>
  <c r="BU35" i="6"/>
  <c r="BU36" i="6"/>
  <c r="BU37" i="6"/>
  <c r="BU38" i="6"/>
  <c r="BU39" i="6"/>
  <c r="BU40" i="6"/>
  <c r="BU41" i="6"/>
  <c r="BU42" i="6"/>
  <c r="BU43" i="6"/>
  <c r="BU44" i="6"/>
  <c r="BU45" i="6"/>
  <c r="BU46" i="6"/>
  <c r="BU47" i="6"/>
  <c r="BU48" i="6"/>
  <c r="BU49" i="6"/>
  <c r="BU50" i="6"/>
  <c r="BU51" i="6"/>
  <c r="BU52" i="6"/>
  <c r="BU53" i="6"/>
  <c r="BU54" i="6"/>
  <c r="BU55" i="6"/>
  <c r="BU56" i="6"/>
  <c r="BU57" i="6"/>
  <c r="BU58" i="6"/>
  <c r="BU59" i="6"/>
  <c r="BU60" i="6"/>
  <c r="BU61" i="6"/>
  <c r="BU62" i="6"/>
  <c r="BU63" i="6"/>
  <c r="BU64" i="6"/>
  <c r="BU5" i="6"/>
  <c r="BT6" i="6"/>
  <c r="BT7" i="6"/>
  <c r="BT8" i="6"/>
  <c r="BT9" i="6"/>
  <c r="BT10" i="6"/>
  <c r="BT11" i="6"/>
  <c r="BT12" i="6"/>
  <c r="BT13" i="6"/>
  <c r="BT14" i="6"/>
  <c r="BT15" i="6"/>
  <c r="BT16" i="6"/>
  <c r="BT17" i="6"/>
  <c r="BT18" i="6"/>
  <c r="BT19" i="6"/>
  <c r="BT20" i="6"/>
  <c r="BT21" i="6"/>
  <c r="BT22" i="6"/>
  <c r="BT23" i="6"/>
  <c r="BT24" i="6"/>
  <c r="BT25" i="6"/>
  <c r="BT26" i="6"/>
  <c r="BT27" i="6"/>
  <c r="BT28" i="6"/>
  <c r="BT29" i="6"/>
  <c r="BT30" i="6"/>
  <c r="BT31" i="6"/>
  <c r="BT32" i="6"/>
  <c r="BT33" i="6"/>
  <c r="BT34" i="6"/>
  <c r="BT35" i="6"/>
  <c r="BT36" i="6"/>
  <c r="BT37" i="6"/>
  <c r="BT38" i="6"/>
  <c r="BT39" i="6"/>
  <c r="BT40" i="6"/>
  <c r="BT41" i="6"/>
  <c r="BT42" i="6"/>
  <c r="BT43" i="6"/>
  <c r="BT44" i="6"/>
  <c r="BT45" i="6"/>
  <c r="BT46" i="6"/>
  <c r="BT47" i="6"/>
  <c r="BT48" i="6"/>
  <c r="BT49" i="6"/>
  <c r="BT50" i="6"/>
  <c r="BT51" i="6"/>
  <c r="BT52" i="6"/>
  <c r="BT53" i="6"/>
  <c r="BT54" i="6"/>
  <c r="BT55" i="6"/>
  <c r="BT56" i="6"/>
  <c r="BT57" i="6"/>
  <c r="BT58" i="6"/>
  <c r="BT59" i="6"/>
  <c r="BT60" i="6"/>
  <c r="BT61" i="6"/>
  <c r="BT62" i="6"/>
  <c r="BT63" i="6"/>
  <c r="BT64" i="6"/>
  <c r="BT5" i="6"/>
  <c r="BS6" i="6"/>
  <c r="BS7" i="6"/>
  <c r="BS8" i="6"/>
  <c r="BS9" i="6"/>
  <c r="BS10" i="6"/>
  <c r="BS11" i="6"/>
  <c r="BS12" i="6"/>
  <c r="BS13" i="6"/>
  <c r="BS14" i="6"/>
  <c r="BS15" i="6"/>
  <c r="BS16" i="6"/>
  <c r="BS17" i="6"/>
  <c r="BS18" i="6"/>
  <c r="BS19" i="6"/>
  <c r="BS20" i="6"/>
  <c r="BS21" i="6"/>
  <c r="BS22" i="6"/>
  <c r="BS23" i="6"/>
  <c r="BS24" i="6"/>
  <c r="BS25" i="6"/>
  <c r="BS26" i="6"/>
  <c r="BS27" i="6"/>
  <c r="BS28" i="6"/>
  <c r="BS29" i="6"/>
  <c r="BS30" i="6"/>
  <c r="BS31" i="6"/>
  <c r="BS32" i="6"/>
  <c r="BS33" i="6"/>
  <c r="BS34" i="6"/>
  <c r="BS35" i="6"/>
  <c r="BS36" i="6"/>
  <c r="BS37" i="6"/>
  <c r="BS38" i="6"/>
  <c r="BS39" i="6"/>
  <c r="BS40" i="6"/>
  <c r="BS41" i="6"/>
  <c r="BS42" i="6"/>
  <c r="BS43" i="6"/>
  <c r="BS44" i="6"/>
  <c r="BS45" i="6"/>
  <c r="BS46" i="6"/>
  <c r="BS47" i="6"/>
  <c r="BS48" i="6"/>
  <c r="BS49" i="6"/>
  <c r="BS50" i="6"/>
  <c r="BS51" i="6"/>
  <c r="BS52" i="6"/>
  <c r="BS53" i="6"/>
  <c r="BS54" i="6"/>
  <c r="BS55" i="6"/>
  <c r="BS56" i="6"/>
  <c r="BS57" i="6"/>
  <c r="BS58" i="6"/>
  <c r="BS59" i="6"/>
  <c r="BS60" i="6"/>
  <c r="BS61" i="6"/>
  <c r="BS62" i="6"/>
  <c r="BS63" i="6"/>
  <c r="BS64" i="6"/>
  <c r="BS5" i="6"/>
  <c r="BR6" i="6"/>
  <c r="BR7" i="6"/>
  <c r="BR8" i="6"/>
  <c r="BR9" i="6"/>
  <c r="BR10" i="6"/>
  <c r="BR11" i="6"/>
  <c r="BR12" i="6"/>
  <c r="BR13" i="6"/>
  <c r="BR14" i="6"/>
  <c r="BR15" i="6"/>
  <c r="BR16" i="6"/>
  <c r="BR17" i="6"/>
  <c r="BR18" i="6"/>
  <c r="BR19" i="6"/>
  <c r="BR20" i="6"/>
  <c r="BR21" i="6"/>
  <c r="BR22" i="6"/>
  <c r="BR23" i="6"/>
  <c r="BR24" i="6"/>
  <c r="BR25" i="6"/>
  <c r="BR26" i="6"/>
  <c r="BR27" i="6"/>
  <c r="BR28" i="6"/>
  <c r="BR29" i="6"/>
  <c r="BR30" i="6"/>
  <c r="BR31" i="6"/>
  <c r="BR32" i="6"/>
  <c r="BR33" i="6"/>
  <c r="BR34" i="6"/>
  <c r="BR35" i="6"/>
  <c r="BR36" i="6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5" i="6"/>
  <c r="BR56" i="6"/>
  <c r="BR57" i="6"/>
  <c r="BR58" i="6"/>
  <c r="BR59" i="6"/>
  <c r="BR60" i="6"/>
  <c r="BR61" i="6"/>
  <c r="BR62" i="6"/>
  <c r="BR63" i="6"/>
  <c r="BR64" i="6"/>
  <c r="BR5" i="6"/>
  <c r="BQ6" i="6"/>
  <c r="BQ7" i="6"/>
  <c r="BQ8" i="6"/>
  <c r="BQ9" i="6"/>
  <c r="BQ10" i="6"/>
  <c r="BQ11" i="6"/>
  <c r="BQ12" i="6"/>
  <c r="BQ13" i="6"/>
  <c r="BQ14" i="6"/>
  <c r="BQ15" i="6"/>
  <c r="BQ16" i="6"/>
  <c r="BQ17" i="6"/>
  <c r="BQ18" i="6"/>
  <c r="BQ19" i="6"/>
  <c r="BQ20" i="6"/>
  <c r="BQ21" i="6"/>
  <c r="BQ22" i="6"/>
  <c r="BQ23" i="6"/>
  <c r="BQ24" i="6"/>
  <c r="BQ25" i="6"/>
  <c r="BQ26" i="6"/>
  <c r="BQ27" i="6"/>
  <c r="BQ28" i="6"/>
  <c r="BQ29" i="6"/>
  <c r="BQ30" i="6"/>
  <c r="BQ31" i="6"/>
  <c r="BQ32" i="6"/>
  <c r="BQ33" i="6"/>
  <c r="BQ34" i="6"/>
  <c r="BQ35" i="6"/>
  <c r="BQ36" i="6"/>
  <c r="BQ37" i="6"/>
  <c r="BQ38" i="6"/>
  <c r="BQ39" i="6"/>
  <c r="BQ40" i="6"/>
  <c r="BQ41" i="6"/>
  <c r="BQ42" i="6"/>
  <c r="BQ43" i="6"/>
  <c r="BQ44" i="6"/>
  <c r="BQ45" i="6"/>
  <c r="BQ46" i="6"/>
  <c r="BQ47" i="6"/>
  <c r="BQ48" i="6"/>
  <c r="BQ49" i="6"/>
  <c r="BQ50" i="6"/>
  <c r="BQ51" i="6"/>
  <c r="BQ52" i="6"/>
  <c r="BQ53" i="6"/>
  <c r="BQ54" i="6"/>
  <c r="BQ55" i="6"/>
  <c r="BQ56" i="6"/>
  <c r="BQ57" i="6"/>
  <c r="BQ58" i="6"/>
  <c r="BQ59" i="6"/>
  <c r="BQ60" i="6"/>
  <c r="BQ61" i="6"/>
  <c r="BQ62" i="6"/>
  <c r="BQ63" i="6"/>
  <c r="BQ64" i="6"/>
  <c r="BQ5" i="6"/>
  <c r="BP6" i="6"/>
  <c r="BP7" i="6"/>
  <c r="BP8" i="6"/>
  <c r="BP9" i="6"/>
  <c r="BP10" i="6"/>
  <c r="BP11" i="6"/>
  <c r="BP12" i="6"/>
  <c r="BP13" i="6"/>
  <c r="BP14" i="6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59" i="6"/>
  <c r="BP60" i="6"/>
  <c r="BP61" i="6"/>
  <c r="BP62" i="6"/>
  <c r="BP63" i="6"/>
  <c r="BP64" i="6"/>
  <c r="BP5" i="6"/>
  <c r="BO6" i="6"/>
  <c r="BO7" i="6"/>
  <c r="BO8" i="6"/>
  <c r="BO9" i="6"/>
  <c r="BO10" i="6"/>
  <c r="BO11" i="6"/>
  <c r="BO12" i="6"/>
  <c r="BO13" i="6"/>
  <c r="BO14" i="6"/>
  <c r="BO15" i="6"/>
  <c r="BO16" i="6"/>
  <c r="BO17" i="6"/>
  <c r="BO18" i="6"/>
  <c r="BO19" i="6"/>
  <c r="BO20" i="6"/>
  <c r="BO21" i="6"/>
  <c r="BO22" i="6"/>
  <c r="BO23" i="6"/>
  <c r="BO24" i="6"/>
  <c r="BO25" i="6"/>
  <c r="BO26" i="6"/>
  <c r="BO27" i="6"/>
  <c r="BO28" i="6"/>
  <c r="BO29" i="6"/>
  <c r="BO30" i="6"/>
  <c r="BO31" i="6"/>
  <c r="BO32" i="6"/>
  <c r="BO33" i="6"/>
  <c r="BO34" i="6"/>
  <c r="BO35" i="6"/>
  <c r="BO36" i="6"/>
  <c r="BO37" i="6"/>
  <c r="BO38" i="6"/>
  <c r="BO39" i="6"/>
  <c r="BO40" i="6"/>
  <c r="BO41" i="6"/>
  <c r="BO42" i="6"/>
  <c r="BO43" i="6"/>
  <c r="BO44" i="6"/>
  <c r="BO45" i="6"/>
  <c r="BO46" i="6"/>
  <c r="BO47" i="6"/>
  <c r="BO48" i="6"/>
  <c r="BO49" i="6"/>
  <c r="BO50" i="6"/>
  <c r="BO51" i="6"/>
  <c r="BO52" i="6"/>
  <c r="BO53" i="6"/>
  <c r="BO54" i="6"/>
  <c r="BO55" i="6"/>
  <c r="BO56" i="6"/>
  <c r="BO57" i="6"/>
  <c r="BO58" i="6"/>
  <c r="BO59" i="6"/>
  <c r="BO60" i="6"/>
  <c r="BO61" i="6"/>
  <c r="BO62" i="6"/>
  <c r="BO63" i="6"/>
  <c r="BO64" i="6"/>
  <c r="BO5" i="6"/>
  <c r="BN6" i="6"/>
  <c r="BN7" i="6"/>
  <c r="BN8" i="6"/>
  <c r="BN9" i="6"/>
  <c r="BN10" i="6"/>
  <c r="BN11" i="6"/>
  <c r="BN12" i="6"/>
  <c r="BN13" i="6"/>
  <c r="BN14" i="6"/>
  <c r="BN15" i="6"/>
  <c r="BN16" i="6"/>
  <c r="BN17" i="6"/>
  <c r="BN18" i="6"/>
  <c r="BN19" i="6"/>
  <c r="BN20" i="6"/>
  <c r="BN21" i="6"/>
  <c r="BN22" i="6"/>
  <c r="BN23" i="6"/>
  <c r="BN24" i="6"/>
  <c r="BN25" i="6"/>
  <c r="BN26" i="6"/>
  <c r="BN27" i="6"/>
  <c r="BN28" i="6"/>
  <c r="BN29" i="6"/>
  <c r="BN30" i="6"/>
  <c r="BN31" i="6"/>
  <c r="BN32" i="6"/>
  <c r="BN33" i="6"/>
  <c r="BN34" i="6"/>
  <c r="BN35" i="6"/>
  <c r="BN36" i="6"/>
  <c r="BN37" i="6"/>
  <c r="BN38" i="6"/>
  <c r="BN39" i="6"/>
  <c r="BN40" i="6"/>
  <c r="BN41" i="6"/>
  <c r="BN42" i="6"/>
  <c r="BN43" i="6"/>
  <c r="BN44" i="6"/>
  <c r="BN45" i="6"/>
  <c r="BN46" i="6"/>
  <c r="BN47" i="6"/>
  <c r="BN48" i="6"/>
  <c r="BN49" i="6"/>
  <c r="BN50" i="6"/>
  <c r="BN51" i="6"/>
  <c r="BN52" i="6"/>
  <c r="BN53" i="6"/>
  <c r="BN54" i="6"/>
  <c r="BN55" i="6"/>
  <c r="BN56" i="6"/>
  <c r="BN57" i="6"/>
  <c r="BN58" i="6"/>
  <c r="BN59" i="6"/>
  <c r="BN60" i="6"/>
  <c r="BN61" i="6"/>
  <c r="BN62" i="6"/>
  <c r="BN63" i="6"/>
  <c r="BN64" i="6"/>
  <c r="BN5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5" i="6"/>
  <c r="BL6" i="6"/>
  <c r="BL7" i="6"/>
  <c r="BL8" i="6"/>
  <c r="BL9" i="6"/>
  <c r="BL10" i="6"/>
  <c r="BL11" i="6"/>
  <c r="BL12" i="6"/>
  <c r="BL13" i="6"/>
  <c r="BL14" i="6"/>
  <c r="BL15" i="6"/>
  <c r="BL16" i="6"/>
  <c r="BL17" i="6"/>
  <c r="BL18" i="6"/>
  <c r="BL19" i="6"/>
  <c r="BL20" i="6"/>
  <c r="BL21" i="6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BL42" i="6"/>
  <c r="BL43" i="6"/>
  <c r="BL44" i="6"/>
  <c r="BL45" i="6"/>
  <c r="BL46" i="6"/>
  <c r="BL47" i="6"/>
  <c r="BL48" i="6"/>
  <c r="BL49" i="6"/>
  <c r="BL50" i="6"/>
  <c r="BL51" i="6"/>
  <c r="BL52" i="6"/>
  <c r="BL53" i="6"/>
  <c r="BL54" i="6"/>
  <c r="BL55" i="6"/>
  <c r="BL56" i="6"/>
  <c r="BL57" i="6"/>
  <c r="BL58" i="6"/>
  <c r="BL59" i="6"/>
  <c r="BL60" i="6"/>
  <c r="BL61" i="6"/>
  <c r="BL62" i="6"/>
  <c r="BL63" i="6"/>
  <c r="BL64" i="6"/>
  <c r="BL5" i="6"/>
  <c r="BK6" i="6"/>
  <c r="BK7" i="6"/>
  <c r="BK8" i="6"/>
  <c r="BK9" i="6"/>
  <c r="BK10" i="6"/>
  <c r="BK11" i="6"/>
  <c r="BK12" i="6"/>
  <c r="BK13" i="6"/>
  <c r="BK14" i="6"/>
  <c r="BK15" i="6"/>
  <c r="BK16" i="6"/>
  <c r="BK17" i="6"/>
  <c r="BK18" i="6"/>
  <c r="BK19" i="6"/>
  <c r="BK20" i="6"/>
  <c r="BK21" i="6"/>
  <c r="BK22" i="6"/>
  <c r="BK23" i="6"/>
  <c r="BK24" i="6"/>
  <c r="BK25" i="6"/>
  <c r="BK26" i="6"/>
  <c r="BK27" i="6"/>
  <c r="BK28" i="6"/>
  <c r="BK29" i="6"/>
  <c r="BK30" i="6"/>
  <c r="BK31" i="6"/>
  <c r="BK32" i="6"/>
  <c r="BK33" i="6"/>
  <c r="BK34" i="6"/>
  <c r="BK35" i="6"/>
  <c r="BK36" i="6"/>
  <c r="BK37" i="6"/>
  <c r="BK38" i="6"/>
  <c r="BK39" i="6"/>
  <c r="BK40" i="6"/>
  <c r="BK41" i="6"/>
  <c r="BK42" i="6"/>
  <c r="BK43" i="6"/>
  <c r="BK44" i="6"/>
  <c r="BK45" i="6"/>
  <c r="BK46" i="6"/>
  <c r="BK47" i="6"/>
  <c r="BK48" i="6"/>
  <c r="BK49" i="6"/>
  <c r="BK50" i="6"/>
  <c r="BK51" i="6"/>
  <c r="BK52" i="6"/>
  <c r="BK53" i="6"/>
  <c r="BK54" i="6"/>
  <c r="BK55" i="6"/>
  <c r="BK56" i="6"/>
  <c r="BK57" i="6"/>
  <c r="BK58" i="6"/>
  <c r="BK59" i="6"/>
  <c r="BK60" i="6"/>
  <c r="BK61" i="6"/>
  <c r="BK62" i="6"/>
  <c r="BK63" i="6"/>
  <c r="BK64" i="6"/>
  <c r="BK5" i="6"/>
  <c r="BJ6" i="6"/>
  <c r="BJ7" i="6"/>
  <c r="BJ8" i="6"/>
  <c r="BJ9" i="6"/>
  <c r="BJ10" i="6"/>
  <c r="BJ11" i="6"/>
  <c r="BJ12" i="6"/>
  <c r="BJ13" i="6"/>
  <c r="BJ14" i="6"/>
  <c r="BJ15" i="6"/>
  <c r="BJ16" i="6"/>
  <c r="BJ17" i="6"/>
  <c r="BJ18" i="6"/>
  <c r="BJ19" i="6"/>
  <c r="BJ20" i="6"/>
  <c r="BJ21" i="6"/>
  <c r="BJ22" i="6"/>
  <c r="BJ23" i="6"/>
  <c r="BJ24" i="6"/>
  <c r="BJ25" i="6"/>
  <c r="BJ26" i="6"/>
  <c r="BJ27" i="6"/>
  <c r="BJ28" i="6"/>
  <c r="BJ29" i="6"/>
  <c r="BJ30" i="6"/>
  <c r="BJ31" i="6"/>
  <c r="BJ32" i="6"/>
  <c r="BJ33" i="6"/>
  <c r="BJ34" i="6"/>
  <c r="BJ35" i="6"/>
  <c r="BJ36" i="6"/>
  <c r="BJ37" i="6"/>
  <c r="BJ38" i="6"/>
  <c r="BJ39" i="6"/>
  <c r="BJ40" i="6"/>
  <c r="BJ41" i="6"/>
  <c r="BJ42" i="6"/>
  <c r="BJ43" i="6"/>
  <c r="BJ44" i="6"/>
  <c r="BJ45" i="6"/>
  <c r="BJ46" i="6"/>
  <c r="BJ47" i="6"/>
  <c r="BJ48" i="6"/>
  <c r="BJ49" i="6"/>
  <c r="BJ50" i="6"/>
  <c r="BJ51" i="6"/>
  <c r="BJ52" i="6"/>
  <c r="BJ53" i="6"/>
  <c r="BJ54" i="6"/>
  <c r="BJ55" i="6"/>
  <c r="BJ56" i="6"/>
  <c r="BJ57" i="6"/>
  <c r="BJ58" i="6"/>
  <c r="BJ59" i="6"/>
  <c r="BJ60" i="6"/>
  <c r="BJ61" i="6"/>
  <c r="BJ62" i="6"/>
  <c r="BJ63" i="6"/>
  <c r="BJ64" i="6"/>
  <c r="BJ5" i="6"/>
  <c r="BI6" i="6"/>
  <c r="BI7" i="6"/>
  <c r="BI8" i="6"/>
  <c r="BI9" i="6"/>
  <c r="BI10" i="6"/>
  <c r="BI11" i="6"/>
  <c r="BI12" i="6"/>
  <c r="BI13" i="6"/>
  <c r="BI14" i="6"/>
  <c r="BI15" i="6"/>
  <c r="BI16" i="6"/>
  <c r="BI17" i="6"/>
  <c r="BI18" i="6"/>
  <c r="BI19" i="6"/>
  <c r="BI20" i="6"/>
  <c r="BI21" i="6"/>
  <c r="BI22" i="6"/>
  <c r="BI23" i="6"/>
  <c r="BI24" i="6"/>
  <c r="BI25" i="6"/>
  <c r="BI26" i="6"/>
  <c r="BI27" i="6"/>
  <c r="BI28" i="6"/>
  <c r="BI29" i="6"/>
  <c r="BI30" i="6"/>
  <c r="BI31" i="6"/>
  <c r="BI32" i="6"/>
  <c r="BI33" i="6"/>
  <c r="BI34" i="6"/>
  <c r="BI35" i="6"/>
  <c r="BI36" i="6"/>
  <c r="BI37" i="6"/>
  <c r="BI38" i="6"/>
  <c r="BI39" i="6"/>
  <c r="BI40" i="6"/>
  <c r="BI41" i="6"/>
  <c r="BI42" i="6"/>
  <c r="BI43" i="6"/>
  <c r="BI44" i="6"/>
  <c r="BI45" i="6"/>
  <c r="BI46" i="6"/>
  <c r="BI47" i="6"/>
  <c r="BI48" i="6"/>
  <c r="BI49" i="6"/>
  <c r="BI50" i="6"/>
  <c r="BI51" i="6"/>
  <c r="BI52" i="6"/>
  <c r="BI53" i="6"/>
  <c r="BI54" i="6"/>
  <c r="BI55" i="6"/>
  <c r="BI56" i="6"/>
  <c r="BI57" i="6"/>
  <c r="BI58" i="6"/>
  <c r="BI59" i="6"/>
  <c r="BI60" i="6"/>
  <c r="BI61" i="6"/>
  <c r="BI62" i="6"/>
  <c r="BI63" i="6"/>
  <c r="BI64" i="6"/>
  <c r="BI5" i="6"/>
  <c r="BH6" i="6"/>
  <c r="BH7" i="6"/>
  <c r="BH8" i="6"/>
  <c r="BH9" i="6"/>
  <c r="BH10" i="6"/>
  <c r="BH11" i="6"/>
  <c r="BH12" i="6"/>
  <c r="BH13" i="6"/>
  <c r="BH14" i="6"/>
  <c r="BH15" i="6"/>
  <c r="BH16" i="6"/>
  <c r="BH17" i="6"/>
  <c r="BH18" i="6"/>
  <c r="BH19" i="6"/>
  <c r="BH20" i="6"/>
  <c r="BH21" i="6"/>
  <c r="BH22" i="6"/>
  <c r="BH23" i="6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42" i="6"/>
  <c r="BH43" i="6"/>
  <c r="BH44" i="6"/>
  <c r="BH45" i="6"/>
  <c r="BH46" i="6"/>
  <c r="BH47" i="6"/>
  <c r="BH48" i="6"/>
  <c r="BH49" i="6"/>
  <c r="BH50" i="6"/>
  <c r="BH51" i="6"/>
  <c r="BH52" i="6"/>
  <c r="BH53" i="6"/>
  <c r="BH54" i="6"/>
  <c r="BH55" i="6"/>
  <c r="BH56" i="6"/>
  <c r="BH57" i="6"/>
  <c r="BH58" i="6"/>
  <c r="BH59" i="6"/>
  <c r="BH60" i="6"/>
  <c r="BH61" i="6"/>
  <c r="BH62" i="6"/>
  <c r="BH63" i="6"/>
  <c r="BH64" i="6"/>
  <c r="BH5" i="6"/>
  <c r="BG6" i="6"/>
  <c r="BG7" i="6"/>
  <c r="BG8" i="6"/>
  <c r="BG9" i="6"/>
  <c r="BG10" i="6"/>
  <c r="BG11" i="6"/>
  <c r="BG12" i="6"/>
  <c r="BG13" i="6"/>
  <c r="BG14" i="6"/>
  <c r="BG15" i="6"/>
  <c r="BG16" i="6"/>
  <c r="BG17" i="6"/>
  <c r="BG18" i="6"/>
  <c r="BG19" i="6"/>
  <c r="BG20" i="6"/>
  <c r="BG21" i="6"/>
  <c r="BG22" i="6"/>
  <c r="BG23" i="6"/>
  <c r="BG24" i="6"/>
  <c r="BG25" i="6"/>
  <c r="BG26" i="6"/>
  <c r="BG27" i="6"/>
  <c r="BG28" i="6"/>
  <c r="BG29" i="6"/>
  <c r="BG30" i="6"/>
  <c r="BG31" i="6"/>
  <c r="BG32" i="6"/>
  <c r="BG33" i="6"/>
  <c r="BG34" i="6"/>
  <c r="BG35" i="6"/>
  <c r="BG36" i="6"/>
  <c r="BG37" i="6"/>
  <c r="BG38" i="6"/>
  <c r="BG39" i="6"/>
  <c r="BG40" i="6"/>
  <c r="BG41" i="6"/>
  <c r="BG42" i="6"/>
  <c r="BG43" i="6"/>
  <c r="BG44" i="6"/>
  <c r="BG45" i="6"/>
  <c r="BG46" i="6"/>
  <c r="BG47" i="6"/>
  <c r="BG48" i="6"/>
  <c r="BG49" i="6"/>
  <c r="BG50" i="6"/>
  <c r="BG51" i="6"/>
  <c r="BG52" i="6"/>
  <c r="BG53" i="6"/>
  <c r="BG54" i="6"/>
  <c r="BG55" i="6"/>
  <c r="BG56" i="6"/>
  <c r="BG57" i="6"/>
  <c r="BG58" i="6"/>
  <c r="BG59" i="6"/>
  <c r="BG60" i="6"/>
  <c r="BG61" i="6"/>
  <c r="BG62" i="6"/>
  <c r="BG63" i="6"/>
  <c r="BG64" i="6"/>
  <c r="BG5" i="6"/>
  <c r="BF6" i="6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41" i="6"/>
  <c r="BF42" i="6"/>
  <c r="BF43" i="6"/>
  <c r="BF44" i="6"/>
  <c r="BF45" i="6"/>
  <c r="BF46" i="6"/>
  <c r="BF47" i="6"/>
  <c r="BF48" i="6"/>
  <c r="BF49" i="6"/>
  <c r="BF50" i="6"/>
  <c r="BF51" i="6"/>
  <c r="BF52" i="6"/>
  <c r="BF53" i="6"/>
  <c r="BF54" i="6"/>
  <c r="BF55" i="6"/>
  <c r="BF56" i="6"/>
  <c r="BF57" i="6"/>
  <c r="BF58" i="6"/>
  <c r="BF59" i="6"/>
  <c r="BF60" i="6"/>
  <c r="BF61" i="6"/>
  <c r="BF62" i="6"/>
  <c r="BF63" i="6"/>
  <c r="BF64" i="6"/>
  <c r="BF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41" i="6"/>
  <c r="BE42" i="6"/>
  <c r="BE43" i="6"/>
  <c r="BE44" i="6"/>
  <c r="BE45" i="6"/>
  <c r="BE46" i="6"/>
  <c r="BE47" i="6"/>
  <c r="BE48" i="6"/>
  <c r="BE49" i="6"/>
  <c r="BE50" i="6"/>
  <c r="BE51" i="6"/>
  <c r="BE52" i="6"/>
  <c r="BE53" i="6"/>
  <c r="BE54" i="6"/>
  <c r="BE55" i="6"/>
  <c r="BE56" i="6"/>
  <c r="BE57" i="6"/>
  <c r="BE58" i="6"/>
  <c r="BE59" i="6"/>
  <c r="BE60" i="6"/>
  <c r="BE61" i="6"/>
  <c r="BE62" i="6"/>
  <c r="BE63" i="6"/>
  <c r="BE64" i="6"/>
  <c r="BE5" i="6"/>
  <c r="BD6" i="6"/>
  <c r="BD7" i="6"/>
  <c r="BD8" i="6"/>
  <c r="BD9" i="6"/>
  <c r="BD10" i="6"/>
  <c r="BD11" i="6"/>
  <c r="BD12" i="6"/>
  <c r="BD13" i="6"/>
  <c r="BD14" i="6"/>
  <c r="BD15" i="6"/>
  <c r="BD16" i="6"/>
  <c r="BD17" i="6"/>
  <c r="BD18" i="6"/>
  <c r="BD19" i="6"/>
  <c r="BD20" i="6"/>
  <c r="BD21" i="6"/>
  <c r="BD22" i="6"/>
  <c r="BD23" i="6"/>
  <c r="BD24" i="6"/>
  <c r="BD25" i="6"/>
  <c r="BD26" i="6"/>
  <c r="BD27" i="6"/>
  <c r="BD28" i="6"/>
  <c r="BD29" i="6"/>
  <c r="BD30" i="6"/>
  <c r="BD31" i="6"/>
  <c r="BD32" i="6"/>
  <c r="BD33" i="6"/>
  <c r="BD34" i="6"/>
  <c r="BD35" i="6"/>
  <c r="BD36" i="6"/>
  <c r="BD37" i="6"/>
  <c r="BD38" i="6"/>
  <c r="BD39" i="6"/>
  <c r="BD40" i="6"/>
  <c r="BD41" i="6"/>
  <c r="BD42" i="6"/>
  <c r="BD43" i="6"/>
  <c r="BD44" i="6"/>
  <c r="BD45" i="6"/>
  <c r="BD46" i="6"/>
  <c r="BD47" i="6"/>
  <c r="BD48" i="6"/>
  <c r="BD49" i="6"/>
  <c r="BD50" i="6"/>
  <c r="BD51" i="6"/>
  <c r="BD52" i="6"/>
  <c r="BD53" i="6"/>
  <c r="BD54" i="6"/>
  <c r="BD55" i="6"/>
  <c r="BD56" i="6"/>
  <c r="BD57" i="6"/>
  <c r="BD58" i="6"/>
  <c r="BD59" i="6"/>
  <c r="BD60" i="6"/>
  <c r="BD61" i="6"/>
  <c r="BD62" i="6"/>
  <c r="BD63" i="6"/>
  <c r="BD64" i="6"/>
  <c r="BD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31" i="6"/>
  <c r="BC32" i="6"/>
  <c r="BC33" i="6"/>
  <c r="BC34" i="6"/>
  <c r="BC35" i="6"/>
  <c r="BC36" i="6"/>
  <c r="BC37" i="6"/>
  <c r="BC38" i="6"/>
  <c r="BC39" i="6"/>
  <c r="BC40" i="6"/>
  <c r="BC41" i="6"/>
  <c r="BC42" i="6"/>
  <c r="BC43" i="6"/>
  <c r="BC44" i="6"/>
  <c r="BC45" i="6"/>
  <c r="BC46" i="6"/>
  <c r="BC47" i="6"/>
  <c r="BC48" i="6"/>
  <c r="BC49" i="6"/>
  <c r="BC50" i="6"/>
  <c r="BC51" i="6"/>
  <c r="BC52" i="6"/>
  <c r="BC53" i="6"/>
  <c r="BC54" i="6"/>
  <c r="BC55" i="6"/>
  <c r="BC56" i="6"/>
  <c r="BC57" i="6"/>
  <c r="BC58" i="6"/>
  <c r="BC59" i="6"/>
  <c r="BC60" i="6"/>
  <c r="BC61" i="6"/>
  <c r="BC62" i="6"/>
  <c r="BC63" i="6"/>
  <c r="BC64" i="6"/>
  <c r="BC5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5" i="6"/>
  <c r="BA6" i="6"/>
  <c r="BA7" i="6"/>
  <c r="BA8" i="6"/>
  <c r="BA9" i="6"/>
  <c r="BA10" i="6"/>
  <c r="BA11" i="6"/>
  <c r="BA12" i="6"/>
  <c r="BA13" i="6"/>
  <c r="BA14" i="6"/>
  <c r="BA15" i="6"/>
  <c r="BA16" i="6"/>
  <c r="BA17" i="6"/>
  <c r="BA18" i="6"/>
  <c r="BA19" i="6"/>
  <c r="BA20" i="6"/>
  <c r="BA21" i="6"/>
  <c r="BA22" i="6"/>
  <c r="BA23" i="6"/>
  <c r="BA24" i="6"/>
  <c r="BA25" i="6"/>
  <c r="BA26" i="6"/>
  <c r="BA27" i="6"/>
  <c r="BA28" i="6"/>
  <c r="BA29" i="6"/>
  <c r="BA30" i="6"/>
  <c r="BA31" i="6"/>
  <c r="BA32" i="6"/>
  <c r="BA33" i="6"/>
  <c r="BA34" i="6"/>
  <c r="BA35" i="6"/>
  <c r="BA36" i="6"/>
  <c r="BA37" i="6"/>
  <c r="BA38" i="6"/>
  <c r="BA39" i="6"/>
  <c r="BA40" i="6"/>
  <c r="BA41" i="6"/>
  <c r="BA42" i="6"/>
  <c r="BA43" i="6"/>
  <c r="BA44" i="6"/>
  <c r="BA45" i="6"/>
  <c r="BA46" i="6"/>
  <c r="BA47" i="6"/>
  <c r="BA48" i="6"/>
  <c r="BA49" i="6"/>
  <c r="BA50" i="6"/>
  <c r="BA51" i="6"/>
  <c r="BA52" i="6"/>
  <c r="BA53" i="6"/>
  <c r="BA54" i="6"/>
  <c r="BA55" i="6"/>
  <c r="BA56" i="6"/>
  <c r="BA57" i="6"/>
  <c r="BA58" i="6"/>
  <c r="BA59" i="6"/>
  <c r="BA60" i="6"/>
  <c r="BA61" i="6"/>
  <c r="BA62" i="6"/>
  <c r="BA63" i="6"/>
  <c r="BA64" i="6"/>
  <c r="BA5" i="6"/>
  <c r="AZ6" i="6"/>
  <c r="AZ7" i="6"/>
  <c r="AZ8" i="6"/>
  <c r="AZ9" i="6"/>
  <c r="AZ10" i="6"/>
  <c r="AZ11" i="6"/>
  <c r="AZ12" i="6"/>
  <c r="AZ13" i="6"/>
  <c r="AZ14" i="6"/>
  <c r="AZ15" i="6"/>
  <c r="AZ16" i="6"/>
  <c r="AZ17" i="6"/>
  <c r="AZ18" i="6"/>
  <c r="AZ19" i="6"/>
  <c r="AZ20" i="6"/>
  <c r="AZ21" i="6"/>
  <c r="AZ22" i="6"/>
  <c r="AZ23" i="6"/>
  <c r="AZ24" i="6"/>
  <c r="AZ25" i="6"/>
  <c r="AZ26" i="6"/>
  <c r="AZ27" i="6"/>
  <c r="AZ28" i="6"/>
  <c r="AZ29" i="6"/>
  <c r="AZ30" i="6"/>
  <c r="AZ31" i="6"/>
  <c r="AZ32" i="6"/>
  <c r="AZ33" i="6"/>
  <c r="AZ34" i="6"/>
  <c r="AZ35" i="6"/>
  <c r="AZ36" i="6"/>
  <c r="AZ37" i="6"/>
  <c r="AZ38" i="6"/>
  <c r="AZ39" i="6"/>
  <c r="AZ40" i="6"/>
  <c r="AZ41" i="6"/>
  <c r="AZ42" i="6"/>
  <c r="AZ43" i="6"/>
  <c r="AZ44" i="6"/>
  <c r="AZ45" i="6"/>
  <c r="AZ46" i="6"/>
  <c r="AZ47" i="6"/>
  <c r="AZ48" i="6"/>
  <c r="AZ49" i="6"/>
  <c r="AZ50" i="6"/>
  <c r="AZ51" i="6"/>
  <c r="AZ52" i="6"/>
  <c r="AZ53" i="6"/>
  <c r="AZ54" i="6"/>
  <c r="AZ55" i="6"/>
  <c r="AZ56" i="6"/>
  <c r="AZ57" i="6"/>
  <c r="AZ58" i="6"/>
  <c r="AZ59" i="6"/>
  <c r="AZ60" i="6"/>
  <c r="AZ61" i="6"/>
  <c r="AZ62" i="6"/>
  <c r="AZ63" i="6"/>
  <c r="AZ64" i="6"/>
  <c r="AZ5" i="6"/>
  <c r="AY6" i="6"/>
  <c r="AY7" i="6"/>
  <c r="AY8" i="6"/>
  <c r="AY9" i="6"/>
  <c r="AY10" i="6"/>
  <c r="AY11" i="6"/>
  <c r="AY12" i="6"/>
  <c r="AY13" i="6"/>
  <c r="AY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59" i="6"/>
  <c r="AY60" i="6"/>
  <c r="AY61" i="6"/>
  <c r="AY62" i="6"/>
  <c r="AY63" i="6"/>
  <c r="AY64" i="6"/>
  <c r="AY5" i="6"/>
  <c r="AX6" i="6"/>
  <c r="AX7" i="6"/>
  <c r="AX8" i="6"/>
  <c r="AX9" i="6"/>
  <c r="AX10" i="6"/>
  <c r="AX11" i="6"/>
  <c r="AX12" i="6"/>
  <c r="AX13" i="6"/>
  <c r="AX14" i="6"/>
  <c r="AX15" i="6"/>
  <c r="AX16" i="6"/>
  <c r="AX17" i="6"/>
  <c r="AX18" i="6"/>
  <c r="AX19" i="6"/>
  <c r="AX20" i="6"/>
  <c r="AX21" i="6"/>
  <c r="AX22" i="6"/>
  <c r="AX23" i="6"/>
  <c r="AX24" i="6"/>
  <c r="AX25" i="6"/>
  <c r="AX26" i="6"/>
  <c r="AX27" i="6"/>
  <c r="AX28" i="6"/>
  <c r="AX29" i="6"/>
  <c r="AX30" i="6"/>
  <c r="AX31" i="6"/>
  <c r="AX32" i="6"/>
  <c r="AX33" i="6"/>
  <c r="AX34" i="6"/>
  <c r="AX35" i="6"/>
  <c r="AX36" i="6"/>
  <c r="AX37" i="6"/>
  <c r="AX38" i="6"/>
  <c r="AX39" i="6"/>
  <c r="AX40" i="6"/>
  <c r="AX41" i="6"/>
  <c r="AX42" i="6"/>
  <c r="AX43" i="6"/>
  <c r="AX44" i="6"/>
  <c r="AX45" i="6"/>
  <c r="AX46" i="6"/>
  <c r="AX47" i="6"/>
  <c r="AX48" i="6"/>
  <c r="AX49" i="6"/>
  <c r="AX50" i="6"/>
  <c r="AX51" i="6"/>
  <c r="AX52" i="6"/>
  <c r="AX53" i="6"/>
  <c r="AX54" i="6"/>
  <c r="AX55" i="6"/>
  <c r="AX56" i="6"/>
  <c r="AX57" i="6"/>
  <c r="AX58" i="6"/>
  <c r="AX59" i="6"/>
  <c r="AX60" i="6"/>
  <c r="AX61" i="6"/>
  <c r="AX62" i="6"/>
  <c r="AX63" i="6"/>
  <c r="AX64" i="6"/>
  <c r="AX5" i="6"/>
  <c r="AW6" i="6"/>
  <c r="AW7" i="6"/>
  <c r="AW8" i="6"/>
  <c r="AW9" i="6"/>
  <c r="AW10" i="6"/>
  <c r="AW11" i="6"/>
  <c r="AW12" i="6"/>
  <c r="AW13" i="6"/>
  <c r="AW14" i="6"/>
  <c r="AW15" i="6"/>
  <c r="AW16" i="6"/>
  <c r="AW17" i="6"/>
  <c r="AW18" i="6"/>
  <c r="AW19" i="6"/>
  <c r="AW20" i="6"/>
  <c r="AW21" i="6"/>
  <c r="AW22" i="6"/>
  <c r="AW23" i="6"/>
  <c r="AW24" i="6"/>
  <c r="AW25" i="6"/>
  <c r="AW26" i="6"/>
  <c r="AW27" i="6"/>
  <c r="AW28" i="6"/>
  <c r="AW29" i="6"/>
  <c r="AW30" i="6"/>
  <c r="AW31" i="6"/>
  <c r="AW32" i="6"/>
  <c r="AW33" i="6"/>
  <c r="AW34" i="6"/>
  <c r="AW35" i="6"/>
  <c r="AW36" i="6"/>
  <c r="AW37" i="6"/>
  <c r="AW38" i="6"/>
  <c r="AW39" i="6"/>
  <c r="AW40" i="6"/>
  <c r="AW41" i="6"/>
  <c r="AW42" i="6"/>
  <c r="AW43" i="6"/>
  <c r="AW44" i="6"/>
  <c r="AW45" i="6"/>
  <c r="AW46" i="6"/>
  <c r="AW47" i="6"/>
  <c r="AW48" i="6"/>
  <c r="AW49" i="6"/>
  <c r="AW50" i="6"/>
  <c r="AW51" i="6"/>
  <c r="AW52" i="6"/>
  <c r="AW53" i="6"/>
  <c r="AW54" i="6"/>
  <c r="AW55" i="6"/>
  <c r="AW56" i="6"/>
  <c r="AW57" i="6"/>
  <c r="AW58" i="6"/>
  <c r="AW59" i="6"/>
  <c r="AW60" i="6"/>
  <c r="AW61" i="6"/>
  <c r="AW62" i="6"/>
  <c r="AW63" i="6"/>
  <c r="AW64" i="6"/>
  <c r="AW5" i="6"/>
  <c r="AV6" i="6"/>
  <c r="AV7" i="6"/>
  <c r="AV8" i="6"/>
  <c r="AV9" i="6"/>
  <c r="AV10" i="6"/>
  <c r="AV11" i="6"/>
  <c r="AV12" i="6"/>
  <c r="AV13" i="6"/>
  <c r="AV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38" i="6"/>
  <c r="AV39" i="6"/>
  <c r="AV40" i="6"/>
  <c r="AV41" i="6"/>
  <c r="AV42" i="6"/>
  <c r="AV43" i="6"/>
  <c r="AV44" i="6"/>
  <c r="AV45" i="6"/>
  <c r="AV46" i="6"/>
  <c r="AV47" i="6"/>
  <c r="AV48" i="6"/>
  <c r="AV49" i="6"/>
  <c r="AV50" i="6"/>
  <c r="AV51" i="6"/>
  <c r="AV52" i="6"/>
  <c r="AV53" i="6"/>
  <c r="AV54" i="6"/>
  <c r="AV55" i="6"/>
  <c r="AV56" i="6"/>
  <c r="AV57" i="6"/>
  <c r="AV58" i="6"/>
  <c r="AV59" i="6"/>
  <c r="AV60" i="6"/>
  <c r="AV61" i="6"/>
  <c r="AV62" i="6"/>
  <c r="AV63" i="6"/>
  <c r="AV64" i="6"/>
  <c r="AV5" i="6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U48" i="6"/>
  <c r="AU49" i="6"/>
  <c r="AU50" i="6"/>
  <c r="AU51" i="6"/>
  <c r="AU52" i="6"/>
  <c r="AU53" i="6"/>
  <c r="AU54" i="6"/>
  <c r="AU55" i="6"/>
  <c r="AU56" i="6"/>
  <c r="AU57" i="6"/>
  <c r="AU58" i="6"/>
  <c r="AU59" i="6"/>
  <c r="AU60" i="6"/>
  <c r="AU61" i="6"/>
  <c r="AU62" i="6"/>
  <c r="AU63" i="6"/>
  <c r="AU64" i="6"/>
  <c r="AU5" i="6"/>
  <c r="AT6" i="6"/>
  <c r="AT7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44" i="6"/>
  <c r="AT45" i="6"/>
  <c r="AT46" i="6"/>
  <c r="AT47" i="6"/>
  <c r="AT48" i="6"/>
  <c r="AT49" i="6"/>
  <c r="AT50" i="6"/>
  <c r="AT51" i="6"/>
  <c r="AT52" i="6"/>
  <c r="AT53" i="6"/>
  <c r="AT54" i="6"/>
  <c r="AT55" i="6"/>
  <c r="AT56" i="6"/>
  <c r="AT57" i="6"/>
  <c r="AT58" i="6"/>
  <c r="AT59" i="6"/>
  <c r="AT60" i="6"/>
  <c r="AT61" i="6"/>
  <c r="AT62" i="6"/>
  <c r="AT63" i="6"/>
  <c r="AT64" i="6"/>
  <c r="AT5" i="6"/>
  <c r="AS6" i="6"/>
  <c r="AS7" i="6"/>
  <c r="AS8" i="6"/>
  <c r="AS9" i="6"/>
  <c r="AS10" i="6"/>
  <c r="AS11" i="6"/>
  <c r="AS12" i="6"/>
  <c r="AS13" i="6"/>
  <c r="AS14" i="6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38" i="6"/>
  <c r="AS39" i="6"/>
  <c r="AS40" i="6"/>
  <c r="AS41" i="6"/>
  <c r="AS42" i="6"/>
  <c r="AS43" i="6"/>
  <c r="AS44" i="6"/>
  <c r="AS45" i="6"/>
  <c r="AS46" i="6"/>
  <c r="AS47" i="6"/>
  <c r="AS48" i="6"/>
  <c r="AS49" i="6"/>
  <c r="AS50" i="6"/>
  <c r="AS51" i="6"/>
  <c r="AS52" i="6"/>
  <c r="AS53" i="6"/>
  <c r="AS54" i="6"/>
  <c r="AS55" i="6"/>
  <c r="AS56" i="6"/>
  <c r="AS57" i="6"/>
  <c r="AS58" i="6"/>
  <c r="AS59" i="6"/>
  <c r="AS60" i="6"/>
  <c r="AS61" i="6"/>
  <c r="AS62" i="6"/>
  <c r="AS63" i="6"/>
  <c r="AS64" i="6"/>
  <c r="AS5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AR19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AR34" i="6"/>
  <c r="AR35" i="6"/>
  <c r="AR36" i="6"/>
  <c r="AR37" i="6"/>
  <c r="AR38" i="6"/>
  <c r="AR39" i="6"/>
  <c r="AR40" i="6"/>
  <c r="AR41" i="6"/>
  <c r="AR42" i="6"/>
  <c r="AR43" i="6"/>
  <c r="AR44" i="6"/>
  <c r="AR45" i="6"/>
  <c r="AR46" i="6"/>
  <c r="AR47" i="6"/>
  <c r="AR48" i="6"/>
  <c r="AR49" i="6"/>
  <c r="AR50" i="6"/>
  <c r="AR51" i="6"/>
  <c r="AR52" i="6"/>
  <c r="AR53" i="6"/>
  <c r="AR54" i="6"/>
  <c r="AR55" i="6"/>
  <c r="AR56" i="6"/>
  <c r="AR57" i="6"/>
  <c r="AR58" i="6"/>
  <c r="AR59" i="6"/>
  <c r="AR60" i="6"/>
  <c r="AR61" i="6"/>
  <c r="AR62" i="6"/>
  <c r="AR63" i="6"/>
  <c r="AR64" i="6"/>
  <c r="AR5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5" i="6"/>
  <c r="AP6" i="6"/>
  <c r="AP7" i="6"/>
  <c r="AP8" i="6"/>
  <c r="AP9" i="6"/>
  <c r="AP10" i="6"/>
  <c r="AP11" i="6"/>
  <c r="AP12" i="6"/>
  <c r="AP13" i="6"/>
  <c r="AP14" i="6"/>
  <c r="AP15" i="6"/>
  <c r="AP16" i="6"/>
  <c r="AP17" i="6"/>
  <c r="AP18" i="6"/>
  <c r="AP19" i="6"/>
  <c r="AP20" i="6"/>
  <c r="AP21" i="6"/>
  <c r="AP22" i="6"/>
  <c r="AP23" i="6"/>
  <c r="AP24" i="6"/>
  <c r="AP25" i="6"/>
  <c r="AP26" i="6"/>
  <c r="AP27" i="6"/>
  <c r="AP28" i="6"/>
  <c r="AP29" i="6"/>
  <c r="AP30" i="6"/>
  <c r="AP31" i="6"/>
  <c r="AP32" i="6"/>
  <c r="AP33" i="6"/>
  <c r="AP34" i="6"/>
  <c r="AP35" i="6"/>
  <c r="AP36" i="6"/>
  <c r="AP37" i="6"/>
  <c r="AP38" i="6"/>
  <c r="AP39" i="6"/>
  <c r="AP40" i="6"/>
  <c r="AP41" i="6"/>
  <c r="AP42" i="6"/>
  <c r="AP43" i="6"/>
  <c r="AP44" i="6"/>
  <c r="AP45" i="6"/>
  <c r="AP46" i="6"/>
  <c r="AP47" i="6"/>
  <c r="AP48" i="6"/>
  <c r="AP49" i="6"/>
  <c r="AP50" i="6"/>
  <c r="AP51" i="6"/>
  <c r="AP52" i="6"/>
  <c r="AP53" i="6"/>
  <c r="AP54" i="6"/>
  <c r="AP55" i="6"/>
  <c r="AP56" i="6"/>
  <c r="AP57" i="6"/>
  <c r="AP58" i="6"/>
  <c r="AP59" i="6"/>
  <c r="AP60" i="6"/>
  <c r="AP61" i="6"/>
  <c r="AP62" i="6"/>
  <c r="AP63" i="6"/>
  <c r="AP64" i="6"/>
  <c r="AP5" i="6"/>
  <c r="AO6" i="6"/>
  <c r="AO7" i="6"/>
  <c r="AO8" i="6"/>
  <c r="AO9" i="6"/>
  <c r="AO10" i="6"/>
  <c r="AO11" i="6"/>
  <c r="AO12" i="6"/>
  <c r="AO13" i="6"/>
  <c r="AO14" i="6"/>
  <c r="AO15" i="6"/>
  <c r="AO16" i="6"/>
  <c r="AO17" i="6"/>
  <c r="AO18" i="6"/>
  <c r="AO19" i="6"/>
  <c r="AO20" i="6"/>
  <c r="AO21" i="6"/>
  <c r="AO22" i="6"/>
  <c r="AO23" i="6"/>
  <c r="AO24" i="6"/>
  <c r="AO25" i="6"/>
  <c r="AO26" i="6"/>
  <c r="AO27" i="6"/>
  <c r="AO28" i="6"/>
  <c r="AO29" i="6"/>
  <c r="AO30" i="6"/>
  <c r="AO31" i="6"/>
  <c r="AO32" i="6"/>
  <c r="AO33" i="6"/>
  <c r="AO34" i="6"/>
  <c r="AO35" i="6"/>
  <c r="AO36" i="6"/>
  <c r="AO37" i="6"/>
  <c r="AO38" i="6"/>
  <c r="AO39" i="6"/>
  <c r="AO40" i="6"/>
  <c r="AO41" i="6"/>
  <c r="AO42" i="6"/>
  <c r="AO43" i="6"/>
  <c r="AO44" i="6"/>
  <c r="AO45" i="6"/>
  <c r="AO46" i="6"/>
  <c r="AO47" i="6"/>
  <c r="AO48" i="6"/>
  <c r="AO49" i="6"/>
  <c r="AO50" i="6"/>
  <c r="AO51" i="6"/>
  <c r="AO52" i="6"/>
  <c r="AO53" i="6"/>
  <c r="AO54" i="6"/>
  <c r="AO55" i="6"/>
  <c r="AO56" i="6"/>
  <c r="AO57" i="6"/>
  <c r="AO58" i="6"/>
  <c r="AO59" i="6"/>
  <c r="AO60" i="6"/>
  <c r="AO61" i="6"/>
  <c r="AO62" i="6"/>
  <c r="AO63" i="6"/>
  <c r="AO64" i="6"/>
  <c r="AO5" i="6"/>
  <c r="AN6" i="6"/>
  <c r="AN7" i="6"/>
  <c r="AN8" i="6"/>
  <c r="AN9" i="6"/>
  <c r="AN10" i="6"/>
  <c r="AN11" i="6"/>
  <c r="AN12" i="6"/>
  <c r="AN13" i="6"/>
  <c r="AN14" i="6"/>
  <c r="AN15" i="6"/>
  <c r="AN16" i="6"/>
  <c r="AN17" i="6"/>
  <c r="AN18" i="6"/>
  <c r="AN19" i="6"/>
  <c r="AN20" i="6"/>
  <c r="AN21" i="6"/>
  <c r="AN22" i="6"/>
  <c r="AN23" i="6"/>
  <c r="AN24" i="6"/>
  <c r="AN25" i="6"/>
  <c r="AN26" i="6"/>
  <c r="AN27" i="6"/>
  <c r="AN28" i="6"/>
  <c r="AN29" i="6"/>
  <c r="AN30" i="6"/>
  <c r="AN31" i="6"/>
  <c r="AN32" i="6"/>
  <c r="AN33" i="6"/>
  <c r="AN34" i="6"/>
  <c r="AN35" i="6"/>
  <c r="AN36" i="6"/>
  <c r="AN37" i="6"/>
  <c r="AN38" i="6"/>
  <c r="AN39" i="6"/>
  <c r="AN40" i="6"/>
  <c r="AN41" i="6"/>
  <c r="AN42" i="6"/>
  <c r="AN43" i="6"/>
  <c r="AN44" i="6"/>
  <c r="AN45" i="6"/>
  <c r="AN46" i="6"/>
  <c r="AN47" i="6"/>
  <c r="AN48" i="6"/>
  <c r="AN49" i="6"/>
  <c r="AN50" i="6"/>
  <c r="AN51" i="6"/>
  <c r="AN52" i="6"/>
  <c r="AN53" i="6"/>
  <c r="AN54" i="6"/>
  <c r="AN55" i="6"/>
  <c r="AN56" i="6"/>
  <c r="AN57" i="6"/>
  <c r="AN58" i="6"/>
  <c r="AN59" i="6"/>
  <c r="AN60" i="6"/>
  <c r="AN61" i="6"/>
  <c r="AN62" i="6"/>
  <c r="AN63" i="6"/>
  <c r="AN64" i="6"/>
  <c r="AN5" i="6"/>
  <c r="AM6" i="6"/>
  <c r="AM7" i="6"/>
  <c r="AM8" i="6"/>
  <c r="AM9" i="6"/>
  <c r="AM10" i="6"/>
  <c r="AM11" i="6"/>
  <c r="AM12" i="6"/>
  <c r="AM13" i="6"/>
  <c r="AM14" i="6"/>
  <c r="AM15" i="6"/>
  <c r="AM16" i="6"/>
  <c r="AM17" i="6"/>
  <c r="AM18" i="6"/>
  <c r="AM19" i="6"/>
  <c r="AM20" i="6"/>
  <c r="AM21" i="6"/>
  <c r="AM22" i="6"/>
  <c r="AM23" i="6"/>
  <c r="AM24" i="6"/>
  <c r="AM25" i="6"/>
  <c r="AM26" i="6"/>
  <c r="AM27" i="6"/>
  <c r="AM28" i="6"/>
  <c r="AM29" i="6"/>
  <c r="AM30" i="6"/>
  <c r="AM31" i="6"/>
  <c r="AM32" i="6"/>
  <c r="AM33" i="6"/>
  <c r="AM34" i="6"/>
  <c r="AM35" i="6"/>
  <c r="AM36" i="6"/>
  <c r="AM37" i="6"/>
  <c r="AM38" i="6"/>
  <c r="AM39" i="6"/>
  <c r="AM40" i="6"/>
  <c r="AM41" i="6"/>
  <c r="AM42" i="6"/>
  <c r="AM43" i="6"/>
  <c r="AM44" i="6"/>
  <c r="AM45" i="6"/>
  <c r="AM46" i="6"/>
  <c r="AM47" i="6"/>
  <c r="AM48" i="6"/>
  <c r="AM49" i="6"/>
  <c r="AM50" i="6"/>
  <c r="AM51" i="6"/>
  <c r="AM52" i="6"/>
  <c r="AM53" i="6"/>
  <c r="AM54" i="6"/>
  <c r="AM55" i="6"/>
  <c r="AM56" i="6"/>
  <c r="AM57" i="6"/>
  <c r="AM58" i="6"/>
  <c r="AM59" i="6"/>
  <c r="AM60" i="6"/>
  <c r="AM61" i="6"/>
  <c r="AM62" i="6"/>
  <c r="AM63" i="6"/>
  <c r="AM64" i="6"/>
  <c r="AM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AE48" i="6"/>
  <c r="AE49" i="6"/>
  <c r="AE50" i="6"/>
  <c r="AE51" i="6"/>
  <c r="AE52" i="6"/>
  <c r="AE53" i="6"/>
  <c r="AE54" i="6"/>
  <c r="AE55" i="6"/>
  <c r="AE56" i="6"/>
  <c r="AE57" i="6"/>
  <c r="AE58" i="6"/>
  <c r="AE59" i="6"/>
  <c r="AE60" i="6"/>
  <c r="AE61" i="6"/>
  <c r="AE62" i="6"/>
  <c r="AE63" i="6"/>
  <c r="AE64" i="6"/>
  <c r="AE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5" i="6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5" i="6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5" i="6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4" i="3"/>
  <c r="C5" i="3" l="1"/>
  <c r="F5" i="3"/>
  <c r="H5" i="3"/>
  <c r="J5" i="3"/>
  <c r="E5" i="3" s="1"/>
  <c r="K5" i="3"/>
  <c r="L5" i="3"/>
  <c r="M5" i="3"/>
  <c r="N5" i="3"/>
  <c r="O5" i="3"/>
  <c r="P5" i="3"/>
  <c r="Q5" i="3"/>
  <c r="R5" i="3"/>
  <c r="S5" i="3"/>
  <c r="T5" i="3"/>
  <c r="U5" i="3"/>
  <c r="V5" i="3"/>
  <c r="W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C6" i="3"/>
  <c r="F6" i="3"/>
  <c r="H6" i="3"/>
  <c r="J6" i="3"/>
  <c r="E6" i="3" s="1"/>
  <c r="K6" i="3"/>
  <c r="L6" i="3"/>
  <c r="M6" i="3"/>
  <c r="N6" i="3"/>
  <c r="O6" i="3"/>
  <c r="P6" i="3"/>
  <c r="Q6" i="3"/>
  <c r="R6" i="3"/>
  <c r="S6" i="3"/>
  <c r="T6" i="3"/>
  <c r="U6" i="3"/>
  <c r="V6" i="3"/>
  <c r="W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C7" i="3"/>
  <c r="F7" i="3"/>
  <c r="H7" i="3"/>
  <c r="J7" i="3"/>
  <c r="E7" i="3" s="1"/>
  <c r="K7" i="3"/>
  <c r="L7" i="3"/>
  <c r="M7" i="3"/>
  <c r="N7" i="3"/>
  <c r="O7" i="3"/>
  <c r="P7" i="3"/>
  <c r="Q7" i="3"/>
  <c r="R7" i="3"/>
  <c r="S7" i="3"/>
  <c r="T7" i="3"/>
  <c r="U7" i="3"/>
  <c r="V7" i="3"/>
  <c r="W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C8" i="3"/>
  <c r="F8" i="3"/>
  <c r="H8" i="3"/>
  <c r="J8" i="3"/>
  <c r="E8" i="3" s="1"/>
  <c r="K8" i="3"/>
  <c r="L8" i="3"/>
  <c r="M8" i="3"/>
  <c r="N8" i="3"/>
  <c r="O8" i="3"/>
  <c r="P8" i="3"/>
  <c r="Q8" i="3"/>
  <c r="R8" i="3"/>
  <c r="S8" i="3"/>
  <c r="T8" i="3"/>
  <c r="U8" i="3"/>
  <c r="V8" i="3"/>
  <c r="W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C9" i="3"/>
  <c r="F9" i="3"/>
  <c r="H9" i="3"/>
  <c r="J9" i="3"/>
  <c r="E9" i="3" s="1"/>
  <c r="K9" i="3"/>
  <c r="L9" i="3"/>
  <c r="M9" i="3"/>
  <c r="N9" i="3"/>
  <c r="O9" i="3"/>
  <c r="P9" i="3"/>
  <c r="Q9" i="3"/>
  <c r="R9" i="3"/>
  <c r="S9" i="3"/>
  <c r="T9" i="3"/>
  <c r="U9" i="3"/>
  <c r="V9" i="3"/>
  <c r="W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C10" i="3"/>
  <c r="F10" i="3"/>
  <c r="H10" i="3"/>
  <c r="J10" i="3"/>
  <c r="E10" i="3" s="1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C11" i="3"/>
  <c r="F11" i="3"/>
  <c r="H11" i="3"/>
  <c r="J11" i="3"/>
  <c r="E11" i="3" s="1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C12" i="3"/>
  <c r="F12" i="3"/>
  <c r="H12" i="3"/>
  <c r="J12" i="3"/>
  <c r="E12" i="3" s="1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C13" i="3"/>
  <c r="F13" i="3"/>
  <c r="H13" i="3"/>
  <c r="J13" i="3"/>
  <c r="E13" i="3" s="1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C14" i="3"/>
  <c r="F14" i="3"/>
  <c r="H14" i="3"/>
  <c r="J14" i="3"/>
  <c r="E14" i="3" s="1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C15" i="3"/>
  <c r="F15" i="3"/>
  <c r="H15" i="3"/>
  <c r="J15" i="3"/>
  <c r="E15" i="3" s="1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C16" i="3"/>
  <c r="F16" i="3"/>
  <c r="H16" i="3"/>
  <c r="J16" i="3"/>
  <c r="E16" i="3" s="1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C17" i="3"/>
  <c r="F17" i="3"/>
  <c r="H17" i="3"/>
  <c r="J17" i="3"/>
  <c r="E17" i="3" s="1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C18" i="3"/>
  <c r="F18" i="3"/>
  <c r="H18" i="3"/>
  <c r="J18" i="3"/>
  <c r="E18" i="3" s="1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C19" i="3"/>
  <c r="F19" i="3"/>
  <c r="H19" i="3"/>
  <c r="J19" i="3"/>
  <c r="E19" i="3" s="1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C20" i="3"/>
  <c r="F20" i="3"/>
  <c r="H20" i="3"/>
  <c r="J20" i="3"/>
  <c r="E20" i="3" s="1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C21" i="3"/>
  <c r="F21" i="3"/>
  <c r="H21" i="3"/>
  <c r="J21" i="3"/>
  <c r="E21" i="3" s="1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C22" i="3"/>
  <c r="F22" i="3"/>
  <c r="H22" i="3"/>
  <c r="J22" i="3"/>
  <c r="E22" i="3" s="1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C23" i="3"/>
  <c r="F23" i="3"/>
  <c r="H23" i="3"/>
  <c r="J23" i="3"/>
  <c r="E23" i="3" s="1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C24" i="3"/>
  <c r="F24" i="3"/>
  <c r="H24" i="3"/>
  <c r="J24" i="3"/>
  <c r="E24" i="3" s="1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C25" i="3"/>
  <c r="F25" i="3"/>
  <c r="H25" i="3"/>
  <c r="J25" i="3"/>
  <c r="E25" i="3" s="1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C26" i="3"/>
  <c r="F26" i="3"/>
  <c r="H26" i="3"/>
  <c r="J26" i="3"/>
  <c r="E26" i="3" s="1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C27" i="3"/>
  <c r="F27" i="3"/>
  <c r="H27" i="3"/>
  <c r="J27" i="3"/>
  <c r="E27" i="3" s="1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C28" i="3"/>
  <c r="F28" i="3"/>
  <c r="H28" i="3"/>
  <c r="J28" i="3"/>
  <c r="E28" i="3" s="1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C29" i="3"/>
  <c r="F29" i="3"/>
  <c r="H29" i="3"/>
  <c r="J29" i="3"/>
  <c r="E29" i="3" s="1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C30" i="3"/>
  <c r="F30" i="3"/>
  <c r="H30" i="3"/>
  <c r="J30" i="3"/>
  <c r="E30" i="3" s="1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C31" i="3"/>
  <c r="F31" i="3"/>
  <c r="H31" i="3"/>
  <c r="J31" i="3"/>
  <c r="E31" i="3" s="1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C32" i="3"/>
  <c r="F32" i="3"/>
  <c r="H32" i="3"/>
  <c r="J32" i="3"/>
  <c r="E32" i="3" s="1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C33" i="3"/>
  <c r="F33" i="3"/>
  <c r="H33" i="3"/>
  <c r="J33" i="3"/>
  <c r="E33" i="3" s="1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C34" i="3"/>
  <c r="F34" i="3"/>
  <c r="H34" i="3"/>
  <c r="J34" i="3"/>
  <c r="E34" i="3" s="1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C35" i="3"/>
  <c r="F35" i="3"/>
  <c r="H35" i="3"/>
  <c r="J35" i="3"/>
  <c r="E35" i="3" s="1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C36" i="3"/>
  <c r="F36" i="3"/>
  <c r="H36" i="3"/>
  <c r="J36" i="3"/>
  <c r="E36" i="3" s="1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C37" i="3"/>
  <c r="F37" i="3"/>
  <c r="H37" i="3"/>
  <c r="J37" i="3"/>
  <c r="E37" i="3" s="1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C38" i="3"/>
  <c r="F38" i="3"/>
  <c r="H38" i="3"/>
  <c r="J38" i="3"/>
  <c r="E38" i="3" s="1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C39" i="3"/>
  <c r="F39" i="3"/>
  <c r="H39" i="3"/>
  <c r="J39" i="3"/>
  <c r="E39" i="3" s="1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C40" i="3"/>
  <c r="F40" i="3"/>
  <c r="H40" i="3"/>
  <c r="J40" i="3"/>
  <c r="E40" i="3" s="1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C41" i="3"/>
  <c r="F41" i="3"/>
  <c r="H41" i="3"/>
  <c r="J41" i="3"/>
  <c r="E41" i="3" s="1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C42" i="3"/>
  <c r="F42" i="3"/>
  <c r="H42" i="3"/>
  <c r="J42" i="3"/>
  <c r="E42" i="3" s="1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C43" i="3"/>
  <c r="F43" i="3"/>
  <c r="H43" i="3"/>
  <c r="J43" i="3"/>
  <c r="E43" i="3" s="1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C44" i="3"/>
  <c r="F44" i="3"/>
  <c r="H44" i="3"/>
  <c r="J44" i="3"/>
  <c r="E44" i="3" s="1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C45" i="3"/>
  <c r="F45" i="3"/>
  <c r="H45" i="3"/>
  <c r="J45" i="3"/>
  <c r="E45" i="3" s="1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C46" i="3"/>
  <c r="F46" i="3"/>
  <c r="H46" i="3"/>
  <c r="J46" i="3"/>
  <c r="E46" i="3" s="1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C47" i="3"/>
  <c r="F47" i="3"/>
  <c r="H47" i="3"/>
  <c r="J47" i="3"/>
  <c r="E47" i="3" s="1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C48" i="3"/>
  <c r="F48" i="3"/>
  <c r="H48" i="3"/>
  <c r="J48" i="3"/>
  <c r="E48" i="3" s="1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C49" i="3"/>
  <c r="F49" i="3"/>
  <c r="H49" i="3"/>
  <c r="J49" i="3"/>
  <c r="E49" i="3" s="1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C50" i="3"/>
  <c r="F50" i="3"/>
  <c r="H50" i="3"/>
  <c r="J50" i="3"/>
  <c r="E50" i="3" s="1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C51" i="3"/>
  <c r="F51" i="3"/>
  <c r="H51" i="3"/>
  <c r="J51" i="3"/>
  <c r="E51" i="3" s="1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C52" i="3"/>
  <c r="F52" i="3"/>
  <c r="H52" i="3"/>
  <c r="J52" i="3"/>
  <c r="E52" i="3" s="1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C53" i="3"/>
  <c r="F53" i="3"/>
  <c r="H53" i="3"/>
  <c r="J53" i="3"/>
  <c r="E53" i="3" s="1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C54" i="3"/>
  <c r="F54" i="3"/>
  <c r="H54" i="3"/>
  <c r="J54" i="3"/>
  <c r="E54" i="3" s="1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C55" i="3"/>
  <c r="F55" i="3"/>
  <c r="H55" i="3"/>
  <c r="J55" i="3"/>
  <c r="E55" i="3" s="1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C56" i="3"/>
  <c r="F56" i="3"/>
  <c r="H56" i="3"/>
  <c r="J56" i="3"/>
  <c r="E56" i="3" s="1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C57" i="3"/>
  <c r="F57" i="3"/>
  <c r="H57" i="3"/>
  <c r="J57" i="3"/>
  <c r="E57" i="3" s="1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C58" i="3"/>
  <c r="F58" i="3"/>
  <c r="H58" i="3"/>
  <c r="J58" i="3"/>
  <c r="E58" i="3" s="1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C59" i="3"/>
  <c r="F59" i="3"/>
  <c r="H59" i="3"/>
  <c r="J59" i="3"/>
  <c r="E59" i="3" s="1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C60" i="3"/>
  <c r="F60" i="3"/>
  <c r="H60" i="3"/>
  <c r="J60" i="3"/>
  <c r="E60" i="3" s="1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C61" i="3"/>
  <c r="F61" i="3"/>
  <c r="H61" i="3"/>
  <c r="J61" i="3"/>
  <c r="E61" i="3" s="1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C62" i="3"/>
  <c r="F62" i="3"/>
  <c r="H62" i="3"/>
  <c r="J62" i="3"/>
  <c r="E62" i="3" s="1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C63" i="3"/>
  <c r="F63" i="3"/>
  <c r="H63" i="3"/>
  <c r="J63" i="3"/>
  <c r="E63" i="3" s="1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C64" i="3"/>
  <c r="F64" i="3"/>
  <c r="H64" i="3"/>
  <c r="J64" i="3"/>
  <c r="E64" i="3" s="1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C65" i="3"/>
  <c r="F65" i="3"/>
  <c r="H65" i="3"/>
  <c r="J65" i="3"/>
  <c r="E65" i="3" s="1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C66" i="3"/>
  <c r="F66" i="3"/>
  <c r="H66" i="3"/>
  <c r="J66" i="3"/>
  <c r="E66" i="3" s="1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C67" i="3"/>
  <c r="F67" i="3"/>
  <c r="H67" i="3"/>
  <c r="J67" i="3"/>
  <c r="E67" i="3" s="1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C68" i="3"/>
  <c r="F68" i="3"/>
  <c r="H68" i="3"/>
  <c r="J68" i="3"/>
  <c r="E68" i="3" s="1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C69" i="3"/>
  <c r="F69" i="3"/>
  <c r="H69" i="3"/>
  <c r="J69" i="3"/>
  <c r="E69" i="3" s="1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C70" i="3"/>
  <c r="F70" i="3"/>
  <c r="H70" i="3"/>
  <c r="J70" i="3"/>
  <c r="E70" i="3" s="1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C71" i="3"/>
  <c r="F71" i="3"/>
  <c r="H71" i="3"/>
  <c r="J71" i="3"/>
  <c r="E71" i="3" s="1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C72" i="3"/>
  <c r="F72" i="3"/>
  <c r="H72" i="3"/>
  <c r="J72" i="3"/>
  <c r="E72" i="3" s="1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C73" i="3"/>
  <c r="F73" i="3"/>
  <c r="H73" i="3"/>
  <c r="J73" i="3"/>
  <c r="E73" i="3" s="1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C74" i="3"/>
  <c r="F74" i="3"/>
  <c r="H74" i="3"/>
  <c r="J74" i="3"/>
  <c r="E74" i="3" s="1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C75" i="3"/>
  <c r="F75" i="3"/>
  <c r="H75" i="3"/>
  <c r="J75" i="3"/>
  <c r="E75" i="3" s="1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C76" i="3"/>
  <c r="F76" i="3"/>
  <c r="H76" i="3"/>
  <c r="J76" i="3"/>
  <c r="E76" i="3" s="1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C77" i="3"/>
  <c r="F77" i="3"/>
  <c r="H77" i="3"/>
  <c r="J77" i="3"/>
  <c r="E77" i="3" s="1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C78" i="3"/>
  <c r="F78" i="3"/>
  <c r="H78" i="3"/>
  <c r="J78" i="3"/>
  <c r="E78" i="3" s="1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C79" i="3"/>
  <c r="F79" i="3"/>
  <c r="H79" i="3"/>
  <c r="J79" i="3"/>
  <c r="E79" i="3" s="1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C80" i="3"/>
  <c r="F80" i="3"/>
  <c r="H80" i="3"/>
  <c r="J80" i="3"/>
  <c r="E80" i="3" s="1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C81" i="3"/>
  <c r="F81" i="3"/>
  <c r="H81" i="3"/>
  <c r="J81" i="3"/>
  <c r="E81" i="3" s="1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C82" i="3"/>
  <c r="F82" i="3"/>
  <c r="H82" i="3"/>
  <c r="J82" i="3"/>
  <c r="E82" i="3" s="1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C83" i="3"/>
  <c r="F83" i="3"/>
  <c r="H83" i="3"/>
  <c r="J83" i="3"/>
  <c r="E83" i="3" s="1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C84" i="3"/>
  <c r="F84" i="3"/>
  <c r="H84" i="3"/>
  <c r="J84" i="3"/>
  <c r="E84" i="3" s="1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C85" i="3"/>
  <c r="F85" i="3"/>
  <c r="H85" i="3"/>
  <c r="J85" i="3"/>
  <c r="E85" i="3" s="1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C86" i="3"/>
  <c r="F86" i="3"/>
  <c r="H86" i="3"/>
  <c r="J86" i="3"/>
  <c r="E86" i="3" s="1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C87" i="3"/>
  <c r="F87" i="3"/>
  <c r="H87" i="3"/>
  <c r="J87" i="3"/>
  <c r="E87" i="3" s="1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C88" i="3"/>
  <c r="F88" i="3"/>
  <c r="H88" i="3"/>
  <c r="J88" i="3"/>
  <c r="E88" i="3" s="1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C89" i="3"/>
  <c r="F89" i="3"/>
  <c r="H89" i="3"/>
  <c r="J89" i="3"/>
  <c r="E89" i="3" s="1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C90" i="3"/>
  <c r="F90" i="3"/>
  <c r="H90" i="3"/>
  <c r="J90" i="3"/>
  <c r="E90" i="3" s="1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C91" i="3"/>
  <c r="F91" i="3"/>
  <c r="H91" i="3"/>
  <c r="J91" i="3"/>
  <c r="E91" i="3" s="1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C92" i="3"/>
  <c r="F92" i="3"/>
  <c r="H92" i="3"/>
  <c r="J92" i="3"/>
  <c r="E92" i="3" s="1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C93" i="3"/>
  <c r="F93" i="3"/>
  <c r="H93" i="3"/>
  <c r="J93" i="3"/>
  <c r="E93" i="3" s="1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C94" i="3"/>
  <c r="F94" i="3"/>
  <c r="H94" i="3"/>
  <c r="J94" i="3"/>
  <c r="E94" i="3" s="1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C95" i="3"/>
  <c r="F95" i="3"/>
  <c r="H95" i="3"/>
  <c r="J95" i="3"/>
  <c r="E95" i="3" s="1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C96" i="3"/>
  <c r="F96" i="3"/>
  <c r="H96" i="3"/>
  <c r="J96" i="3"/>
  <c r="E96" i="3" s="1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C97" i="3"/>
  <c r="F97" i="3"/>
  <c r="H97" i="3"/>
  <c r="J97" i="3"/>
  <c r="E97" i="3" s="1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C98" i="3"/>
  <c r="F98" i="3"/>
  <c r="H98" i="3"/>
  <c r="J98" i="3"/>
  <c r="E98" i="3" s="1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C99" i="3"/>
  <c r="F99" i="3"/>
  <c r="H99" i="3"/>
  <c r="J99" i="3"/>
  <c r="E99" i="3" s="1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C100" i="3"/>
  <c r="F100" i="3"/>
  <c r="H100" i="3"/>
  <c r="J100" i="3"/>
  <c r="E100" i="3" s="1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C101" i="3"/>
  <c r="F101" i="3"/>
  <c r="H101" i="3"/>
  <c r="J101" i="3"/>
  <c r="E101" i="3" s="1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C102" i="3"/>
  <c r="F102" i="3"/>
  <c r="H102" i="3"/>
  <c r="J102" i="3"/>
  <c r="E102" i="3" s="1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C103" i="3"/>
  <c r="F103" i="3"/>
  <c r="H103" i="3"/>
  <c r="J103" i="3"/>
  <c r="E103" i="3" s="1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C104" i="3"/>
  <c r="F104" i="3"/>
  <c r="H104" i="3"/>
  <c r="J104" i="3"/>
  <c r="E104" i="3" s="1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C105" i="3"/>
  <c r="F105" i="3"/>
  <c r="H105" i="3"/>
  <c r="J105" i="3"/>
  <c r="E105" i="3" s="1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C106" i="3"/>
  <c r="F106" i="3"/>
  <c r="H106" i="3"/>
  <c r="J106" i="3"/>
  <c r="E106" i="3" s="1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C107" i="3"/>
  <c r="F107" i="3"/>
  <c r="H107" i="3"/>
  <c r="J107" i="3"/>
  <c r="E107" i="3" s="1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C108" i="3"/>
  <c r="F108" i="3"/>
  <c r="H108" i="3"/>
  <c r="J108" i="3"/>
  <c r="E108" i="3" s="1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C109" i="3"/>
  <c r="F109" i="3"/>
  <c r="H109" i="3"/>
  <c r="J109" i="3"/>
  <c r="E109" i="3" s="1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C110" i="3"/>
  <c r="F110" i="3"/>
  <c r="H110" i="3"/>
  <c r="J110" i="3"/>
  <c r="E110" i="3" s="1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C111" i="3"/>
  <c r="F111" i="3"/>
  <c r="H111" i="3"/>
  <c r="J111" i="3"/>
  <c r="E111" i="3" s="1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C112" i="3"/>
  <c r="F112" i="3"/>
  <c r="H112" i="3"/>
  <c r="J112" i="3"/>
  <c r="E112" i="3" s="1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C113" i="3"/>
  <c r="F113" i="3"/>
  <c r="H113" i="3"/>
  <c r="J113" i="3"/>
  <c r="E113" i="3" s="1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C114" i="3"/>
  <c r="F114" i="3"/>
  <c r="H114" i="3"/>
  <c r="J114" i="3"/>
  <c r="E114" i="3" s="1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C115" i="3"/>
  <c r="F115" i="3"/>
  <c r="H115" i="3"/>
  <c r="J115" i="3"/>
  <c r="E115" i="3" s="1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C116" i="3"/>
  <c r="F116" i="3"/>
  <c r="H116" i="3"/>
  <c r="J116" i="3"/>
  <c r="E116" i="3" s="1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C117" i="3"/>
  <c r="F117" i="3"/>
  <c r="H117" i="3"/>
  <c r="J117" i="3"/>
  <c r="E117" i="3" s="1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C118" i="3"/>
  <c r="F118" i="3"/>
  <c r="H118" i="3"/>
  <c r="J118" i="3"/>
  <c r="E118" i="3" s="1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C119" i="3"/>
  <c r="F119" i="3"/>
  <c r="H119" i="3"/>
  <c r="J119" i="3"/>
  <c r="E119" i="3" s="1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C120" i="3"/>
  <c r="F120" i="3"/>
  <c r="H120" i="3"/>
  <c r="J120" i="3"/>
  <c r="E120" i="3" s="1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C121" i="3"/>
  <c r="F121" i="3"/>
  <c r="H121" i="3"/>
  <c r="J121" i="3"/>
  <c r="E121" i="3" s="1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C122" i="3"/>
  <c r="F122" i="3"/>
  <c r="H122" i="3"/>
  <c r="J122" i="3"/>
  <c r="E122" i="3" s="1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C123" i="3"/>
  <c r="F123" i="3"/>
  <c r="H123" i="3"/>
  <c r="J123" i="3"/>
  <c r="E123" i="3" s="1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Y4" i="3"/>
  <c r="K4" i="3"/>
  <c r="L4" i="3"/>
  <c r="M4" i="3"/>
  <c r="N4" i="3"/>
  <c r="O4" i="3"/>
  <c r="P4" i="3"/>
  <c r="Q4" i="3"/>
  <c r="R4" i="3"/>
  <c r="S4" i="3"/>
  <c r="T4" i="3"/>
  <c r="U4" i="3"/>
  <c r="V4" i="3"/>
  <c r="W4" i="3"/>
  <c r="J4" i="3"/>
  <c r="H4" i="3"/>
  <c r="F4" i="3"/>
  <c r="C4" i="3"/>
  <c r="AZ5" i="3" l="1"/>
  <c r="BA5" i="3"/>
  <c r="X5" i="3" s="1"/>
  <c r="BB5" i="3"/>
  <c r="AZ6" i="3"/>
  <c r="BA6" i="3"/>
  <c r="X6" i="3" s="1"/>
  <c r="BB6" i="3"/>
  <c r="AZ7" i="3"/>
  <c r="BA7" i="3"/>
  <c r="X7" i="3" s="1"/>
  <c r="BB7" i="3"/>
  <c r="AZ8" i="3"/>
  <c r="BA8" i="3"/>
  <c r="X8" i="3" s="1"/>
  <c r="BB8" i="3"/>
  <c r="AZ9" i="3"/>
  <c r="BA9" i="3"/>
  <c r="X9" i="3" s="1"/>
  <c r="BB9" i="3"/>
  <c r="AZ10" i="3"/>
  <c r="BA10" i="3"/>
  <c r="X10" i="3" s="1"/>
  <c r="BB10" i="3"/>
  <c r="AZ11" i="3"/>
  <c r="BA11" i="3"/>
  <c r="X11" i="3" s="1"/>
  <c r="BB11" i="3"/>
  <c r="AZ12" i="3"/>
  <c r="BA12" i="3"/>
  <c r="X12" i="3" s="1"/>
  <c r="BB12" i="3"/>
  <c r="AZ13" i="3"/>
  <c r="BA13" i="3"/>
  <c r="X13" i="3" s="1"/>
  <c r="BB13" i="3"/>
  <c r="AZ14" i="3"/>
  <c r="BA14" i="3"/>
  <c r="X14" i="3" s="1"/>
  <c r="BB14" i="3"/>
  <c r="AZ15" i="3"/>
  <c r="BA15" i="3"/>
  <c r="X15" i="3" s="1"/>
  <c r="BB15" i="3"/>
  <c r="AZ16" i="3"/>
  <c r="BA16" i="3"/>
  <c r="X16" i="3" s="1"/>
  <c r="BB16" i="3"/>
  <c r="AZ17" i="3"/>
  <c r="BA17" i="3"/>
  <c r="X17" i="3" s="1"/>
  <c r="BB17" i="3"/>
  <c r="AZ18" i="3"/>
  <c r="BA18" i="3"/>
  <c r="X18" i="3" s="1"/>
  <c r="BB18" i="3"/>
  <c r="AZ19" i="3"/>
  <c r="BA19" i="3"/>
  <c r="X19" i="3" s="1"/>
  <c r="BB19" i="3"/>
  <c r="AZ20" i="3"/>
  <c r="BA20" i="3"/>
  <c r="X20" i="3" s="1"/>
  <c r="BB20" i="3"/>
  <c r="AZ21" i="3"/>
  <c r="BA21" i="3"/>
  <c r="X21" i="3" s="1"/>
  <c r="BB21" i="3"/>
  <c r="AZ22" i="3"/>
  <c r="BA22" i="3"/>
  <c r="X22" i="3" s="1"/>
  <c r="BB22" i="3"/>
  <c r="AZ23" i="3"/>
  <c r="BA23" i="3"/>
  <c r="X23" i="3" s="1"/>
  <c r="BB23" i="3"/>
  <c r="AZ24" i="3"/>
  <c r="BA24" i="3"/>
  <c r="X24" i="3" s="1"/>
  <c r="BB24" i="3"/>
  <c r="AZ25" i="3"/>
  <c r="BA25" i="3"/>
  <c r="X25" i="3" s="1"/>
  <c r="BB25" i="3"/>
  <c r="AZ26" i="3"/>
  <c r="BA26" i="3"/>
  <c r="X26" i="3" s="1"/>
  <c r="BB26" i="3"/>
  <c r="AZ27" i="3"/>
  <c r="BA27" i="3"/>
  <c r="X27" i="3" s="1"/>
  <c r="BB27" i="3"/>
  <c r="AZ28" i="3"/>
  <c r="BA28" i="3"/>
  <c r="X28" i="3" s="1"/>
  <c r="BB28" i="3"/>
  <c r="AZ29" i="3"/>
  <c r="BA29" i="3"/>
  <c r="X29" i="3" s="1"/>
  <c r="BB29" i="3"/>
  <c r="AZ30" i="3"/>
  <c r="BA30" i="3"/>
  <c r="X30" i="3" s="1"/>
  <c r="BB30" i="3"/>
  <c r="AZ31" i="3"/>
  <c r="BA31" i="3"/>
  <c r="X31" i="3" s="1"/>
  <c r="BB31" i="3"/>
  <c r="AZ32" i="3"/>
  <c r="BA32" i="3"/>
  <c r="X32" i="3" s="1"/>
  <c r="BB32" i="3"/>
  <c r="AZ33" i="3"/>
  <c r="BA33" i="3"/>
  <c r="X33" i="3" s="1"/>
  <c r="BB33" i="3"/>
  <c r="AZ34" i="3"/>
  <c r="BA34" i="3"/>
  <c r="X34" i="3" s="1"/>
  <c r="BB34" i="3"/>
  <c r="AZ35" i="3"/>
  <c r="BA35" i="3"/>
  <c r="X35" i="3" s="1"/>
  <c r="BB35" i="3"/>
  <c r="AZ36" i="3"/>
  <c r="BA36" i="3"/>
  <c r="X36" i="3" s="1"/>
  <c r="BB36" i="3"/>
  <c r="AZ37" i="3"/>
  <c r="BA37" i="3"/>
  <c r="X37" i="3" s="1"/>
  <c r="BB37" i="3"/>
  <c r="AZ38" i="3"/>
  <c r="BA38" i="3"/>
  <c r="X38" i="3" s="1"/>
  <c r="BB38" i="3"/>
  <c r="AZ39" i="3"/>
  <c r="BA39" i="3"/>
  <c r="X39" i="3" s="1"/>
  <c r="BB39" i="3"/>
  <c r="AZ40" i="3"/>
  <c r="BA40" i="3"/>
  <c r="X40" i="3" s="1"/>
  <c r="BB40" i="3"/>
  <c r="AZ41" i="3"/>
  <c r="BA41" i="3"/>
  <c r="X41" i="3" s="1"/>
  <c r="BB41" i="3"/>
  <c r="AZ42" i="3"/>
  <c r="BA42" i="3"/>
  <c r="X42" i="3" s="1"/>
  <c r="BB42" i="3"/>
  <c r="AZ43" i="3"/>
  <c r="BA43" i="3"/>
  <c r="X43" i="3" s="1"/>
  <c r="BB43" i="3"/>
  <c r="AZ44" i="3"/>
  <c r="BA44" i="3"/>
  <c r="X44" i="3" s="1"/>
  <c r="BB44" i="3"/>
  <c r="AZ45" i="3"/>
  <c r="BA45" i="3"/>
  <c r="X45" i="3" s="1"/>
  <c r="BB45" i="3"/>
  <c r="AZ46" i="3"/>
  <c r="BA46" i="3"/>
  <c r="X46" i="3" s="1"/>
  <c r="BB46" i="3"/>
  <c r="AZ47" i="3"/>
  <c r="BA47" i="3"/>
  <c r="X47" i="3" s="1"/>
  <c r="BB47" i="3"/>
  <c r="AZ48" i="3"/>
  <c r="BA48" i="3"/>
  <c r="X48" i="3" s="1"/>
  <c r="BB48" i="3"/>
  <c r="AZ49" i="3"/>
  <c r="BA49" i="3"/>
  <c r="X49" i="3" s="1"/>
  <c r="BB49" i="3"/>
  <c r="AZ50" i="3"/>
  <c r="BA50" i="3"/>
  <c r="X50" i="3" s="1"/>
  <c r="BB50" i="3"/>
  <c r="AZ51" i="3"/>
  <c r="BA51" i="3"/>
  <c r="X51" i="3" s="1"/>
  <c r="BB51" i="3"/>
  <c r="AZ52" i="3"/>
  <c r="BA52" i="3"/>
  <c r="X52" i="3" s="1"/>
  <c r="BB52" i="3"/>
  <c r="AZ53" i="3"/>
  <c r="BA53" i="3"/>
  <c r="X53" i="3" s="1"/>
  <c r="BB53" i="3"/>
  <c r="AZ54" i="3"/>
  <c r="BA54" i="3"/>
  <c r="X54" i="3" s="1"/>
  <c r="BB54" i="3"/>
  <c r="AZ55" i="3"/>
  <c r="BA55" i="3"/>
  <c r="X55" i="3" s="1"/>
  <c r="BB55" i="3"/>
  <c r="AZ56" i="3"/>
  <c r="BA56" i="3"/>
  <c r="X56" i="3" s="1"/>
  <c r="BB56" i="3"/>
  <c r="AZ57" i="3"/>
  <c r="BA57" i="3"/>
  <c r="X57" i="3" s="1"/>
  <c r="BB57" i="3"/>
  <c r="AZ58" i="3"/>
  <c r="BA58" i="3"/>
  <c r="X58" i="3" s="1"/>
  <c r="BB58" i="3"/>
  <c r="AZ59" i="3"/>
  <c r="BA59" i="3"/>
  <c r="X59" i="3" s="1"/>
  <c r="BB59" i="3"/>
  <c r="AZ60" i="3"/>
  <c r="BA60" i="3"/>
  <c r="X60" i="3" s="1"/>
  <c r="BB60" i="3"/>
  <c r="AZ61" i="3"/>
  <c r="BA61" i="3"/>
  <c r="X61" i="3" s="1"/>
  <c r="BB61" i="3"/>
  <c r="AZ62" i="3"/>
  <c r="BA62" i="3"/>
  <c r="X62" i="3" s="1"/>
  <c r="BB62" i="3"/>
  <c r="AZ63" i="3"/>
  <c r="BA63" i="3"/>
  <c r="X63" i="3" s="1"/>
  <c r="BB63" i="3"/>
  <c r="AZ64" i="3"/>
  <c r="BA64" i="3"/>
  <c r="X64" i="3" s="1"/>
  <c r="BB64" i="3"/>
  <c r="AZ65" i="3"/>
  <c r="BA65" i="3"/>
  <c r="X65" i="3" s="1"/>
  <c r="BB65" i="3"/>
  <c r="AZ66" i="3"/>
  <c r="BA66" i="3"/>
  <c r="X66" i="3" s="1"/>
  <c r="BB66" i="3"/>
  <c r="AZ67" i="3"/>
  <c r="BA67" i="3"/>
  <c r="X67" i="3" s="1"/>
  <c r="BB67" i="3"/>
  <c r="AZ68" i="3"/>
  <c r="BA68" i="3"/>
  <c r="X68" i="3" s="1"/>
  <c r="BB68" i="3"/>
  <c r="AZ69" i="3"/>
  <c r="BA69" i="3"/>
  <c r="X69" i="3" s="1"/>
  <c r="BB69" i="3"/>
  <c r="AZ70" i="3"/>
  <c r="BA70" i="3"/>
  <c r="X70" i="3" s="1"/>
  <c r="BB70" i="3"/>
  <c r="AZ71" i="3"/>
  <c r="BA71" i="3"/>
  <c r="X71" i="3" s="1"/>
  <c r="BB71" i="3"/>
  <c r="AZ72" i="3"/>
  <c r="BA72" i="3"/>
  <c r="X72" i="3" s="1"/>
  <c r="BB72" i="3"/>
  <c r="AZ73" i="3"/>
  <c r="BA73" i="3"/>
  <c r="X73" i="3" s="1"/>
  <c r="BB73" i="3"/>
  <c r="AZ74" i="3"/>
  <c r="BA74" i="3"/>
  <c r="X74" i="3" s="1"/>
  <c r="BB74" i="3"/>
  <c r="AZ75" i="3"/>
  <c r="BA75" i="3"/>
  <c r="X75" i="3" s="1"/>
  <c r="BB75" i="3"/>
  <c r="AZ76" i="3"/>
  <c r="BA76" i="3"/>
  <c r="X76" i="3" s="1"/>
  <c r="BB76" i="3"/>
  <c r="AZ77" i="3"/>
  <c r="BA77" i="3"/>
  <c r="X77" i="3" s="1"/>
  <c r="BB77" i="3"/>
  <c r="AZ78" i="3"/>
  <c r="BA78" i="3"/>
  <c r="X78" i="3" s="1"/>
  <c r="BB78" i="3"/>
  <c r="AZ79" i="3"/>
  <c r="BA79" i="3"/>
  <c r="X79" i="3" s="1"/>
  <c r="BB79" i="3"/>
  <c r="AZ80" i="3"/>
  <c r="BA80" i="3"/>
  <c r="X80" i="3" s="1"/>
  <c r="BB80" i="3"/>
  <c r="AZ81" i="3"/>
  <c r="BA81" i="3"/>
  <c r="X81" i="3" s="1"/>
  <c r="BB81" i="3"/>
  <c r="AZ82" i="3"/>
  <c r="BA82" i="3"/>
  <c r="X82" i="3" s="1"/>
  <c r="BB82" i="3"/>
  <c r="AZ83" i="3"/>
  <c r="BA83" i="3"/>
  <c r="X83" i="3" s="1"/>
  <c r="BB83" i="3"/>
  <c r="AZ84" i="3"/>
  <c r="BA84" i="3"/>
  <c r="X84" i="3" s="1"/>
  <c r="BB84" i="3"/>
  <c r="AZ85" i="3"/>
  <c r="BA85" i="3"/>
  <c r="X85" i="3" s="1"/>
  <c r="BB85" i="3"/>
  <c r="AZ86" i="3"/>
  <c r="BA86" i="3"/>
  <c r="X86" i="3" s="1"/>
  <c r="BB86" i="3"/>
  <c r="AZ87" i="3"/>
  <c r="BA87" i="3"/>
  <c r="X87" i="3" s="1"/>
  <c r="BB87" i="3"/>
  <c r="AZ88" i="3"/>
  <c r="BA88" i="3"/>
  <c r="X88" i="3" s="1"/>
  <c r="BB88" i="3"/>
  <c r="AZ89" i="3"/>
  <c r="BA89" i="3"/>
  <c r="X89" i="3" s="1"/>
  <c r="BB89" i="3"/>
  <c r="AZ90" i="3"/>
  <c r="BA90" i="3"/>
  <c r="X90" i="3" s="1"/>
  <c r="BB90" i="3"/>
  <c r="AZ91" i="3"/>
  <c r="BA91" i="3"/>
  <c r="X91" i="3" s="1"/>
  <c r="BB91" i="3"/>
  <c r="AZ92" i="3"/>
  <c r="BA92" i="3"/>
  <c r="X92" i="3" s="1"/>
  <c r="BB92" i="3"/>
  <c r="AZ93" i="3"/>
  <c r="BA93" i="3"/>
  <c r="X93" i="3" s="1"/>
  <c r="BB93" i="3"/>
  <c r="AZ94" i="3"/>
  <c r="BA94" i="3"/>
  <c r="X94" i="3" s="1"/>
  <c r="BB94" i="3"/>
  <c r="AZ95" i="3"/>
  <c r="BA95" i="3"/>
  <c r="X95" i="3" s="1"/>
  <c r="BB95" i="3"/>
  <c r="AZ96" i="3"/>
  <c r="BA96" i="3"/>
  <c r="X96" i="3" s="1"/>
  <c r="BB96" i="3"/>
  <c r="AZ97" i="3"/>
  <c r="BA97" i="3"/>
  <c r="X97" i="3" s="1"/>
  <c r="BB97" i="3"/>
  <c r="AZ98" i="3"/>
  <c r="BA98" i="3"/>
  <c r="X98" i="3" s="1"/>
  <c r="BB98" i="3"/>
  <c r="AZ99" i="3"/>
  <c r="BA99" i="3"/>
  <c r="X99" i="3" s="1"/>
  <c r="BB99" i="3"/>
  <c r="AZ100" i="3"/>
  <c r="BA100" i="3"/>
  <c r="X100" i="3" s="1"/>
  <c r="BB100" i="3"/>
  <c r="AZ101" i="3"/>
  <c r="BA101" i="3"/>
  <c r="X101" i="3" s="1"/>
  <c r="BB101" i="3"/>
  <c r="AZ102" i="3"/>
  <c r="BA102" i="3"/>
  <c r="X102" i="3" s="1"/>
  <c r="BB102" i="3"/>
  <c r="AZ103" i="3"/>
  <c r="BA103" i="3"/>
  <c r="X103" i="3" s="1"/>
  <c r="BB103" i="3"/>
  <c r="AZ104" i="3"/>
  <c r="BA104" i="3"/>
  <c r="X104" i="3" s="1"/>
  <c r="BB104" i="3"/>
  <c r="AZ105" i="3"/>
  <c r="BA105" i="3"/>
  <c r="X105" i="3" s="1"/>
  <c r="BB105" i="3"/>
  <c r="AZ106" i="3"/>
  <c r="BA106" i="3"/>
  <c r="X106" i="3" s="1"/>
  <c r="BB106" i="3"/>
  <c r="AZ107" i="3"/>
  <c r="BA107" i="3"/>
  <c r="X107" i="3" s="1"/>
  <c r="BB107" i="3"/>
  <c r="AZ108" i="3"/>
  <c r="BA108" i="3"/>
  <c r="X108" i="3" s="1"/>
  <c r="BB108" i="3"/>
  <c r="AZ109" i="3"/>
  <c r="BA109" i="3"/>
  <c r="X109" i="3" s="1"/>
  <c r="BB109" i="3"/>
  <c r="AZ110" i="3"/>
  <c r="BA110" i="3"/>
  <c r="X110" i="3" s="1"/>
  <c r="BB110" i="3"/>
  <c r="AZ111" i="3"/>
  <c r="BA111" i="3"/>
  <c r="X111" i="3" s="1"/>
  <c r="BB111" i="3"/>
  <c r="AZ112" i="3"/>
  <c r="BA112" i="3"/>
  <c r="X112" i="3" s="1"/>
  <c r="BB112" i="3"/>
  <c r="AZ113" i="3"/>
  <c r="BA113" i="3"/>
  <c r="X113" i="3" s="1"/>
  <c r="BB113" i="3"/>
  <c r="AZ114" i="3"/>
  <c r="BA114" i="3"/>
  <c r="X114" i="3" s="1"/>
  <c r="BB114" i="3"/>
  <c r="AZ115" i="3"/>
  <c r="BA115" i="3"/>
  <c r="X115" i="3" s="1"/>
  <c r="BB115" i="3"/>
  <c r="AZ116" i="3"/>
  <c r="BA116" i="3"/>
  <c r="X116" i="3" s="1"/>
  <c r="BB116" i="3"/>
  <c r="AZ117" i="3"/>
  <c r="BA117" i="3"/>
  <c r="X117" i="3" s="1"/>
  <c r="BB117" i="3"/>
  <c r="AZ118" i="3"/>
  <c r="BA118" i="3"/>
  <c r="X118" i="3" s="1"/>
  <c r="BB118" i="3"/>
  <c r="AZ119" i="3"/>
  <c r="BA119" i="3"/>
  <c r="X119" i="3" s="1"/>
  <c r="BB119" i="3"/>
  <c r="AZ120" i="3"/>
  <c r="BA120" i="3"/>
  <c r="X120" i="3" s="1"/>
  <c r="BB120" i="3"/>
  <c r="AZ121" i="3"/>
  <c r="BA121" i="3"/>
  <c r="X121" i="3" s="1"/>
  <c r="BB121" i="3"/>
  <c r="AZ122" i="3"/>
  <c r="BA122" i="3"/>
  <c r="X122" i="3" s="1"/>
  <c r="BB122" i="3"/>
  <c r="AZ123" i="3"/>
  <c r="BA123" i="3"/>
  <c r="X123" i="3" s="1"/>
  <c r="BB123" i="3"/>
  <c r="BB4" i="3"/>
  <c r="BA4" i="3"/>
  <c r="X4" i="3" s="1"/>
  <c r="AZ4" i="3"/>
  <c r="E4" i="3"/>
  <c r="D48" i="3" l="1"/>
  <c r="D8" i="3"/>
  <c r="D40" i="3"/>
  <c r="D32" i="3"/>
  <c r="D24" i="3"/>
  <c r="D16" i="3"/>
  <c r="D119" i="3"/>
  <c r="D111" i="3"/>
  <c r="D103" i="3"/>
  <c r="D95" i="3"/>
  <c r="D87" i="3"/>
  <c r="D79" i="3"/>
  <c r="D71" i="3"/>
  <c r="D63" i="3"/>
  <c r="D7" i="3"/>
  <c r="D122" i="3"/>
  <c r="D114" i="3"/>
  <c r="D106" i="3"/>
  <c r="D98" i="3"/>
  <c r="D90" i="3"/>
  <c r="D82" i="3"/>
  <c r="D74" i="3"/>
  <c r="D66" i="3"/>
  <c r="D58" i="3"/>
  <c r="D50" i="3"/>
  <c r="D42" i="3"/>
  <c r="D34" i="3"/>
  <c r="D26" i="3"/>
  <c r="D18" i="3"/>
  <c r="D10" i="3"/>
  <c r="D86" i="3"/>
  <c r="D78" i="3"/>
  <c r="D70" i="3"/>
  <c r="D62" i="3"/>
  <c r="D54" i="3"/>
  <c r="D46" i="3"/>
  <c r="D38" i="3"/>
  <c r="D30" i="3"/>
  <c r="D22" i="3"/>
  <c r="D121" i="3"/>
  <c r="D113" i="3"/>
  <c r="D105" i="3"/>
  <c r="D97" i="3"/>
  <c r="D89" i="3"/>
  <c r="D81" i="3"/>
  <c r="D73" i="3"/>
  <c r="D65" i="3"/>
  <c r="D57" i="3"/>
  <c r="D49" i="3"/>
  <c r="D41" i="3"/>
  <c r="D33" i="3"/>
  <c r="D25" i="3"/>
  <c r="D17" i="3"/>
  <c r="D9" i="3"/>
  <c r="D102" i="3"/>
  <c r="D118" i="3"/>
  <c r="D110" i="3"/>
  <c r="D94" i="3"/>
  <c r="D55" i="3"/>
  <c r="D47" i="3"/>
  <c r="D39" i="3"/>
  <c r="D31" i="3"/>
  <c r="D23" i="3"/>
  <c r="D15" i="3"/>
  <c r="D116" i="3"/>
  <c r="D108" i="3"/>
  <c r="D100" i="3"/>
  <c r="D92" i="3"/>
  <c r="D84" i="3"/>
  <c r="D76" i="3"/>
  <c r="D68" i="3"/>
  <c r="D60" i="3"/>
  <c r="D52" i="3"/>
  <c r="D44" i="3"/>
  <c r="D36" i="3"/>
  <c r="D28" i="3"/>
  <c r="D20" i="3"/>
  <c r="D12" i="3"/>
  <c r="D14" i="3"/>
  <c r="D6" i="3"/>
  <c r="D123" i="3"/>
  <c r="D115" i="3"/>
  <c r="D107" i="3"/>
  <c r="D99" i="3"/>
  <c r="D91" i="3"/>
  <c r="D83" i="3"/>
  <c r="D75" i="3"/>
  <c r="D67" i="3"/>
  <c r="D59" i="3"/>
  <c r="D51" i="3"/>
  <c r="D43" i="3"/>
  <c r="D35" i="3"/>
  <c r="D27" i="3"/>
  <c r="D19" i="3"/>
  <c r="D11" i="3"/>
  <c r="D120" i="3"/>
  <c r="D112" i="3"/>
  <c r="D104" i="3"/>
  <c r="D96" i="3"/>
  <c r="D88" i="3"/>
  <c r="D80" i="3"/>
  <c r="D72" i="3"/>
  <c r="D64" i="3"/>
  <c r="D56" i="3"/>
  <c r="D117" i="3"/>
  <c r="D109" i="3"/>
  <c r="D101" i="3"/>
  <c r="D93" i="3"/>
  <c r="D85" i="3"/>
  <c r="D77" i="3"/>
  <c r="D69" i="3"/>
  <c r="D61" i="3"/>
  <c r="D53" i="3"/>
  <c r="D45" i="3"/>
  <c r="D37" i="3"/>
  <c r="D29" i="3"/>
  <c r="D21" i="3"/>
  <c r="D13" i="3"/>
  <c r="D5" i="3"/>
  <c r="D4" i="3"/>
  <c r="AD40" i="2" l="1"/>
  <c r="AD42" i="2" s="1"/>
  <c r="AD35" i="2"/>
  <c r="AD37" i="2" s="1"/>
  <c r="AD34" i="2"/>
  <c r="AD36" i="2" s="1"/>
  <c r="AD8" i="2"/>
  <c r="AD7" i="2"/>
  <c r="AD6" i="2"/>
  <c r="AD9" i="2" s="1"/>
  <c r="AD5" i="2"/>
  <c r="I3" i="2"/>
  <c r="AD33" i="2" l="1"/>
  <c r="AD32" i="2"/>
  <c r="AD11" i="2"/>
  <c r="AD10" i="2"/>
  <c r="AD41" i="2"/>
  <c r="AD43" i="2" s="1"/>
  <c r="A15" i="2" s="1"/>
  <c r="AD14" i="2" l="1"/>
  <c r="AD13" i="2"/>
  <c r="AD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wei mu</author>
  </authors>
  <commentList>
    <comment ref="A11" authorId="0" shapeId="0" xr:uid="{00000000-0006-0000-0000-000001000000}">
      <text>
        <r>
          <rPr>
            <sz val="9"/>
            <color indexed="81"/>
            <rFont val="Tahoma"/>
            <family val="2"/>
          </rPr>
          <t>As of 04/20/2018.
Yahoo Finance changed their way of implementation for the website several months ago. They may also make changes in the future.</t>
        </r>
      </text>
    </comment>
  </commentList>
</comments>
</file>

<file path=xl/sharedStrings.xml><?xml version="1.0" encoding="utf-8"?>
<sst xmlns="http://schemas.openxmlformats.org/spreadsheetml/2006/main" count="1608" uniqueCount="369">
  <si>
    <t>Get Historical Price From Yahoo Finance</t>
  </si>
  <si>
    <t>Instructions</t>
  </si>
  <si>
    <t>Technical Details</t>
  </si>
  <si>
    <t>Factory Settings</t>
  </si>
  <si>
    <t>Data Area</t>
  </si>
  <si>
    <t>Response</t>
  </si>
  <si>
    <t>1.  DO NOT RENAME THIS WORKSHEET and all other worksheets in this tool. The long sheet names are intended to avoid possible sheet name conflicts.</t>
  </si>
  <si>
    <t>Yahoo Finance discountinued their API since May 2017. This tool download historical price data from Yahoo by simulating browser requests.</t>
  </si>
  <si>
    <t>Yahoo Finance Historical Data For Ticker:</t>
  </si>
  <si>
    <t>MSFT</t>
  </si>
  <si>
    <t>Security Code</t>
  </si>
  <si>
    <t>Method</t>
  </si>
  <si>
    <t>Type</t>
  </si>
  <si>
    <t>URL</t>
  </si>
  <si>
    <t>Period</t>
  </si>
  <si>
    <t>Monthly</t>
  </si>
  <si>
    <t>Number of Periods</t>
  </si>
  <si>
    <t>2. This is a standalone tool which can also be included into any existing model. To include this tool into your model, copy ALL FIVE worksheets to your model.</t>
  </si>
  <si>
    <t>This tool obtain Cookie and "Crumb" parameter in query strings by HTTP GET via WinHTTP or ServerXMLHTTP.</t>
  </si>
  <si>
    <t>Daily</t>
  </si>
  <si>
    <t>Year</t>
  </si>
  <si>
    <t>Month</t>
  </si>
  <si>
    <t>Day</t>
  </si>
  <si>
    <t>Current Ticker</t>
  </si>
  <si>
    <t>The following link is used to get a new "Crumb" and Cookie:</t>
  </si>
  <si>
    <t>Dates</t>
  </si>
  <si>
    <t>Begin Date</t>
  </si>
  <si>
    <t>End Date must be greater than Begin Date.</t>
  </si>
  <si>
    <t>Invalid Date. Please check your input.</t>
  </si>
  <si>
    <t>Status</t>
  </si>
  <si>
    <t>Update Historical Data Complete.</t>
  </si>
  <si>
    <t>3. Input Period, Begin Date and End Date. You may keep other settings unchanged. Click "Get Historical Data" to start.</t>
  </si>
  <si>
    <t>https://finance.yahoo.com/quote/AAPL/history?p=AAPL</t>
  </si>
  <si>
    <t>Beg Date</t>
  </si>
  <si>
    <t>End Date</t>
  </si>
  <si>
    <t>Process</t>
  </si>
  <si>
    <t>4. When the process is running, click "Abort" anytime to abort operations.</t>
  </si>
  <si>
    <t>The tool will try to use existing "Crumb" first before updating Crumb and Cookie when necessary.</t>
  </si>
  <si>
    <t>Price or Div</t>
  </si>
  <si>
    <t>Prices</t>
  </si>
  <si>
    <t xml:space="preserve">  Price or Dividend</t>
  </si>
  <si>
    <t>Crumb</t>
  </si>
  <si>
    <t xml:space="preserve">5. In the "Price Info" switch, by default only the current processing ticker will be shown in the data area. However, regardless of your choice, </t>
  </si>
  <si>
    <t xml:space="preserve">In general, the internal behaviour of this tool is equivalent to clicking "Download Data" on "Historical Data" page for each ticker. The data obtained </t>
  </si>
  <si>
    <t>Today</t>
  </si>
  <si>
    <t>Price Info</t>
  </si>
  <si>
    <t>Default</t>
  </si>
  <si>
    <t xml:space="preserve">  Specify where the price info of each ticker should be stored</t>
  </si>
  <si>
    <t>Cookie</t>
  </si>
  <si>
    <t xml:space="preserve">     closing prices and adjusted closing prices for all the tickers will always be extracted and saved into "YHHistoricalPrices" and "YHHistoricalPricesAdjusted"</t>
  </si>
  <si>
    <t>is parsed and stored into the work area of this worksheet (by default), then copied to other worksheets for the calculation of returns.</t>
  </si>
  <si>
    <t>Beg Month 1st Day</t>
  </si>
  <si>
    <t>Debug</t>
  </si>
  <si>
    <t>No</t>
  </si>
  <si>
    <t xml:space="preserve">  Set Yes to extract response details in the work area</t>
  </si>
  <si>
    <t>Errors</t>
  </si>
  <si>
    <t xml:space="preserve">     worksheets.</t>
  </si>
  <si>
    <t>Setting "Debug" to "Yes" will export all network responses into the work area of this worksheet. This function is helpful in troubleshooting.</t>
  </si>
  <si>
    <t>End Month Last Day</t>
  </si>
  <si>
    <t>WinHTTP</t>
  </si>
  <si>
    <t xml:space="preserve">  WinHTTP by default</t>
  </si>
  <si>
    <t>Warnings</t>
  </si>
  <si>
    <t>Reference</t>
  </si>
  <si>
    <t>Today + 1</t>
  </si>
  <si>
    <t>Warning: Your input month is the same as today's month. Historical Data for the last month may contain both the first day of this month and the most recent trading day.</t>
  </si>
  <si>
    <t>1.   https://xlautomation.com.au/free-spreadsheets/yahoo-historical-price-extract</t>
  </si>
  <si>
    <t>Today - 10</t>
  </si>
  <si>
    <t xml:space="preserve">     Some VBA functions inspired or modified/overhauled from their work. However, I am unable to confirm that they are the original author of these functions, </t>
  </si>
  <si>
    <t xml:space="preserve">     because multiple versions of these functions already exist on the Internet.</t>
  </si>
  <si>
    <t>2.  MSDN object model (Excel VBA reference) https://msdn.microsoft.com/en-us/vba/excel-vba/articles/object-model-excel-vba-reference</t>
  </si>
  <si>
    <t>List of Errors and Warnings</t>
  </si>
  <si>
    <t>3.  StackOverflow https://stackoverflow.com/</t>
  </si>
  <si>
    <t>#</t>
  </si>
  <si>
    <t>Ticker</t>
  </si>
  <si>
    <t>Price</t>
  </si>
  <si>
    <t>Historical Date</t>
  </si>
  <si>
    <t>Error</t>
  </si>
  <si>
    <t>Error or Warning Message</t>
  </si>
  <si>
    <t>Frequency Choice</t>
  </si>
  <si>
    <t>AAPL</t>
  </si>
  <si>
    <t>GE</t>
  </si>
  <si>
    <t>IBM</t>
  </si>
  <si>
    <t>Weekly</t>
  </si>
  <si>
    <t>DIS</t>
  </si>
  <si>
    <t>GIS</t>
  </si>
  <si>
    <t>WMT</t>
  </si>
  <si>
    <t>Intermediate Choice</t>
  </si>
  <si>
    <t>Create Separate Worksheet</t>
  </si>
  <si>
    <t>AWR</t>
  </si>
  <si>
    <t>Export CSV File</t>
  </si>
  <si>
    <t>CWT</t>
  </si>
  <si>
    <t>WTR</t>
  </si>
  <si>
    <t>ServerXMLHTTP</t>
  </si>
  <si>
    <t>Consistency</t>
  </si>
  <si>
    <t>Beg &lt; End</t>
  </si>
  <si>
    <t>Last Month Duplicate Result</t>
  </si>
  <si>
    <t>EOMONTH Start Date</t>
  </si>
  <si>
    <t>EOMONTH End Date</t>
  </si>
  <si>
    <t>Start Date DAY &lt;= EOMONTH</t>
  </si>
  <si>
    <t>End Date DAY &lt;= EOMONTH</t>
  </si>
  <si>
    <t>The month before this month</t>
  </si>
  <si>
    <t>This month</t>
  </si>
  <si>
    <t>period1</t>
  </si>
  <si>
    <t>period2</t>
  </si>
  <si>
    <t>Date</t>
  </si>
  <si>
    <t>regularMarketTime</t>
  </si>
  <si>
    <t>regularMarketPrice</t>
  </si>
  <si>
    <t>USD</t>
  </si>
  <si>
    <t>null</t>
  </si>
  <si>
    <t>NYQ</t>
  </si>
  <si>
    <t>America/New_York</t>
  </si>
  <si>
    <t>EDT</t>
  </si>
  <si>
    <t>139.13 - 171.13</t>
  </si>
  <si>
    <t>NYSE</t>
  </si>
  <si>
    <t>en-US</t>
  </si>
  <si>
    <t>International Business Machines Corporation</t>
  </si>
  <si>
    <t>us_market</t>
  </si>
  <si>
    <t>finmb_112350</t>
  </si>
  <si>
    <t>EQUITY</t>
  </si>
  <si>
    <t>International Business Machines</t>
  </si>
  <si>
    <t>Historical Prices for Tickers. Do not rename this worksheet.</t>
  </si>
  <si>
    <t>Historical Adjusted Prices for Tickers. Do not rename this worksheet.</t>
  </si>
  <si>
    <t>Calculated Returns for Tickers. Do not rename this worksheet.</t>
  </si>
  <si>
    <t>shortName</t>
  </si>
  <si>
    <t>exchange</t>
  </si>
  <si>
    <t>quoteSourceName</t>
  </si>
  <si>
    <t>regularMarketOpen</t>
  </si>
  <si>
    <t>regularMarketDayHigh</t>
  </si>
  <si>
    <t>regularMarketDayLow</t>
  </si>
  <si>
    <t>regularMarketVolume</t>
  </si>
  <si>
    <t>regularMarketChange</t>
  </si>
  <si>
    <t>regularMarketChangePercent</t>
  </si>
  <si>
    <t>regularMarketPreviousClose</t>
  </si>
  <si>
    <t>bookValue</t>
  </si>
  <si>
    <t>priceToBook</t>
  </si>
  <si>
    <t>sharesOutstanding</t>
  </si>
  <si>
    <t>marketCap</t>
  </si>
  <si>
    <t>trailingAnnualDividendRate</t>
  </si>
  <si>
    <t>trailingAnnualDividendYield</t>
  </si>
  <si>
    <t>dividendDate</t>
  </si>
  <si>
    <t>forwardPE</t>
  </si>
  <si>
    <t>trailingPE</t>
  </si>
  <si>
    <t>epsForward</t>
  </si>
  <si>
    <t>epsTrailingTwelveMonths</t>
  </si>
  <si>
    <t>averageDailyVolume3Month</t>
  </si>
  <si>
    <t>averageDailyVolume10Day</t>
  </si>
  <si>
    <t>fiftyTwoWeekHigh</t>
  </si>
  <si>
    <t>fiftyTwoWeekHighChange</t>
  </si>
  <si>
    <t>fiftyTwoWeekHighChangePercent</t>
  </si>
  <si>
    <t>fiftyTwoWeekLow</t>
  </si>
  <si>
    <t>fiftyTwoWeekLowChange</t>
  </si>
  <si>
    <t>fiftyTwoWeekLowChangePercent</t>
  </si>
  <si>
    <t>fiftyTwoWeekRange</t>
  </si>
  <si>
    <t>twoHundredDayAverage</t>
  </si>
  <si>
    <t>twoHundredDayAverageChange</t>
  </si>
  <si>
    <t>twoHundredDayAverageChangePercent</t>
  </si>
  <si>
    <t>ask</t>
  </si>
  <si>
    <t>askSize</t>
  </si>
  <si>
    <t>bid</t>
  </si>
  <si>
    <t>bidSize</t>
  </si>
  <si>
    <t>gmtOffSetMilliseconds</t>
  </si>
  <si>
    <t>currency</t>
  </si>
  <si>
    <t>earningsTimestamp</t>
  </si>
  <si>
    <t>earningsTimestampEnd</t>
  </si>
  <si>
    <t>earningsTimestampStart</t>
  </si>
  <si>
    <t>error</t>
  </si>
  <si>
    <t>esgPopulated</t>
  </si>
  <si>
    <t>exchangeDataDelayedBy</t>
  </si>
  <si>
    <t>exchangeTimezoneName</t>
  </si>
  <si>
    <t>exchangeTimezoneShortName</t>
  </si>
  <si>
    <t>fiftyDayAverage</t>
  </si>
  <si>
    <t>fiftyDayAverageChange</t>
  </si>
  <si>
    <t>fiftyDayAverageChangePercent</t>
  </si>
  <si>
    <t>financialCurrency</t>
  </si>
  <si>
    <t>fullExchangeName</t>
  </si>
  <si>
    <t>language</t>
  </si>
  <si>
    <t>longName</t>
  </si>
  <si>
    <t>market</t>
  </si>
  <si>
    <t>marketState</t>
  </si>
  <si>
    <t>messageBoardId</t>
  </si>
  <si>
    <t>priceHint</t>
  </si>
  <si>
    <t>quoteResponse</t>
  </si>
  <si>
    <t>quoteType</t>
  </si>
  <si>
    <t>regularMarketDayRange</t>
  </si>
  <si>
    <t>sourceInterval</t>
  </si>
  <si>
    <t>symbol</t>
  </si>
  <si>
    <t>tradeable</t>
  </si>
  <si>
    <t>result</t>
  </si>
  <si>
    <t>Yahoo Response (Work Area. Please do not change anything below)</t>
  </si>
  <si>
    <t>*</t>
  </si>
  <si>
    <t>Work Area</t>
  </si>
  <si>
    <t>6. To Get Recent Price from Yahoo, click "Get Recent Price" button on this sheet, or the "Refresh" button on GetRecentPriceYahoo worksheet.</t>
  </si>
  <si>
    <t>7.  If you have any questions, please send me an email mw2010a@gmail.com</t>
  </si>
  <si>
    <t>Additional Information from Yahoo Finance</t>
  </si>
  <si>
    <t>Nasdaq Real Time Price</t>
  </si>
  <si>
    <t>Apple Inc.</t>
  </si>
  <si>
    <t>finmb_24937</t>
  </si>
  <si>
    <t>NasdaqGS</t>
  </si>
  <si>
    <t>142.2 - 183.5</t>
  </si>
  <si>
    <t>NMS</t>
  </si>
  <si>
    <t>finmb_177031</t>
  </si>
  <si>
    <t>General Electric Company</t>
  </si>
  <si>
    <t>12.73 - 29.55</t>
  </si>
  <si>
    <t>finmb_191564</t>
  </si>
  <si>
    <t>The Walt Disney Company</t>
  </si>
  <si>
    <t>96.2 - 116.1</t>
  </si>
  <si>
    <t>Walt Disney Company (The)</t>
  </si>
  <si>
    <t>General Mills</t>
  </si>
  <si>
    <t>Inc.</t>
  </si>
  <si>
    <t>finmb_274715</t>
  </si>
  <si>
    <t>43.18 - 60.69</t>
  </si>
  <si>
    <t>73.13 - 109.98</t>
  </si>
  <si>
    <t>finmb_313055</t>
  </si>
  <si>
    <t>Walmart Inc.</t>
  </si>
  <si>
    <t>You may input any valid symbol in the input area below.</t>
  </si>
  <si>
    <t>Price/Quote</t>
  </si>
  <si>
    <t>The output format depends on Yahoo website.</t>
  </si>
  <si>
    <t>preMarketTime</t>
  </si>
  <si>
    <t>Open</t>
  </si>
  <si>
    <t>High</t>
  </si>
  <si>
    <t>Low</t>
  </si>
  <si>
    <t>Close</t>
  </si>
  <si>
    <t>Adj Close</t>
  </si>
  <si>
    <t>Volume</t>
  </si>
  <si>
    <t>See  this link as an example</t>
  </si>
  <si>
    <t>because Yahoo Finance use the first day of a month to represent the corresponding monthly historical data.</t>
  </si>
  <si>
    <t xml:space="preserve">The historical date in the summary area is copied as-it-is from Yahoo Finance website, but you should be aware that it represents the last trading day </t>
  </si>
  <si>
    <t xml:space="preserve">     for monthly historical data.</t>
  </si>
  <si>
    <t>When Period is set to "Monthly",  the "Price" in the summary area shows the closing price of the last trading day of the end month,</t>
  </si>
  <si>
    <t xml:space="preserve">     Then Press Alt+F11. In the Project Explorer window (by default it should be on the left of your screen), drag "YahooHistoricalPrice"</t>
  </si>
  <si>
    <t>BHP.ax</t>
  </si>
  <si>
    <t>CSL.ax</t>
  </si>
  <si>
    <t>^AXJO</t>
  </si>
  <si>
    <t>^TNX</t>
  </si>
  <si>
    <t>^GSPC</t>
  </si>
  <si>
    <t>BRK-A</t>
  </si>
  <si>
    <t>AUD</t>
  </si>
  <si>
    <t>30.87 - 31.27</t>
  </si>
  <si>
    <t>finmb_256654</t>
  </si>
  <si>
    <t>ASX</t>
  </si>
  <si>
    <t>BHP Billiton Limited</t>
  </si>
  <si>
    <t>22.06 - 32.16</t>
  </si>
  <si>
    <t>Australia/Sydney</t>
  </si>
  <si>
    <t>AEST</t>
  </si>
  <si>
    <t>au_market</t>
  </si>
  <si>
    <t>BHP BLT FPO</t>
  </si>
  <si>
    <t>BHP.AX</t>
  </si>
  <si>
    <t>161.04 - 161.99</t>
  </si>
  <si>
    <t>CSL FPO</t>
  </si>
  <si>
    <t>finmb_881503</t>
  </si>
  <si>
    <t>119.01 - 167.66</t>
  </si>
  <si>
    <t>CSL Limited</t>
  </si>
  <si>
    <t>CSL.AX</t>
  </si>
  <si>
    <t>INDEX</t>
  </si>
  <si>
    <t>5879.6 - 5928.8</t>
  </si>
  <si>
    <t>finmb_INDEXAXJO</t>
  </si>
  <si>
    <t>5629.8 - 6150.0</t>
  </si>
  <si>
    <t>S&amp;P/ASX 200</t>
  </si>
  <si>
    <t>CBOE Interest Rate 10 Year T No</t>
  </si>
  <si>
    <t>WCB</t>
  </si>
  <si>
    <t>finmb_INDEXTNX</t>
  </si>
  <si>
    <t>Chicago Options</t>
  </si>
  <si>
    <t>2352.72 - 2872.87</t>
  </si>
  <si>
    <t>SNP</t>
  </si>
  <si>
    <t>finmb_INDEXGSPC</t>
  </si>
  <si>
    <t>S&amp;P 500</t>
  </si>
  <si>
    <t>finmb_255251</t>
  </si>
  <si>
    <t>Berkshire Hathaway Inc.</t>
  </si>
  <si>
    <t>242180.0 - 326350.0</t>
  </si>
  <si>
    <t xml:space="preserve">     and "YahooRecentPrice" Module to your project. Copy the button which you want to use, or create your own button and link to the same macro.</t>
  </si>
  <si>
    <t>PREPRE</t>
  </si>
  <si>
    <t>REGULAR</t>
  </si>
  <si>
    <t>2.034 - 3.035</t>
  </si>
  <si>
    <t>3.007 - 3.035</t>
  </si>
  <si>
    <t>Free Realtime Quote</t>
  </si>
  <si>
    <t>2612.67 - 2645.3</t>
  </si>
  <si>
    <t>291994.88 - 296010.0</t>
  </si>
  <si>
    <t>162.42 - 165.415</t>
  </si>
  <si>
    <t>13.91 - 14.72</t>
  </si>
  <si>
    <t>144.12 - 146.0</t>
  </si>
  <si>
    <t>99.05 - 101.49</t>
  </si>
  <si>
    <t>43.895 - 44.73</t>
  </si>
  <si>
    <t>85.9 - 87.7</t>
  </si>
  <si>
    <t>Ver 2.2 - 04/25/2018 by Wei Mu</t>
  </si>
  <si>
    <t>MCD</t>
  </si>
  <si>
    <t>KO</t>
  </si>
  <si>
    <t>MHK</t>
  </si>
  <si>
    <t>POOL</t>
  </si>
  <si>
    <t>TM</t>
  </si>
  <si>
    <t>PG</t>
  </si>
  <si>
    <t>PEP</t>
  </si>
  <si>
    <t>HMC</t>
  </si>
  <si>
    <t>TSLA</t>
  </si>
  <si>
    <t>XOM</t>
  </si>
  <si>
    <t>CVX</t>
  </si>
  <si>
    <t>SHW</t>
  </si>
  <si>
    <t>PPG</t>
  </si>
  <si>
    <t>WLK</t>
  </si>
  <si>
    <t>IFF</t>
  </si>
  <si>
    <t>ALB</t>
  </si>
  <si>
    <t>MON</t>
  </si>
  <si>
    <t>MOS</t>
  </si>
  <si>
    <t>SMG</t>
  </si>
  <si>
    <t>JNJ</t>
  </si>
  <si>
    <t>PFE</t>
  </si>
  <si>
    <t>MRK</t>
  </si>
  <si>
    <t>UNH</t>
  </si>
  <si>
    <t>BDX</t>
  </si>
  <si>
    <t>HCA</t>
  </si>
  <si>
    <t>UHS</t>
  </si>
  <si>
    <t>UTHR</t>
  </si>
  <si>
    <t>TARO</t>
  </si>
  <si>
    <t>AGN</t>
  </si>
  <si>
    <t>HD</t>
  </si>
  <si>
    <t>MAR</t>
  </si>
  <si>
    <t>EXPE</t>
  </si>
  <si>
    <t>WYN</t>
  </si>
  <si>
    <t>IHG</t>
  </si>
  <si>
    <t>HTHT</t>
  </si>
  <si>
    <t>H</t>
  </si>
  <si>
    <t>UNP</t>
  </si>
  <si>
    <t>DPZ</t>
  </si>
  <si>
    <t>CMG</t>
  </si>
  <si>
    <t>AWK</t>
  </si>
  <si>
    <t>CTWS</t>
  </si>
  <si>
    <t>NEE</t>
  </si>
  <si>
    <t>DUK</t>
  </si>
  <si>
    <t>SO</t>
  </si>
  <si>
    <t>SRE</t>
  </si>
  <si>
    <t>DTE</t>
  </si>
  <si>
    <t>JPM</t>
  </si>
  <si>
    <t>BAC</t>
  </si>
  <si>
    <t>V</t>
  </si>
  <si>
    <t>C</t>
  </si>
  <si>
    <t>GS</t>
  </si>
  <si>
    <t>USB</t>
  </si>
  <si>
    <t>WFC</t>
  </si>
  <si>
    <t>MA</t>
  </si>
  <si>
    <t>SAN</t>
  </si>
  <si>
    <t>AXP</t>
  </si>
  <si>
    <t>MMM</t>
  </si>
  <si>
    <t>HON</t>
  </si>
  <si>
    <t>DHR</t>
  </si>
  <si>
    <t>ITW</t>
  </si>
  <si>
    <t>ROP</t>
  </si>
  <si>
    <t>CMI</t>
  </si>
  <si>
    <t>IEX</t>
  </si>
  <si>
    <t>NDSN</t>
  </si>
  <si>
    <t>ZBRA</t>
  </si>
  <si>
    <t>MIDD</t>
  </si>
  <si>
    <t>INTC</t>
  </si>
  <si>
    <t>VZ</t>
  </si>
  <si>
    <t>CRM</t>
  </si>
  <si>
    <t>INTU</t>
  </si>
  <si>
    <t>RHT</t>
  </si>
  <si>
    <t>ANSS</t>
  </si>
  <si>
    <t>NVDA</t>
  </si>
  <si>
    <t>FB</t>
  </si>
  <si>
    <t>HPQ</t>
  </si>
  <si>
    <t>MU</t>
  </si>
  <si>
    <t>Data doesn't exist for startDate = 1362110400, endDate = 1522468800</t>
  </si>
  <si>
    <t>Click to check PG</t>
  </si>
  <si>
    <t>Extract Error</t>
  </si>
  <si>
    <t>Click to check PPG</t>
  </si>
  <si>
    <t>Click to check BDX</t>
  </si>
  <si>
    <t>B=96cc4uhdegmv4&amp;b=3&amp;s=jm</t>
  </si>
  <si>
    <t>YLwhyC/hbWp</t>
  </si>
  <si>
    <t>CC</t>
  </si>
  <si>
    <t>ABBV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</si>
</sst>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8" fillId="0" borderId="0" applyNumberFormat="0" applyFill="0" applyBorder="0" applyAlignment="0" applyProtection="0"/>
    <xf numFmtId="0" fontId="10" fillId="7" borderId="0" applyNumberFormat="0" applyBorder="0" applyAlignment="0" applyProtection="0"/>
  </cellStyleXfs>
  <cellXfs count="59">
    <xf numFmtId="0" fontId="0" fillId="0" borderId="0" xfId="0"/>
    <xf numFmtId="0" fontId="6" fillId="0" borderId="0" xfId="0" applyFont="1"/>
    <xf numFmtId="0" fontId="3" fillId="0" borderId="0" xfId="0" applyFont="1"/>
    <xf numFmtId="0" fontId="0" fillId="0" borderId="0" xfId="0" applyFont="1"/>
    <xf numFmtId="0" fontId="3" fillId="0" borderId="2" xfId="0" applyFont="1" applyBorder="1" applyAlignment="1"/>
    <xf numFmtId="4" fontId="0" fillId="0" borderId="2" xfId="0" applyNumberFormat="1" applyBorder="1"/>
    <xf numFmtId="3" fontId="0" fillId="0" borderId="2" xfId="0" applyNumberFormat="1" applyBorder="1"/>
    <xf numFmtId="0" fontId="0" fillId="0" borderId="2" xfId="0" applyBorder="1"/>
    <xf numFmtId="0" fontId="3" fillId="4" borderId="3" xfId="0" applyFont="1" applyFill="1" applyBorder="1"/>
    <xf numFmtId="0" fontId="1" fillId="2" borderId="3" xfId="1" applyBorder="1" applyAlignment="1">
      <alignment horizontal="right"/>
    </xf>
    <xf numFmtId="0" fontId="0" fillId="4" borderId="3" xfId="0" applyFont="1" applyFill="1" applyBorder="1" applyAlignment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0" xfId="0" applyAlignment="1"/>
    <xf numFmtId="0" fontId="2" fillId="3" borderId="0" xfId="0" applyFont="1" applyFill="1" applyAlignment="1">
      <alignment horizontal="right"/>
    </xf>
    <xf numFmtId="0" fontId="0" fillId="4" borderId="3" xfId="0" applyFill="1" applyBorder="1"/>
    <xf numFmtId="0" fontId="0" fillId="5" borderId="3" xfId="0" applyFill="1" applyBorder="1" applyAlignment="1">
      <alignment horizontal="center"/>
    </xf>
    <xf numFmtId="14" fontId="0" fillId="0" borderId="0" xfId="0" applyNumberFormat="1"/>
    <xf numFmtId="4" fontId="0" fillId="0" borderId="0" xfId="0" applyNumberFormat="1"/>
    <xf numFmtId="3" fontId="0" fillId="0" borderId="0" xfId="0" applyNumberFormat="1"/>
    <xf numFmtId="0" fontId="1" fillId="2" borderId="4" xfId="1" applyBorder="1"/>
    <xf numFmtId="0" fontId="1" fillId="2" borderId="1" xfId="1"/>
    <xf numFmtId="0" fontId="0" fillId="0" borderId="0" xfId="0" applyFill="1"/>
    <xf numFmtId="10" fontId="0" fillId="5" borderId="3" xfId="0" applyNumberFormat="1" applyFill="1" applyBorder="1" applyAlignment="1">
      <alignment horizontal="center"/>
    </xf>
    <xf numFmtId="0" fontId="0" fillId="4" borderId="3" xfId="0" applyFont="1" applyFill="1" applyBorder="1"/>
    <xf numFmtId="1" fontId="0" fillId="0" borderId="3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NumberFormat="1"/>
    <xf numFmtId="0" fontId="8" fillId="0" borderId="0" xfId="2"/>
    <xf numFmtId="0" fontId="2" fillId="3" borderId="0" xfId="0" applyFont="1" applyFill="1"/>
    <xf numFmtId="0" fontId="2" fillId="3" borderId="0" xfId="0" applyFont="1" applyFill="1" applyAlignment="1"/>
    <xf numFmtId="0" fontId="7" fillId="0" borderId="0" xfId="0" applyFont="1" applyFill="1"/>
    <xf numFmtId="1" fontId="0" fillId="0" borderId="0" xfId="0" applyNumberFormat="1"/>
    <xf numFmtId="14" fontId="0" fillId="0" borderId="0" xfId="0" applyNumberFormat="1" applyAlignment="1"/>
    <xf numFmtId="0" fontId="0" fillId="0" borderId="0" xfId="0" applyNumberFormat="1" applyAlignment="1"/>
    <xf numFmtId="0" fontId="4" fillId="3" borderId="0" xfId="0" applyFont="1" applyFill="1"/>
    <xf numFmtId="0" fontId="0" fillId="0" borderId="0" xfId="0" applyAlignment="1">
      <alignment horizontal="right"/>
    </xf>
    <xf numFmtId="10" fontId="0" fillId="0" borderId="0" xfId="0" applyNumberFormat="1"/>
    <xf numFmtId="11" fontId="0" fillId="0" borderId="0" xfId="0" applyNumberFormat="1"/>
    <xf numFmtId="0" fontId="10" fillId="7" borderId="1" xfId="3" applyBorder="1"/>
    <xf numFmtId="0" fontId="2" fillId="3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4" fillId="6" borderId="6" xfId="0" applyFont="1" applyFill="1" applyBorder="1" applyAlignment="1">
      <alignment horizontal="center" wrapText="1"/>
    </xf>
    <xf numFmtId="0" fontId="1" fillId="2" borderId="7" xfId="1" applyBorder="1" applyAlignment="1">
      <alignment horizontal="center" vertical="center"/>
    </xf>
    <xf numFmtId="0" fontId="1" fillId="2" borderId="8" xfId="1" applyBorder="1" applyAlignment="1">
      <alignment horizontal="center" vertical="center"/>
    </xf>
    <xf numFmtId="0" fontId="1" fillId="2" borderId="9" xfId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2" borderId="3" xfId="1" applyBorder="1" applyAlignment="1">
      <alignment horizontal="center" vertical="center"/>
    </xf>
    <xf numFmtId="0" fontId="1" fillId="2" borderId="8" xfId="1" applyBorder="1" applyAlignment="1">
      <alignment horizontal="center"/>
    </xf>
    <xf numFmtId="0" fontId="1" fillId="2" borderId="9" xfId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0" xfId="2" applyAlignment="1">
      <alignment horizontal="center"/>
    </xf>
    <xf numFmtId="0" fontId="0" fillId="0" borderId="0" xfId="0" applyAlignment="1">
      <alignment horizontal="center"/>
    </xf>
    <xf numFmtId="0" fontId="2" fillId="3" borderId="2" xfId="0" applyFont="1" applyFill="1" applyBorder="1" applyAlignment="1">
      <alignment horizontal="center"/>
    </xf>
  </cellXfs>
  <cellStyles count="4">
    <cellStyle name="Bad" xfId="3" builtinId="27"/>
    <cellStyle name="Hyperlink" xfId="2" builtinId="8"/>
    <cellStyle name="Input" xfId="1" builtinId="20"/>
    <cellStyle name="Normal" xfId="0" builtinId="0"/>
  </cellStyles>
  <dxfs count="10">
    <dxf>
      <font>
        <color theme="0"/>
      </font>
      <fill>
        <patternFill patternType="none">
          <bgColor auto="1"/>
        </patternFill>
      </fill>
      <border>
        <right/>
        <top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</border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numFmt numFmtId="164" formatCode=";;;"/>
      <fill>
        <patternFill>
          <bgColor theme="0"/>
        </patternFill>
      </fill>
    </dxf>
    <dxf>
      <font>
        <b/>
        <i val="0"/>
        <color rgb="FF00B0F0"/>
      </font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10</xdr:row>
      <xdr:rowOff>152400</xdr:rowOff>
    </xdr:from>
    <xdr:to>
      <xdr:col>5</xdr:col>
      <xdr:colOff>76200</xdr:colOff>
      <xdr:row>13</xdr:row>
      <xdr:rowOff>171451</xdr:rowOff>
    </xdr:to>
    <xdr:sp macro="[0]!btnGetHistoric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FC1BA78-9E18-4501-86EB-D37870C93642}"/>
            </a:ext>
          </a:extLst>
        </xdr:cNvPr>
        <xdr:cNvSpPr/>
      </xdr:nvSpPr>
      <xdr:spPr>
        <a:xfrm>
          <a:off x="3028950" y="2105025"/>
          <a:ext cx="1428750" cy="590551"/>
        </a:xfrm>
        <a:prstGeom prst="roundRect">
          <a:avLst>
            <a:gd name="adj" fmla="val 42983"/>
          </a:avLst>
        </a:prstGeom>
        <a:gradFill flip="none" rotWithShape="1">
          <a:gsLst>
            <a:gs pos="0">
              <a:srgbClr val="5B9BD5">
                <a:lumMod val="67000"/>
              </a:srgbClr>
            </a:gs>
            <a:gs pos="48000">
              <a:srgbClr val="5B9BD5">
                <a:lumMod val="97000"/>
                <a:lumOff val="3000"/>
              </a:srgbClr>
            </a:gs>
            <a:gs pos="100000">
              <a:srgbClr val="5B9BD5">
                <a:lumMod val="60000"/>
                <a:lumOff val="40000"/>
              </a:srgb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Get Historical Data</a:t>
          </a:r>
        </a:p>
      </xdr:txBody>
    </xdr:sp>
    <xdr:clientData/>
  </xdr:twoCellAnchor>
  <xdr:twoCellAnchor>
    <xdr:from>
      <xdr:col>6</xdr:col>
      <xdr:colOff>1376844</xdr:colOff>
      <xdr:row>10</xdr:row>
      <xdr:rowOff>152400</xdr:rowOff>
    </xdr:from>
    <xdr:to>
      <xdr:col>7</xdr:col>
      <xdr:colOff>1064177</xdr:colOff>
      <xdr:row>13</xdr:row>
      <xdr:rowOff>171451</xdr:rowOff>
    </xdr:to>
    <xdr:sp macro="[0]!btnAbor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F3708AE-A43B-47B3-A09D-7D8E8EC5BE60}"/>
            </a:ext>
          </a:extLst>
        </xdr:cNvPr>
        <xdr:cNvSpPr/>
      </xdr:nvSpPr>
      <xdr:spPr>
        <a:xfrm>
          <a:off x="6958494" y="2105025"/>
          <a:ext cx="1449458" cy="590551"/>
        </a:xfrm>
        <a:prstGeom prst="roundRect">
          <a:avLst>
            <a:gd name="adj" fmla="val 42983"/>
          </a:avLst>
        </a:prstGeom>
        <a:gradFill flip="none" rotWithShape="1">
          <a:gsLst>
            <a:gs pos="0">
              <a:srgbClr val="5B9BD5">
                <a:lumMod val="67000"/>
              </a:srgbClr>
            </a:gs>
            <a:gs pos="48000">
              <a:srgbClr val="5B9BD5">
                <a:lumMod val="97000"/>
                <a:lumOff val="3000"/>
              </a:srgbClr>
            </a:gs>
            <a:gs pos="100000">
              <a:srgbClr val="5B9BD5">
                <a:lumMod val="60000"/>
                <a:lumOff val="40000"/>
              </a:srgb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Abort</a:t>
          </a:r>
        </a:p>
      </xdr:txBody>
    </xdr:sp>
    <xdr:clientData/>
  </xdr:twoCellAnchor>
  <xdr:twoCellAnchor>
    <xdr:from>
      <xdr:col>9</xdr:col>
      <xdr:colOff>523874</xdr:colOff>
      <xdr:row>10</xdr:row>
      <xdr:rowOff>142875</xdr:rowOff>
    </xdr:from>
    <xdr:to>
      <xdr:col>9</xdr:col>
      <xdr:colOff>1866899</xdr:colOff>
      <xdr:row>13</xdr:row>
      <xdr:rowOff>180975</xdr:rowOff>
    </xdr:to>
    <xdr:sp macro="[0]!btnClear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5B2D0DF-7656-4526-9F46-5F41E80D9BE5}"/>
            </a:ext>
          </a:extLst>
        </xdr:cNvPr>
        <xdr:cNvSpPr/>
      </xdr:nvSpPr>
      <xdr:spPr>
        <a:xfrm>
          <a:off x="12973049" y="2095500"/>
          <a:ext cx="1343025" cy="609600"/>
        </a:xfrm>
        <a:prstGeom prst="roundRect">
          <a:avLst>
            <a:gd name="adj" fmla="val 42983"/>
          </a:avLst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Clear</a:t>
          </a:r>
          <a:r>
            <a:rPr lang="en-US" sz="1100" b="1" baseline="0"/>
            <a:t> Data</a:t>
          </a:r>
          <a:endParaRPr lang="en-US" sz="1100" b="1"/>
        </a:p>
      </xdr:txBody>
    </xdr:sp>
    <xdr:clientData/>
  </xdr:twoCellAnchor>
  <xdr:twoCellAnchor>
    <xdr:from>
      <xdr:col>8</xdr:col>
      <xdr:colOff>95249</xdr:colOff>
      <xdr:row>10</xdr:row>
      <xdr:rowOff>152400</xdr:rowOff>
    </xdr:from>
    <xdr:to>
      <xdr:col>8</xdr:col>
      <xdr:colOff>1552574</xdr:colOff>
      <xdr:row>13</xdr:row>
      <xdr:rowOff>171451</xdr:rowOff>
    </xdr:to>
    <xdr:sp macro="[0]!btnRestoreFactorySetting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B0ABFB-D209-4C6D-862C-C33783017B83}"/>
            </a:ext>
          </a:extLst>
        </xdr:cNvPr>
        <xdr:cNvSpPr/>
      </xdr:nvSpPr>
      <xdr:spPr>
        <a:xfrm>
          <a:off x="8943974" y="2105025"/>
          <a:ext cx="1457325" cy="590551"/>
        </a:xfrm>
        <a:prstGeom prst="roundRect">
          <a:avLst>
            <a:gd name="adj" fmla="val 42983"/>
          </a:avLst>
        </a:prstGeom>
        <a:gradFill flip="none" rotWithShape="1">
          <a:gsLst>
            <a:gs pos="0">
              <a:srgbClr val="5B9BD5">
                <a:lumMod val="67000"/>
              </a:srgbClr>
            </a:gs>
            <a:gs pos="48000">
              <a:srgbClr val="5B9BD5">
                <a:lumMod val="97000"/>
                <a:lumOff val="3000"/>
              </a:srgbClr>
            </a:gs>
            <a:gs pos="100000">
              <a:srgbClr val="5B9BD5">
                <a:lumMod val="60000"/>
                <a:lumOff val="40000"/>
              </a:srgb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Restore Factory Settings</a:t>
          </a:r>
        </a:p>
      </xdr:txBody>
    </xdr:sp>
    <xdr:clientData/>
  </xdr:twoCellAnchor>
  <xdr:twoCellAnchor>
    <xdr:from>
      <xdr:col>5</xdr:col>
      <xdr:colOff>612222</xdr:colOff>
      <xdr:row>10</xdr:row>
      <xdr:rowOff>152400</xdr:rowOff>
    </xdr:from>
    <xdr:to>
      <xdr:col>6</xdr:col>
      <xdr:colOff>840822</xdr:colOff>
      <xdr:row>13</xdr:row>
      <xdr:rowOff>171451</xdr:rowOff>
    </xdr:to>
    <xdr:sp macro="[0]!btnRefreshRecentPric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7D7B4B8-28D6-4DD9-B979-E2ED2FDD5655}"/>
            </a:ext>
          </a:extLst>
        </xdr:cNvPr>
        <xdr:cNvSpPr/>
      </xdr:nvSpPr>
      <xdr:spPr>
        <a:xfrm>
          <a:off x="4993722" y="2105025"/>
          <a:ext cx="1428750" cy="590551"/>
        </a:xfrm>
        <a:prstGeom prst="roundRect">
          <a:avLst>
            <a:gd name="adj" fmla="val 42983"/>
          </a:avLst>
        </a:prstGeom>
        <a:gradFill flip="none" rotWithShape="1">
          <a:gsLst>
            <a:gs pos="0">
              <a:srgbClr val="5B9BD5">
                <a:lumMod val="67000"/>
              </a:srgbClr>
            </a:gs>
            <a:gs pos="48000">
              <a:srgbClr val="5B9BD5">
                <a:lumMod val="97000"/>
                <a:lumOff val="3000"/>
              </a:srgbClr>
            </a:gs>
            <a:gs pos="100000">
              <a:srgbClr val="5B9BD5">
                <a:lumMod val="60000"/>
                <a:lumOff val="40000"/>
              </a:srgb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Get Recent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9</xdr:row>
      <xdr:rowOff>76200</xdr:rowOff>
    </xdr:from>
    <xdr:to>
      <xdr:col>8</xdr:col>
      <xdr:colOff>1476374</xdr:colOff>
      <xdr:row>12</xdr:row>
      <xdr:rowOff>95251</xdr:rowOff>
    </xdr:to>
    <xdr:sp macro="[0]!btnRefreshRecentPr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B99438F-F39F-496C-BEB0-4E28B561235A}"/>
            </a:ext>
          </a:extLst>
        </xdr:cNvPr>
        <xdr:cNvSpPr/>
      </xdr:nvSpPr>
      <xdr:spPr>
        <a:xfrm>
          <a:off x="7534274" y="1790700"/>
          <a:ext cx="1428750" cy="590551"/>
        </a:xfrm>
        <a:prstGeom prst="roundRect">
          <a:avLst>
            <a:gd name="adj" fmla="val 42983"/>
          </a:avLst>
        </a:prstGeom>
        <a:gradFill flip="none" rotWithShape="1">
          <a:gsLst>
            <a:gs pos="0">
              <a:srgbClr val="5B9BD5">
                <a:lumMod val="67000"/>
              </a:srgbClr>
            </a:gs>
            <a:gs pos="48000">
              <a:srgbClr val="5B9BD5">
                <a:lumMod val="97000"/>
                <a:lumOff val="3000"/>
              </a:srgbClr>
            </a:gs>
            <a:gs pos="100000">
              <a:srgbClr val="5B9BD5">
                <a:lumMod val="60000"/>
                <a:lumOff val="40000"/>
              </a:srgb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Refresh Recent Data</a:t>
          </a:r>
        </a:p>
      </xdr:txBody>
    </xdr:sp>
    <xdr:clientData/>
  </xdr:twoCellAnchor>
  <xdr:twoCellAnchor>
    <xdr:from>
      <xdr:col>8</xdr:col>
      <xdr:colOff>47625</xdr:colOff>
      <xdr:row>14</xdr:row>
      <xdr:rowOff>142875</xdr:rowOff>
    </xdr:from>
    <xdr:to>
      <xdr:col>8</xdr:col>
      <xdr:colOff>1476374</xdr:colOff>
      <xdr:row>17</xdr:row>
      <xdr:rowOff>180975</xdr:rowOff>
    </xdr:to>
    <xdr:sp macro="[0]!btnClearRec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156B686-9026-4901-A0B7-74723CA4D531}"/>
            </a:ext>
          </a:extLst>
        </xdr:cNvPr>
        <xdr:cNvSpPr/>
      </xdr:nvSpPr>
      <xdr:spPr>
        <a:xfrm>
          <a:off x="7534275" y="2809875"/>
          <a:ext cx="1428749" cy="609600"/>
        </a:xfrm>
        <a:prstGeom prst="roundRect">
          <a:avLst>
            <a:gd name="adj" fmla="val 42983"/>
          </a:avLst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Clear</a:t>
          </a:r>
          <a:r>
            <a:rPr lang="en-US" sz="1100" b="1" baseline="0"/>
            <a:t> Data</a:t>
          </a:r>
          <a:endParaRPr lang="en-US" sz="1100" b="1"/>
        </a:p>
      </xdr:txBody>
    </xdr:sp>
    <xdr:clientData/>
  </xdr:twoCellAnchor>
  <xdr:twoCellAnchor>
    <xdr:from>
      <xdr:col>8</xdr:col>
      <xdr:colOff>47624</xdr:colOff>
      <xdr:row>22</xdr:row>
      <xdr:rowOff>0</xdr:rowOff>
    </xdr:from>
    <xdr:to>
      <xdr:col>8</xdr:col>
      <xdr:colOff>1476374</xdr:colOff>
      <xdr:row>25</xdr:row>
      <xdr:rowOff>19051</xdr:rowOff>
    </xdr:to>
    <xdr:sp macro="[0]!btnAutoRefreshRecentPrice" textlink="">
      <xdr:nvSpPr>
        <xdr:cNvPr id="4" name="AutoRefreshButton">
          <a:extLst>
            <a:ext uri="{FF2B5EF4-FFF2-40B4-BE49-F238E27FC236}">
              <a16:creationId xmlns:a16="http://schemas.microsoft.com/office/drawing/2014/main" id="{71C08F9F-D3A5-48B1-B639-AE2C64253BB4}"/>
            </a:ext>
          </a:extLst>
        </xdr:cNvPr>
        <xdr:cNvSpPr/>
      </xdr:nvSpPr>
      <xdr:spPr>
        <a:xfrm>
          <a:off x="7534274" y="4191000"/>
          <a:ext cx="1428750" cy="590551"/>
        </a:xfrm>
        <a:prstGeom prst="roundRect">
          <a:avLst>
            <a:gd name="adj" fmla="val 42983"/>
          </a:avLst>
        </a:prstGeom>
        <a:gradFill flip="none" rotWithShape="1">
          <a:gsLst>
            <a:gs pos="0">
              <a:srgbClr val="5B9BD5">
                <a:lumMod val="67000"/>
              </a:srgbClr>
            </a:gs>
            <a:gs pos="48000">
              <a:srgbClr val="5B9BD5">
                <a:lumMod val="97000"/>
                <a:lumOff val="3000"/>
              </a:srgbClr>
            </a:gs>
            <a:gs pos="100000">
              <a:srgbClr val="5B9BD5">
                <a:lumMod val="60000"/>
                <a:lumOff val="40000"/>
              </a:srgb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 Auto Refresh</a:t>
          </a:r>
        </a:p>
      </xdr:txBody>
    </xdr:sp>
    <xdr:clientData/>
  </xdr:twoCellAnchor>
  <xdr:twoCellAnchor>
    <xdr:from>
      <xdr:col>8</xdr:col>
      <xdr:colOff>47625</xdr:colOff>
      <xdr:row>27</xdr:row>
      <xdr:rowOff>28575</xdr:rowOff>
    </xdr:from>
    <xdr:to>
      <xdr:col>8</xdr:col>
      <xdr:colOff>1476374</xdr:colOff>
      <xdr:row>30</xdr:row>
      <xdr:rowOff>66675</xdr:rowOff>
    </xdr:to>
    <xdr:sp macro="[0]!btnStopAutoRefresh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2502D3FA-2103-4B77-A921-8D1237FFA06A}"/>
            </a:ext>
          </a:extLst>
        </xdr:cNvPr>
        <xdr:cNvSpPr/>
      </xdr:nvSpPr>
      <xdr:spPr>
        <a:xfrm>
          <a:off x="7534275" y="5172075"/>
          <a:ext cx="1428749" cy="609600"/>
        </a:xfrm>
        <a:prstGeom prst="roundRect">
          <a:avLst>
            <a:gd name="adj" fmla="val 42983"/>
          </a:avLst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eaLnBrk="1" fontAlgn="auto" latinLnBrk="0" hangingPunct="1"/>
          <a:r>
            <a:rPr lang="en-US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Stop Auto Refresh</a:t>
          </a:r>
          <a:endParaRPr lang="en-US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finance.yahoo.com/quote/PPG/history?p=PP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finance.yahoo.com/quote/PG/history?p=PG" TargetMode="External"/><Relationship Id="rId1" Type="http://schemas.openxmlformats.org/officeDocument/2006/relationships/hyperlink" Target="https://finance.yahoo.com/quote/AAPL/history?period1=1493092800&amp;period2=1524542400&amp;interval=1mo&amp;filter=history&amp;frequency=1mo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finance.yahoo.com/quote/BDX/history?p=BD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136"/>
  <sheetViews>
    <sheetView showGridLines="0" tabSelected="1" zoomScaleNormal="100" workbookViewId="0">
      <selection sqref="A1:G1"/>
    </sheetView>
  </sheetViews>
  <sheetFormatPr defaultRowHeight="15" x14ac:dyDescent="0.25"/>
  <cols>
    <col min="1" max="1" width="11.85546875" customWidth="1"/>
    <col min="2" max="2" width="12.140625" customWidth="1"/>
    <col min="3" max="3" width="11.7109375" customWidth="1"/>
    <col min="4" max="4" width="14.7109375" customWidth="1"/>
    <col min="5" max="5" width="15.28515625" customWidth="1"/>
    <col min="6" max="6" width="18" customWidth="1"/>
    <col min="7" max="7" width="26.42578125" customWidth="1"/>
    <col min="8" max="8" width="22.5703125" customWidth="1"/>
    <col min="9" max="9" width="62.28515625" bestFit="1" customWidth="1"/>
    <col min="10" max="10" width="32.5703125" customWidth="1"/>
    <col min="25" max="25" width="12.140625" customWidth="1"/>
    <col min="26" max="26" width="132.7109375" customWidth="1"/>
    <col min="27" max="27" width="142.28515625" customWidth="1"/>
    <col min="29" max="29" width="27.42578125" customWidth="1"/>
    <col min="30" max="35" width="13" customWidth="1"/>
    <col min="37" max="37" width="11" customWidth="1"/>
    <col min="38" max="38" width="11" style="17" customWidth="1"/>
    <col min="39" max="41" width="11" style="18" customWidth="1"/>
    <col min="42" max="43" width="9.140625" style="18"/>
    <col min="44" max="44" width="16.140625" style="19" customWidth="1"/>
    <col min="48" max="48" width="13.28515625" bestFit="1" customWidth="1"/>
    <col min="51" max="51" width="151.7109375" customWidth="1"/>
    <col min="52" max="52" width="141.7109375" customWidth="1"/>
  </cols>
  <sheetData>
    <row r="1" spans="1:52" ht="18.75" x14ac:dyDescent="0.3">
      <c r="A1" s="41" t="s">
        <v>0</v>
      </c>
      <c r="B1" s="41"/>
      <c r="C1" s="41"/>
      <c r="D1" s="41"/>
      <c r="E1" s="41"/>
      <c r="F1" s="41"/>
      <c r="G1" s="41"/>
      <c r="K1" s="1" t="s">
        <v>1</v>
      </c>
      <c r="Z1" s="2" t="s">
        <v>2</v>
      </c>
      <c r="AA1" s="2" t="s">
        <v>62</v>
      </c>
      <c r="AF1" s="40" t="s">
        <v>3</v>
      </c>
      <c r="AG1" s="40"/>
      <c r="AH1" s="40"/>
      <c r="AI1" s="40"/>
      <c r="AK1" s="40" t="s">
        <v>4</v>
      </c>
      <c r="AL1" s="40"/>
      <c r="AM1" s="40"/>
      <c r="AN1" s="40"/>
      <c r="AO1" s="40"/>
      <c r="AP1" s="40"/>
      <c r="AQ1" s="40"/>
      <c r="AR1" s="40"/>
      <c r="AS1" s="40"/>
      <c r="AT1" s="40"/>
      <c r="AV1" s="40" t="s">
        <v>5</v>
      </c>
      <c r="AW1" s="42"/>
      <c r="AX1" s="42"/>
      <c r="AY1" s="42"/>
      <c r="AZ1" s="42"/>
    </row>
    <row r="2" spans="1:52" x14ac:dyDescent="0.25">
      <c r="A2" s="43" t="s">
        <v>283</v>
      </c>
      <c r="B2" s="43"/>
      <c r="C2" s="43"/>
      <c r="D2" s="43"/>
      <c r="E2" s="43"/>
      <c r="F2" s="43"/>
      <c r="G2" s="43"/>
      <c r="K2" s="3" t="s">
        <v>6</v>
      </c>
      <c r="Z2" t="s">
        <v>7</v>
      </c>
      <c r="AA2" t="s">
        <v>65</v>
      </c>
      <c r="AK2" s="4" t="s">
        <v>8</v>
      </c>
      <c r="AL2" s="4"/>
      <c r="AM2" s="4"/>
      <c r="AN2" s="4"/>
      <c r="AO2" t="s">
        <v>359</v>
      </c>
      <c r="AP2" s="5"/>
      <c r="AQ2" s="5"/>
      <c r="AR2" s="6"/>
      <c r="AS2" s="7"/>
      <c r="AT2" s="7"/>
      <c r="AV2" s="7" t="s">
        <v>10</v>
      </c>
      <c r="AW2" s="7" t="s">
        <v>11</v>
      </c>
      <c r="AX2" s="7" t="s">
        <v>12</v>
      </c>
      <c r="AY2" s="7" t="s">
        <v>13</v>
      </c>
      <c r="AZ2" s="7" t="s">
        <v>5</v>
      </c>
    </row>
    <row r="3" spans="1:52" x14ac:dyDescent="0.25">
      <c r="A3" s="8" t="s">
        <v>14</v>
      </c>
      <c r="B3" s="9" t="s">
        <v>15</v>
      </c>
      <c r="H3" s="10" t="s">
        <v>16</v>
      </c>
      <c r="I3" s="11">
        <f>(B6-B5)*12+C6-C5+1</f>
        <v>63</v>
      </c>
      <c r="K3" t="s">
        <v>17</v>
      </c>
      <c r="Z3" t="s">
        <v>18</v>
      </c>
      <c r="AA3" t="s">
        <v>67</v>
      </c>
      <c r="AF3" s="8" t="s">
        <v>14</v>
      </c>
      <c r="AG3" s="12" t="s">
        <v>15</v>
      </c>
      <c r="AK3" t="s">
        <v>73</v>
      </c>
      <c r="AL3" s="17" t="s">
        <v>104</v>
      </c>
      <c r="AM3" s="18" t="s">
        <v>218</v>
      </c>
      <c r="AN3" s="18" t="s">
        <v>219</v>
      </c>
      <c r="AO3" s="18" t="s">
        <v>220</v>
      </c>
      <c r="AP3" s="18" t="s">
        <v>221</v>
      </c>
      <c r="AQ3" s="18" t="s">
        <v>222</v>
      </c>
      <c r="AR3" s="19" t="s">
        <v>223</v>
      </c>
    </row>
    <row r="4" spans="1:52" x14ac:dyDescent="0.25">
      <c r="B4" s="14" t="s">
        <v>20</v>
      </c>
      <c r="C4" s="14" t="s">
        <v>21</v>
      </c>
      <c r="D4" s="14" t="s">
        <v>22</v>
      </c>
      <c r="H4" s="15" t="s">
        <v>23</v>
      </c>
      <c r="I4" s="16" t="s">
        <v>359</v>
      </c>
      <c r="K4" t="s">
        <v>229</v>
      </c>
      <c r="Z4" t="s">
        <v>24</v>
      </c>
      <c r="AA4" s="13" t="s">
        <v>68</v>
      </c>
      <c r="AC4" s="40" t="s">
        <v>25</v>
      </c>
      <c r="AD4" s="40"/>
      <c r="AF4" s="12"/>
      <c r="AG4" s="14" t="s">
        <v>20</v>
      </c>
      <c r="AH4" s="14" t="s">
        <v>21</v>
      </c>
      <c r="AI4" s="14" t="s">
        <v>22</v>
      </c>
      <c r="AK4" t="s">
        <v>359</v>
      </c>
      <c r="AL4" s="17">
        <v>41334</v>
      </c>
      <c r="AM4" s="18">
        <v>8.32</v>
      </c>
      <c r="AN4" s="18">
        <v>10.27</v>
      </c>
      <c r="AO4" s="18">
        <v>8.1999999999999993</v>
      </c>
      <c r="AP4" s="18">
        <v>9.98</v>
      </c>
      <c r="AQ4" s="18">
        <v>9.98</v>
      </c>
      <c r="AR4" s="19">
        <v>711683500</v>
      </c>
    </row>
    <row r="5" spans="1:52" x14ac:dyDescent="0.25">
      <c r="A5" s="8" t="s">
        <v>26</v>
      </c>
      <c r="B5" s="20">
        <v>2013</v>
      </c>
      <c r="C5" s="21">
        <v>3</v>
      </c>
      <c r="D5" s="21">
        <v>5</v>
      </c>
      <c r="E5" s="44" t="s">
        <v>27</v>
      </c>
      <c r="F5" s="45"/>
      <c r="G5" s="46" t="s">
        <v>28</v>
      </c>
      <c r="H5" s="15" t="s">
        <v>29</v>
      </c>
      <c r="I5" s="16" t="s">
        <v>30</v>
      </c>
      <c r="K5" t="s">
        <v>269</v>
      </c>
      <c r="Z5" s="22" t="s">
        <v>32</v>
      </c>
      <c r="AA5" s="13" t="s">
        <v>69</v>
      </c>
      <c r="AC5" t="s">
        <v>33</v>
      </c>
      <c r="AD5" s="17">
        <f>DATE(B5,C5,D5)</f>
        <v>41338</v>
      </c>
      <c r="AF5" s="8" t="s">
        <v>26</v>
      </c>
      <c r="AG5" s="12">
        <v>2013</v>
      </c>
      <c r="AH5" s="12">
        <v>3</v>
      </c>
      <c r="AI5" s="12">
        <v>5</v>
      </c>
      <c r="AK5" t="s">
        <v>359</v>
      </c>
      <c r="AL5" s="17">
        <v>41365</v>
      </c>
      <c r="AM5" s="18">
        <v>9.9700000000000006</v>
      </c>
      <c r="AN5" s="18">
        <v>10.220000000000001</v>
      </c>
      <c r="AO5" s="18">
        <v>9.0399999999999991</v>
      </c>
      <c r="AP5" s="18">
        <v>9.42</v>
      </c>
      <c r="AQ5" s="18">
        <v>9.42</v>
      </c>
      <c r="AR5" s="19">
        <v>656337500</v>
      </c>
    </row>
    <row r="6" spans="1:52" x14ac:dyDescent="0.25">
      <c r="A6" s="8" t="s">
        <v>34</v>
      </c>
      <c r="B6" s="20">
        <v>2018</v>
      </c>
      <c r="C6" s="21">
        <v>5</v>
      </c>
      <c r="D6" s="21">
        <v>28</v>
      </c>
      <c r="E6" s="44"/>
      <c r="F6" s="45"/>
      <c r="G6" s="46"/>
      <c r="H6" s="15" t="s">
        <v>35</v>
      </c>
      <c r="I6" s="23">
        <v>1</v>
      </c>
      <c r="K6" t="s">
        <v>31</v>
      </c>
      <c r="Z6" s="22" t="s">
        <v>37</v>
      </c>
      <c r="AA6" s="13" t="s">
        <v>71</v>
      </c>
      <c r="AC6" t="s">
        <v>34</v>
      </c>
      <c r="AD6" s="17">
        <f>DATE(B6,C6,D6)</f>
        <v>43248</v>
      </c>
      <c r="AF6" s="8" t="s">
        <v>34</v>
      </c>
      <c r="AG6" s="12">
        <v>2018</v>
      </c>
      <c r="AH6" s="12">
        <v>3</v>
      </c>
      <c r="AI6" s="12">
        <v>28</v>
      </c>
      <c r="AK6" t="s">
        <v>359</v>
      </c>
      <c r="AL6" s="17">
        <v>41395</v>
      </c>
      <c r="AM6" s="18">
        <v>9.42</v>
      </c>
      <c r="AN6" s="18">
        <v>11.99</v>
      </c>
      <c r="AO6" s="18">
        <v>9.07</v>
      </c>
      <c r="AP6" s="18">
        <v>11.68</v>
      </c>
      <c r="AQ6" s="18">
        <v>11.68</v>
      </c>
      <c r="AR6" s="19">
        <v>662546000</v>
      </c>
    </row>
    <row r="7" spans="1:52" x14ac:dyDescent="0.25">
      <c r="A7" s="10" t="s">
        <v>38</v>
      </c>
      <c r="B7" s="47" t="s">
        <v>39</v>
      </c>
      <c r="C7" s="48"/>
      <c r="D7" s="49"/>
      <c r="E7" t="s">
        <v>40</v>
      </c>
      <c r="H7" s="15" t="s">
        <v>41</v>
      </c>
      <c r="I7" s="11" t="s">
        <v>366</v>
      </c>
      <c r="K7" t="s">
        <v>36</v>
      </c>
      <c r="Z7" t="s">
        <v>43</v>
      </c>
      <c r="AC7" t="s">
        <v>44</v>
      </c>
      <c r="AD7" s="17">
        <f ca="1">TODAY()</f>
        <v>43600</v>
      </c>
      <c r="AF7" s="10" t="s">
        <v>38</v>
      </c>
      <c r="AG7" s="50" t="s">
        <v>39</v>
      </c>
      <c r="AH7" s="50"/>
      <c r="AI7" s="50"/>
      <c r="AK7" t="s">
        <v>359</v>
      </c>
      <c r="AL7" s="17">
        <v>41426</v>
      </c>
      <c r="AM7" s="18">
        <v>11.74</v>
      </c>
      <c r="AN7" s="18">
        <v>14.53</v>
      </c>
      <c r="AO7" s="18">
        <v>11.41</v>
      </c>
      <c r="AP7" s="18">
        <v>14.33</v>
      </c>
      <c r="AQ7" s="18">
        <v>14.33</v>
      </c>
      <c r="AR7" s="19">
        <v>920360200</v>
      </c>
    </row>
    <row r="8" spans="1:52" x14ac:dyDescent="0.25">
      <c r="A8" s="10" t="s">
        <v>45</v>
      </c>
      <c r="B8" s="49" t="s">
        <v>46</v>
      </c>
      <c r="C8" s="51"/>
      <c r="D8" s="51"/>
      <c r="E8" t="s">
        <v>47</v>
      </c>
      <c r="H8" s="15" t="s">
        <v>48</v>
      </c>
      <c r="I8" s="11" t="s">
        <v>365</v>
      </c>
      <c r="K8" t="s">
        <v>42</v>
      </c>
      <c r="Z8" t="s">
        <v>50</v>
      </c>
      <c r="AC8" t="s">
        <v>51</v>
      </c>
      <c r="AD8" s="17">
        <f>DATE(B5,C5,1)</f>
        <v>41334</v>
      </c>
      <c r="AE8" s="17"/>
      <c r="AF8" s="10" t="s">
        <v>45</v>
      </c>
      <c r="AG8" s="50" t="s">
        <v>46</v>
      </c>
      <c r="AH8" s="50"/>
      <c r="AI8" s="50"/>
      <c r="AK8" t="s">
        <v>359</v>
      </c>
      <c r="AL8" s="17">
        <v>41456</v>
      </c>
      <c r="AM8" s="18">
        <v>14.47</v>
      </c>
      <c r="AN8" s="18">
        <v>14.6</v>
      </c>
      <c r="AO8" s="18">
        <v>12.31</v>
      </c>
      <c r="AP8" s="18">
        <v>13.24</v>
      </c>
      <c r="AQ8" s="18">
        <v>13.24</v>
      </c>
      <c r="AR8" s="19">
        <v>998110800</v>
      </c>
    </row>
    <row r="9" spans="1:52" x14ac:dyDescent="0.25">
      <c r="A9" s="24" t="s">
        <v>52</v>
      </c>
      <c r="B9" s="52" t="s">
        <v>53</v>
      </c>
      <c r="C9" s="52"/>
      <c r="D9" s="53"/>
      <c r="E9" t="s">
        <v>54</v>
      </c>
      <c r="H9" s="15" t="s">
        <v>55</v>
      </c>
      <c r="I9" s="25">
        <v>3</v>
      </c>
      <c r="K9" t="s">
        <v>49</v>
      </c>
      <c r="Z9" t="s">
        <v>57</v>
      </c>
      <c r="AC9" t="s">
        <v>58</v>
      </c>
      <c r="AD9" s="17">
        <f>EOMONTH(AD6,0)</f>
        <v>43251</v>
      </c>
      <c r="AF9" s="24" t="s">
        <v>52</v>
      </c>
      <c r="AG9" s="50" t="s">
        <v>53</v>
      </c>
      <c r="AH9" s="50"/>
      <c r="AI9" s="50"/>
      <c r="AK9" t="s">
        <v>359</v>
      </c>
      <c r="AL9" s="17">
        <v>41487</v>
      </c>
      <c r="AM9" s="18">
        <v>13.38</v>
      </c>
      <c r="AN9" s="18">
        <v>15.07</v>
      </c>
      <c r="AO9" s="18">
        <v>13.05</v>
      </c>
      <c r="AP9" s="18">
        <v>13.57</v>
      </c>
      <c r="AQ9" s="18">
        <v>13.57</v>
      </c>
      <c r="AR9" s="19">
        <v>771687100</v>
      </c>
    </row>
    <row r="10" spans="1:52" ht="15" customHeight="1" x14ac:dyDescent="0.25">
      <c r="A10" s="24" t="s">
        <v>11</v>
      </c>
      <c r="B10" s="52" t="s">
        <v>59</v>
      </c>
      <c r="C10" s="52"/>
      <c r="D10" s="53"/>
      <c r="E10" t="s">
        <v>60</v>
      </c>
      <c r="H10" s="15" t="s">
        <v>61</v>
      </c>
      <c r="I10" s="25">
        <v>0</v>
      </c>
      <c r="J10" s="26"/>
      <c r="K10" t="s">
        <v>56</v>
      </c>
      <c r="L10" s="26"/>
      <c r="M10" s="26"/>
      <c r="Z10" s="2" t="s">
        <v>228</v>
      </c>
      <c r="AC10" t="s">
        <v>63</v>
      </c>
      <c r="AD10" s="17">
        <f ca="1">AD7+1</f>
        <v>43601</v>
      </c>
      <c r="AF10" s="24" t="s">
        <v>11</v>
      </c>
      <c r="AG10" s="50" t="s">
        <v>59</v>
      </c>
      <c r="AH10" s="50"/>
      <c r="AI10" s="50"/>
      <c r="AK10" t="s">
        <v>359</v>
      </c>
      <c r="AL10" s="17">
        <v>41518</v>
      </c>
      <c r="AM10" s="18">
        <v>13.78</v>
      </c>
      <c r="AN10" s="18">
        <v>17.950001</v>
      </c>
      <c r="AO10" s="18">
        <v>13.7</v>
      </c>
      <c r="AP10" s="18">
        <v>17.469999000000001</v>
      </c>
      <c r="AQ10" s="18">
        <v>17.469999000000001</v>
      </c>
      <c r="AR10" s="19">
        <v>924467300</v>
      </c>
    </row>
    <row r="11" spans="1:52" ht="15" customHeight="1" x14ac:dyDescent="0.25">
      <c r="A11" s="54" t="s">
        <v>64</v>
      </c>
      <c r="B11" s="54"/>
      <c r="C11" s="54"/>
      <c r="D11" s="54"/>
      <c r="J11" s="26"/>
      <c r="K11" t="s">
        <v>191</v>
      </c>
      <c r="L11" s="26"/>
      <c r="M11" s="26"/>
      <c r="Z11" s="2" t="s">
        <v>225</v>
      </c>
      <c r="AC11" t="s">
        <v>66</v>
      </c>
      <c r="AD11" s="17">
        <f ca="1">AD7-10</f>
        <v>43590</v>
      </c>
      <c r="AK11" t="s">
        <v>359</v>
      </c>
      <c r="AL11" s="17">
        <v>41548</v>
      </c>
      <c r="AM11" s="18">
        <v>17.540001</v>
      </c>
      <c r="AN11" s="18">
        <v>18.850000000000001</v>
      </c>
      <c r="AO11" s="18">
        <v>16.170000000000002</v>
      </c>
      <c r="AP11" s="18">
        <v>17.68</v>
      </c>
      <c r="AQ11" s="18">
        <v>17.68</v>
      </c>
      <c r="AR11" s="19">
        <v>1196947600</v>
      </c>
    </row>
    <row r="12" spans="1:52" x14ac:dyDescent="0.25">
      <c r="A12" s="55"/>
      <c r="B12" s="55"/>
      <c r="C12" s="55"/>
      <c r="D12" s="55"/>
      <c r="J12" s="26"/>
      <c r="K12" t="s">
        <v>192</v>
      </c>
      <c r="L12" s="26"/>
      <c r="M12" s="26"/>
      <c r="Z12" s="28" t="s">
        <v>224</v>
      </c>
      <c r="AC12" t="s">
        <v>20</v>
      </c>
      <c r="AD12" s="27">
        <f ca="1">YEAR(AD10)</f>
        <v>2019</v>
      </c>
      <c r="AK12" t="s">
        <v>359</v>
      </c>
      <c r="AL12" s="17">
        <v>41579</v>
      </c>
      <c r="AM12" s="18">
        <v>17.75</v>
      </c>
      <c r="AN12" s="18">
        <v>21.309999000000001</v>
      </c>
      <c r="AO12" s="18">
        <v>17.389999</v>
      </c>
      <c r="AP12" s="18">
        <v>21.1</v>
      </c>
      <c r="AQ12" s="18">
        <v>21.1</v>
      </c>
      <c r="AR12" s="19">
        <v>809010000</v>
      </c>
    </row>
    <row r="13" spans="1:52" x14ac:dyDescent="0.25">
      <c r="A13" s="55"/>
      <c r="B13" s="55"/>
      <c r="C13" s="55"/>
      <c r="D13" s="55"/>
      <c r="Z13" s="2" t="s">
        <v>226</v>
      </c>
      <c r="AC13" t="s">
        <v>21</v>
      </c>
      <c r="AD13" s="27">
        <f ca="1">MONTH(AD10)</f>
        <v>5</v>
      </c>
      <c r="AK13" t="s">
        <v>359</v>
      </c>
      <c r="AL13" s="17">
        <v>41609</v>
      </c>
      <c r="AM13" s="18">
        <v>21.1</v>
      </c>
      <c r="AN13" s="18">
        <v>23.67</v>
      </c>
      <c r="AO13" s="18">
        <v>20.809999000000001</v>
      </c>
      <c r="AP13" s="18">
        <v>21.75</v>
      </c>
      <c r="AQ13" s="18">
        <v>21.75</v>
      </c>
      <c r="AR13" s="19">
        <v>808447200</v>
      </c>
    </row>
    <row r="14" spans="1:52" x14ac:dyDescent="0.25">
      <c r="A14" s="55"/>
      <c r="B14" s="55"/>
      <c r="C14" s="55"/>
      <c r="D14" s="55"/>
      <c r="J14" s="28"/>
      <c r="Z14" s="2" t="s">
        <v>227</v>
      </c>
      <c r="AC14" t="s">
        <v>22</v>
      </c>
      <c r="AD14" s="27">
        <f ca="1">DAY(AD10)</f>
        <v>16</v>
      </c>
      <c r="AK14" t="s">
        <v>359</v>
      </c>
      <c r="AL14" s="17">
        <v>41640</v>
      </c>
      <c r="AM14" s="18">
        <v>21.68</v>
      </c>
      <c r="AN14" s="18">
        <v>24.5</v>
      </c>
      <c r="AO14" s="18">
        <v>20.639999</v>
      </c>
      <c r="AP14" s="18">
        <v>23.040001</v>
      </c>
      <c r="AQ14" s="18">
        <v>23.040001</v>
      </c>
      <c r="AR14" s="19">
        <v>762444500</v>
      </c>
    </row>
    <row r="15" spans="1:52" x14ac:dyDescent="0.25">
      <c r="A15" s="56" t="str">
        <f ca="1">HYPERLINK("https://finance.yahoo.com/quote/AAPL/history?period1=" &amp;AD42 &amp; "&amp;period2=" &amp;AD43 &amp; "&amp;interval=1mo&amp;filter=history&amp;frequency=1mo","See the this link for details: AAPL")</f>
        <v>See the this link for details: AAPL</v>
      </c>
      <c r="B15" s="56"/>
      <c r="C15" s="56"/>
      <c r="D15" s="56"/>
      <c r="H15" s="2" t="s">
        <v>70</v>
      </c>
      <c r="AD15" s="27"/>
      <c r="AK15" t="s">
        <v>359</v>
      </c>
      <c r="AL15" s="17">
        <v>41671</v>
      </c>
      <c r="AM15" s="18">
        <v>23</v>
      </c>
      <c r="AN15" s="18">
        <v>25.68</v>
      </c>
      <c r="AO15" s="18">
        <v>22.65</v>
      </c>
      <c r="AP15" s="18">
        <v>24.190000999999999</v>
      </c>
      <c r="AQ15" s="18">
        <v>24.190000999999999</v>
      </c>
      <c r="AR15" s="19">
        <v>618266700</v>
      </c>
    </row>
    <row r="16" spans="1:52" x14ac:dyDescent="0.25">
      <c r="A16" s="29" t="s">
        <v>72</v>
      </c>
      <c r="B16" s="29" t="s">
        <v>73</v>
      </c>
      <c r="C16" s="29" t="s">
        <v>74</v>
      </c>
      <c r="D16" s="29" t="s">
        <v>75</v>
      </c>
      <c r="E16" s="29" t="s">
        <v>76</v>
      </c>
      <c r="H16" s="29" t="s">
        <v>73</v>
      </c>
      <c r="I16" s="30" t="s">
        <v>77</v>
      </c>
      <c r="J16" s="30" t="s">
        <v>13</v>
      </c>
      <c r="K16" s="30"/>
      <c r="L16" s="30"/>
      <c r="AC16" s="40" t="s">
        <v>78</v>
      </c>
      <c r="AD16" s="40"/>
      <c r="AK16" t="s">
        <v>359</v>
      </c>
      <c r="AL16" s="17">
        <v>41699</v>
      </c>
      <c r="AM16" s="18">
        <v>23.860001</v>
      </c>
      <c r="AN16" s="18">
        <v>25.15</v>
      </c>
      <c r="AO16" s="18">
        <v>21.700001</v>
      </c>
      <c r="AP16" s="18">
        <v>23.66</v>
      </c>
      <c r="AQ16" s="18">
        <v>23.66</v>
      </c>
      <c r="AR16" s="19">
        <v>570749200</v>
      </c>
    </row>
    <row r="17" spans="1:44" x14ac:dyDescent="0.25">
      <c r="A17">
        <v>1</v>
      </c>
      <c r="B17" s="21" t="s">
        <v>79</v>
      </c>
      <c r="C17">
        <v>167.78</v>
      </c>
      <c r="D17" s="17">
        <v>43160</v>
      </c>
      <c r="H17" t="s">
        <v>289</v>
      </c>
      <c r="I17" s="31" t="s">
        <v>360</v>
      </c>
      <c r="J17" s="28" t="s">
        <v>361</v>
      </c>
      <c r="AC17" t="s">
        <v>19</v>
      </c>
      <c r="AK17" t="s">
        <v>359</v>
      </c>
      <c r="AL17" s="17">
        <v>41730</v>
      </c>
      <c r="AM17" s="18">
        <v>23.84</v>
      </c>
      <c r="AN17" s="18">
        <v>26.620000999999998</v>
      </c>
      <c r="AO17" s="18">
        <v>21.02</v>
      </c>
      <c r="AP17" s="18">
        <v>26.120000999999998</v>
      </c>
      <c r="AQ17" s="18">
        <v>26.120000999999998</v>
      </c>
      <c r="AR17" s="19">
        <v>786192500</v>
      </c>
    </row>
    <row r="18" spans="1:44" x14ac:dyDescent="0.25">
      <c r="A18">
        <v>2</v>
      </c>
      <c r="B18" s="21" t="s">
        <v>80</v>
      </c>
      <c r="C18">
        <v>13.48</v>
      </c>
      <c r="D18" s="17">
        <v>43160</v>
      </c>
      <c r="H18" t="s">
        <v>296</v>
      </c>
      <c r="I18" s="31" t="s">
        <v>360</v>
      </c>
      <c r="J18" s="28" t="s">
        <v>363</v>
      </c>
      <c r="AC18" t="s">
        <v>15</v>
      </c>
      <c r="AK18" t="s">
        <v>359</v>
      </c>
      <c r="AL18" s="17">
        <v>41760</v>
      </c>
      <c r="AM18" s="18">
        <v>26.209999</v>
      </c>
      <c r="AN18" s="18">
        <v>29.030000999999999</v>
      </c>
      <c r="AO18" s="18">
        <v>25.25</v>
      </c>
      <c r="AP18" s="18">
        <v>28.59</v>
      </c>
      <c r="AQ18" s="18">
        <v>28.59</v>
      </c>
      <c r="AR18" s="19">
        <v>490841500</v>
      </c>
    </row>
    <row r="19" spans="1:44" x14ac:dyDescent="0.25">
      <c r="A19">
        <v>3</v>
      </c>
      <c r="B19" s="21" t="s">
        <v>81</v>
      </c>
      <c r="C19">
        <v>153.43</v>
      </c>
      <c r="D19" s="17">
        <v>43160</v>
      </c>
      <c r="H19" t="s">
        <v>307</v>
      </c>
      <c r="I19" s="31" t="s">
        <v>360</v>
      </c>
      <c r="J19" s="28" t="s">
        <v>364</v>
      </c>
      <c r="AC19" t="s">
        <v>82</v>
      </c>
      <c r="AK19" t="s">
        <v>359</v>
      </c>
      <c r="AL19" s="17">
        <v>41791</v>
      </c>
      <c r="AM19" s="18">
        <v>28.610001</v>
      </c>
      <c r="AN19" s="18">
        <v>33.049999</v>
      </c>
      <c r="AO19" s="18">
        <v>28.049999</v>
      </c>
      <c r="AP19" s="18">
        <v>32.950001</v>
      </c>
      <c r="AQ19" s="18">
        <v>32.950001</v>
      </c>
      <c r="AR19" s="19">
        <v>612433700</v>
      </c>
    </row>
    <row r="20" spans="1:44" x14ac:dyDescent="0.25">
      <c r="A20">
        <v>4</v>
      </c>
      <c r="B20" s="21" t="s">
        <v>83</v>
      </c>
      <c r="C20">
        <v>100.44</v>
      </c>
      <c r="D20" s="17">
        <v>43160</v>
      </c>
      <c r="I20" s="31"/>
      <c r="J20" s="28"/>
      <c r="AC20" s="57"/>
      <c r="AD20" s="57"/>
      <c r="AK20" t="s">
        <v>359</v>
      </c>
      <c r="AL20" s="17">
        <v>41821</v>
      </c>
      <c r="AM20" s="18">
        <v>33.240001999999997</v>
      </c>
      <c r="AN20" s="18">
        <v>34.849997999999999</v>
      </c>
      <c r="AO20" s="18">
        <v>29.85</v>
      </c>
      <c r="AP20" s="18">
        <v>30.549999</v>
      </c>
      <c r="AQ20" s="18">
        <v>30.549999</v>
      </c>
      <c r="AR20" s="19">
        <v>595653200</v>
      </c>
    </row>
    <row r="21" spans="1:44" x14ac:dyDescent="0.25">
      <c r="A21">
        <v>5</v>
      </c>
      <c r="B21" s="21" t="s">
        <v>284</v>
      </c>
      <c r="C21">
        <v>156.38</v>
      </c>
      <c r="D21" s="17">
        <v>43160</v>
      </c>
      <c r="J21" s="28"/>
      <c r="AK21" t="s">
        <v>359</v>
      </c>
      <c r="AL21" s="17">
        <v>41852</v>
      </c>
      <c r="AM21" s="18">
        <v>30.879999000000002</v>
      </c>
      <c r="AN21" s="18">
        <v>33.700001</v>
      </c>
      <c r="AO21" s="18">
        <v>29.379999000000002</v>
      </c>
      <c r="AP21" s="18">
        <v>32.599997999999999</v>
      </c>
      <c r="AQ21" s="18">
        <v>32.599997999999999</v>
      </c>
      <c r="AR21" s="19">
        <v>418369900</v>
      </c>
    </row>
    <row r="22" spans="1:44" x14ac:dyDescent="0.25">
      <c r="A22">
        <v>6</v>
      </c>
      <c r="B22" s="21" t="s">
        <v>85</v>
      </c>
      <c r="C22">
        <v>88.97</v>
      </c>
      <c r="D22" s="17">
        <v>43160</v>
      </c>
      <c r="J22" s="28"/>
      <c r="AC22" s="40" t="s">
        <v>86</v>
      </c>
      <c r="AD22" s="40"/>
      <c r="AK22" t="s">
        <v>359</v>
      </c>
      <c r="AL22" s="17">
        <v>41883</v>
      </c>
      <c r="AM22" s="18">
        <v>32.43</v>
      </c>
      <c r="AN22" s="18">
        <v>34.849997999999999</v>
      </c>
      <c r="AO22" s="18">
        <v>29.73</v>
      </c>
      <c r="AP22" s="18">
        <v>34.259998000000003</v>
      </c>
      <c r="AQ22" s="18">
        <v>34.259998000000003</v>
      </c>
      <c r="AR22" s="19">
        <v>523512600</v>
      </c>
    </row>
    <row r="23" spans="1:44" x14ac:dyDescent="0.25">
      <c r="A23">
        <v>7</v>
      </c>
      <c r="B23" s="21" t="s">
        <v>285</v>
      </c>
      <c r="C23">
        <v>43.43</v>
      </c>
      <c r="D23" s="17">
        <v>43160</v>
      </c>
      <c r="J23" s="28"/>
      <c r="AC23" s="13" t="s">
        <v>46</v>
      </c>
      <c r="AD23" s="13"/>
      <c r="AK23" t="s">
        <v>359</v>
      </c>
      <c r="AL23" s="17">
        <v>41913</v>
      </c>
      <c r="AM23" s="18">
        <v>34.25</v>
      </c>
      <c r="AN23" s="18">
        <v>34.400002000000001</v>
      </c>
      <c r="AO23" s="18">
        <v>26.32</v>
      </c>
      <c r="AP23" s="18">
        <v>33.090000000000003</v>
      </c>
      <c r="AQ23" s="18">
        <v>33.090000000000003</v>
      </c>
      <c r="AR23" s="19">
        <v>774234700</v>
      </c>
    </row>
    <row r="24" spans="1:44" x14ac:dyDescent="0.25">
      <c r="A24">
        <v>8</v>
      </c>
      <c r="B24" s="21" t="s">
        <v>286</v>
      </c>
      <c r="C24">
        <v>232.22</v>
      </c>
      <c r="D24" s="17">
        <v>43160</v>
      </c>
      <c r="J24" s="28"/>
      <c r="AC24" s="13" t="s">
        <v>87</v>
      </c>
      <c r="AD24" s="13"/>
      <c r="AK24" t="s">
        <v>359</v>
      </c>
      <c r="AL24" s="17">
        <v>41944</v>
      </c>
      <c r="AM24" s="18">
        <v>33.189999</v>
      </c>
      <c r="AN24" s="18">
        <v>36.220001000000003</v>
      </c>
      <c r="AO24" s="18">
        <v>31.690000999999999</v>
      </c>
      <c r="AP24" s="18">
        <v>35.950001</v>
      </c>
      <c r="AQ24" s="18">
        <v>35.950001</v>
      </c>
      <c r="AR24" s="19">
        <v>326389500</v>
      </c>
    </row>
    <row r="25" spans="1:44" x14ac:dyDescent="0.25">
      <c r="A25">
        <v>9</v>
      </c>
      <c r="B25" s="21" t="s">
        <v>287</v>
      </c>
      <c r="C25">
        <v>146.22</v>
      </c>
      <c r="D25" s="17">
        <v>43160</v>
      </c>
      <c r="J25" s="28"/>
      <c r="AC25" s="13" t="s">
        <v>89</v>
      </c>
      <c r="AK25" t="s">
        <v>359</v>
      </c>
      <c r="AL25" s="17">
        <v>41974</v>
      </c>
      <c r="AM25" s="18">
        <v>35.979999999999997</v>
      </c>
      <c r="AN25" s="18">
        <v>36.590000000000003</v>
      </c>
      <c r="AO25" s="18">
        <v>32.369999</v>
      </c>
      <c r="AP25" s="18">
        <v>35.009998000000003</v>
      </c>
      <c r="AQ25" s="18">
        <v>35.009998000000003</v>
      </c>
      <c r="AR25" s="19">
        <v>359420900</v>
      </c>
    </row>
    <row r="26" spans="1:44" x14ac:dyDescent="0.25">
      <c r="A26">
        <v>10</v>
      </c>
      <c r="B26" s="21" t="s">
        <v>288</v>
      </c>
      <c r="C26">
        <v>130.37</v>
      </c>
      <c r="D26" s="17">
        <v>43160</v>
      </c>
      <c r="J26" s="28"/>
      <c r="AK26" t="s">
        <v>359</v>
      </c>
      <c r="AL26" s="17">
        <v>42005</v>
      </c>
      <c r="AM26" s="18">
        <v>35.240001999999997</v>
      </c>
      <c r="AN26" s="18">
        <v>35.520000000000003</v>
      </c>
      <c r="AO26" s="18">
        <v>28.51</v>
      </c>
      <c r="AP26" s="18">
        <v>29.27</v>
      </c>
      <c r="AQ26" s="18">
        <v>29.27</v>
      </c>
      <c r="AR26" s="19">
        <v>610045600</v>
      </c>
    </row>
    <row r="27" spans="1:44" x14ac:dyDescent="0.25">
      <c r="A27">
        <v>11</v>
      </c>
      <c r="B27" s="39" t="s">
        <v>285</v>
      </c>
      <c r="D27" s="17"/>
      <c r="E27" t="s">
        <v>362</v>
      </c>
      <c r="J27" s="28"/>
      <c r="AC27" s="40" t="s">
        <v>11</v>
      </c>
      <c r="AD27" s="40"/>
      <c r="AK27" t="s">
        <v>359</v>
      </c>
      <c r="AL27" s="17">
        <v>42036</v>
      </c>
      <c r="AM27" s="18">
        <v>29.25</v>
      </c>
      <c r="AN27" s="18">
        <v>32.840000000000003</v>
      </c>
      <c r="AO27" s="18">
        <v>28.09</v>
      </c>
      <c r="AP27" s="18">
        <v>30.67</v>
      </c>
      <c r="AQ27" s="18">
        <v>30.67</v>
      </c>
      <c r="AR27" s="19">
        <v>434426600</v>
      </c>
    </row>
    <row r="28" spans="1:44" x14ac:dyDescent="0.25">
      <c r="A28">
        <v>12</v>
      </c>
      <c r="B28" s="21" t="s">
        <v>285</v>
      </c>
      <c r="C28">
        <v>43.43</v>
      </c>
      <c r="D28" s="17">
        <v>43160</v>
      </c>
      <c r="J28" s="28"/>
      <c r="AC28" s="13" t="s">
        <v>59</v>
      </c>
      <c r="AD28" s="13"/>
      <c r="AK28" t="s">
        <v>359</v>
      </c>
      <c r="AL28" s="17">
        <v>42064</v>
      </c>
      <c r="AM28" s="18">
        <v>31.08</v>
      </c>
      <c r="AN28" s="18">
        <v>31.5</v>
      </c>
      <c r="AO28" s="18">
        <v>25.610001</v>
      </c>
      <c r="AP28" s="18">
        <v>27.129999000000002</v>
      </c>
      <c r="AQ28" s="18">
        <v>27.129999000000002</v>
      </c>
      <c r="AR28" s="19">
        <v>544654100</v>
      </c>
    </row>
    <row r="29" spans="1:44" x14ac:dyDescent="0.25">
      <c r="A29">
        <v>13</v>
      </c>
      <c r="B29" s="21" t="s">
        <v>290</v>
      </c>
      <c r="C29">
        <v>109.15</v>
      </c>
      <c r="D29" s="17">
        <v>43160</v>
      </c>
      <c r="J29" s="28"/>
      <c r="AC29" s="13" t="s">
        <v>92</v>
      </c>
      <c r="AD29" s="13"/>
      <c r="AK29" t="s">
        <v>359</v>
      </c>
      <c r="AL29" s="17">
        <v>42095</v>
      </c>
      <c r="AM29" s="18">
        <v>27.129999000000002</v>
      </c>
      <c r="AN29" s="18">
        <v>29.780000999999999</v>
      </c>
      <c r="AO29" s="18">
        <v>26.4</v>
      </c>
      <c r="AP29" s="18">
        <v>28.129999000000002</v>
      </c>
      <c r="AQ29" s="18">
        <v>28.129999000000002</v>
      </c>
      <c r="AR29" s="19">
        <v>436295800</v>
      </c>
    </row>
    <row r="30" spans="1:44" x14ac:dyDescent="0.25">
      <c r="A30">
        <v>14</v>
      </c>
      <c r="B30" s="21" t="s">
        <v>291</v>
      </c>
      <c r="C30">
        <v>34.729999999999997</v>
      </c>
      <c r="D30" s="17">
        <v>43160</v>
      </c>
      <c r="J30" s="28"/>
      <c r="AK30" t="s">
        <v>359</v>
      </c>
      <c r="AL30" s="17">
        <v>42125</v>
      </c>
      <c r="AM30" s="18">
        <v>28.309999000000001</v>
      </c>
      <c r="AN30" s="18">
        <v>29.25</v>
      </c>
      <c r="AO30" s="18">
        <v>26.01</v>
      </c>
      <c r="AP30" s="18">
        <v>27.93</v>
      </c>
      <c r="AQ30" s="18">
        <v>27.93</v>
      </c>
      <c r="AR30" s="19">
        <v>429768300</v>
      </c>
    </row>
    <row r="31" spans="1:44" x14ac:dyDescent="0.25">
      <c r="A31">
        <v>15</v>
      </c>
      <c r="B31" s="21" t="s">
        <v>292</v>
      </c>
      <c r="C31">
        <v>266.13</v>
      </c>
      <c r="D31" s="17">
        <v>43160</v>
      </c>
      <c r="J31" s="28"/>
      <c r="Y31" s="32"/>
      <c r="Z31" s="32"/>
      <c r="AB31" s="32"/>
      <c r="AC31" s="40" t="s">
        <v>93</v>
      </c>
      <c r="AD31" s="40"/>
      <c r="AK31" t="s">
        <v>359</v>
      </c>
      <c r="AL31" s="17">
        <v>42156</v>
      </c>
      <c r="AM31" s="18">
        <v>27.959999</v>
      </c>
      <c r="AN31" s="18">
        <v>28.530000999999999</v>
      </c>
      <c r="AO31" s="18">
        <v>18.549999</v>
      </c>
      <c r="AP31" s="18">
        <v>18.84</v>
      </c>
      <c r="AQ31" s="18">
        <v>18.84</v>
      </c>
      <c r="AR31" s="19">
        <v>703875600</v>
      </c>
    </row>
    <row r="32" spans="1:44" x14ac:dyDescent="0.25">
      <c r="A32">
        <v>16</v>
      </c>
      <c r="B32" s="21" t="s">
        <v>293</v>
      </c>
      <c r="C32">
        <v>74.61</v>
      </c>
      <c r="D32" s="17">
        <v>43160</v>
      </c>
      <c r="J32" s="28"/>
      <c r="AC32" t="s">
        <v>94</v>
      </c>
      <c r="AD32" t="b">
        <f>AD5&lt;AD6</f>
        <v>1</v>
      </c>
      <c r="AK32" t="s">
        <v>359</v>
      </c>
      <c r="AL32" s="17">
        <v>42186</v>
      </c>
      <c r="AM32" s="18">
        <v>19.049999</v>
      </c>
      <c r="AN32" s="18">
        <v>20.57</v>
      </c>
      <c r="AO32" s="18">
        <v>17.139999</v>
      </c>
      <c r="AP32" s="18">
        <v>18.510000000000002</v>
      </c>
      <c r="AQ32" s="18">
        <v>18.510000000000002</v>
      </c>
      <c r="AR32" s="19">
        <v>863792200</v>
      </c>
    </row>
    <row r="33" spans="1:44" x14ac:dyDescent="0.25">
      <c r="A33">
        <v>17</v>
      </c>
      <c r="B33" s="21" t="s">
        <v>294</v>
      </c>
      <c r="C33">
        <v>114.04</v>
      </c>
      <c r="D33" s="17">
        <v>43160</v>
      </c>
      <c r="J33" s="28"/>
      <c r="AC33" t="s">
        <v>95</v>
      </c>
      <c r="AD33" s="13" t="b">
        <f ca="1">AND(MONTH(AD7)=MONTH(AD6),YHPeriod=AC18,YEAR(YHEndDateDaily)=YEAR(AD7))</f>
        <v>0</v>
      </c>
      <c r="AK33" t="s">
        <v>359</v>
      </c>
      <c r="AL33" s="17">
        <v>42217</v>
      </c>
      <c r="AM33" s="18">
        <v>18.610001</v>
      </c>
      <c r="AN33" s="18">
        <v>19.469999000000001</v>
      </c>
      <c r="AO33" s="18">
        <v>13.5</v>
      </c>
      <c r="AP33" s="18">
        <v>16.41</v>
      </c>
      <c r="AQ33" s="18">
        <v>16.41</v>
      </c>
      <c r="AR33" s="19">
        <v>699056400</v>
      </c>
    </row>
    <row r="34" spans="1:44" x14ac:dyDescent="0.25">
      <c r="A34">
        <v>18</v>
      </c>
      <c r="B34" s="21" t="s">
        <v>295</v>
      </c>
      <c r="C34">
        <v>392.12</v>
      </c>
      <c r="D34" s="17">
        <v>43160</v>
      </c>
      <c r="J34" s="28"/>
      <c r="AC34" t="s">
        <v>96</v>
      </c>
      <c r="AD34" s="33">
        <f>EOMONTH(DATE(B5,C5,1),0)</f>
        <v>41364</v>
      </c>
      <c r="AK34" t="s">
        <v>359</v>
      </c>
      <c r="AL34" s="17">
        <v>42248</v>
      </c>
      <c r="AM34" s="18">
        <v>15.8</v>
      </c>
      <c r="AN34" s="18">
        <v>17.969999000000001</v>
      </c>
      <c r="AO34" s="18">
        <v>13.92</v>
      </c>
      <c r="AP34" s="18">
        <v>14.98</v>
      </c>
      <c r="AQ34" s="18">
        <v>14.98</v>
      </c>
      <c r="AR34" s="19">
        <v>541386300</v>
      </c>
    </row>
    <row r="35" spans="1:44" x14ac:dyDescent="0.25">
      <c r="A35">
        <v>19</v>
      </c>
      <c r="B35" s="39" t="s">
        <v>367</v>
      </c>
      <c r="D35" s="17"/>
      <c r="E35" t="s">
        <v>362</v>
      </c>
      <c r="J35" s="28"/>
      <c r="AC35" t="s">
        <v>97</v>
      </c>
      <c r="AD35" s="33">
        <f>EOMONTH(DATE(B6,C6,1),0)</f>
        <v>43251</v>
      </c>
      <c r="AK35" t="s">
        <v>359</v>
      </c>
      <c r="AL35" s="17">
        <v>42278</v>
      </c>
      <c r="AM35" s="18">
        <v>14.99</v>
      </c>
      <c r="AN35" s="18">
        <v>19.299999</v>
      </c>
      <c r="AO35" s="18">
        <v>14.5</v>
      </c>
      <c r="AP35" s="18">
        <v>16.559999000000001</v>
      </c>
      <c r="AQ35" s="18">
        <v>16.559999000000001</v>
      </c>
      <c r="AR35" s="19">
        <v>697155500</v>
      </c>
    </row>
    <row r="36" spans="1:44" x14ac:dyDescent="0.25">
      <c r="A36">
        <v>20</v>
      </c>
      <c r="B36" s="21" t="s">
        <v>297</v>
      </c>
      <c r="C36">
        <v>111.15</v>
      </c>
      <c r="D36" s="17">
        <v>43160</v>
      </c>
      <c r="J36" s="28"/>
      <c r="AC36" t="s">
        <v>98</v>
      </c>
      <c r="AD36" s="34" t="b">
        <f>D5&lt;=DAY(AD34)</f>
        <v>1</v>
      </c>
      <c r="AK36" t="s">
        <v>359</v>
      </c>
      <c r="AL36" s="17">
        <v>42309</v>
      </c>
      <c r="AM36" s="18">
        <v>16.959999</v>
      </c>
      <c r="AN36" s="18">
        <v>18.049999</v>
      </c>
      <c r="AO36" s="18">
        <v>14.65</v>
      </c>
      <c r="AP36" s="18">
        <v>15.93</v>
      </c>
      <c r="AQ36" s="18">
        <v>15.93</v>
      </c>
      <c r="AR36" s="19">
        <v>370952400</v>
      </c>
    </row>
    <row r="37" spans="1:44" x14ac:dyDescent="0.25">
      <c r="A37">
        <v>21</v>
      </c>
      <c r="B37" s="21" t="s">
        <v>298</v>
      </c>
      <c r="C37">
        <v>136.91</v>
      </c>
      <c r="D37" s="17">
        <v>43160</v>
      </c>
      <c r="J37" s="28"/>
      <c r="AC37" t="s">
        <v>99</v>
      </c>
      <c r="AD37" s="33" t="b">
        <f>D6&lt;=DAY(AD35)</f>
        <v>1</v>
      </c>
      <c r="AK37" t="s">
        <v>359</v>
      </c>
      <c r="AL37" s="17">
        <v>42339</v>
      </c>
      <c r="AM37" s="18">
        <v>16.18</v>
      </c>
      <c r="AN37" s="18">
        <v>16.629999000000002</v>
      </c>
      <c r="AO37" s="18">
        <v>13.51</v>
      </c>
      <c r="AP37" s="18">
        <v>14.16</v>
      </c>
      <c r="AQ37" s="18">
        <v>14.16</v>
      </c>
      <c r="AR37" s="19">
        <v>503509000</v>
      </c>
    </row>
    <row r="38" spans="1:44" x14ac:dyDescent="0.25">
      <c r="A38">
        <v>22</v>
      </c>
      <c r="B38" s="21" t="s">
        <v>299</v>
      </c>
      <c r="C38">
        <v>92.74</v>
      </c>
      <c r="D38" s="17">
        <v>43160</v>
      </c>
      <c r="J38" s="28"/>
      <c r="AK38" t="s">
        <v>359</v>
      </c>
      <c r="AL38" s="17">
        <v>42370</v>
      </c>
      <c r="AM38" s="18">
        <v>13.83</v>
      </c>
      <c r="AN38" s="18">
        <v>15.08</v>
      </c>
      <c r="AO38" s="18">
        <v>9.31</v>
      </c>
      <c r="AP38" s="18">
        <v>11.03</v>
      </c>
      <c r="AQ38" s="18">
        <v>11.03</v>
      </c>
      <c r="AR38" s="19">
        <v>650993700</v>
      </c>
    </row>
    <row r="39" spans="1:44" x14ac:dyDescent="0.25">
      <c r="A39">
        <v>23</v>
      </c>
      <c r="B39" s="21" t="s">
        <v>300</v>
      </c>
      <c r="C39">
        <v>116.69</v>
      </c>
      <c r="D39" s="17">
        <v>43160</v>
      </c>
      <c r="J39" s="28"/>
      <c r="AC39" s="40" t="s">
        <v>13</v>
      </c>
      <c r="AD39" s="40"/>
      <c r="AK39" t="s">
        <v>359</v>
      </c>
      <c r="AL39" s="17">
        <v>42401</v>
      </c>
      <c r="AM39" s="18">
        <v>11</v>
      </c>
      <c r="AN39" s="18">
        <v>11.75</v>
      </c>
      <c r="AO39" s="18">
        <v>9.4499999999999993</v>
      </c>
      <c r="AP39" s="18">
        <v>10.63</v>
      </c>
      <c r="AQ39" s="18">
        <v>10.63</v>
      </c>
      <c r="AR39" s="19">
        <v>461446600</v>
      </c>
    </row>
    <row r="40" spans="1:44" x14ac:dyDescent="0.25">
      <c r="A40">
        <v>24</v>
      </c>
      <c r="B40" s="21" t="s">
        <v>301</v>
      </c>
      <c r="C40">
        <v>24.28</v>
      </c>
      <c r="D40" s="17">
        <v>43160</v>
      </c>
      <c r="AC40" t="s">
        <v>100</v>
      </c>
      <c r="AD40" s="17">
        <f ca="1">DATE(YEAR(TODAY()),MONTH(TODAY())-1,1)</f>
        <v>43556</v>
      </c>
      <c r="AK40" t="s">
        <v>359</v>
      </c>
      <c r="AL40" s="17">
        <v>42430</v>
      </c>
      <c r="AM40" s="18">
        <v>10.77</v>
      </c>
      <c r="AN40" s="18">
        <v>12.29</v>
      </c>
      <c r="AO40" s="18">
        <v>10.01</v>
      </c>
      <c r="AP40" s="18">
        <v>10.47</v>
      </c>
      <c r="AQ40" s="18">
        <v>10.47</v>
      </c>
      <c r="AR40" s="19">
        <v>527818500</v>
      </c>
    </row>
    <row r="41" spans="1:44" x14ac:dyDescent="0.25">
      <c r="A41">
        <v>25</v>
      </c>
      <c r="B41" s="21" t="s">
        <v>302</v>
      </c>
      <c r="C41">
        <v>85.75</v>
      </c>
      <c r="D41" s="17">
        <v>43160</v>
      </c>
      <c r="AC41" t="s">
        <v>101</v>
      </c>
      <c r="AD41" s="17">
        <f ca="1">EOMONTH(AD7,0)</f>
        <v>43616</v>
      </c>
      <c r="AK41" t="s">
        <v>359</v>
      </c>
      <c r="AL41" s="17">
        <v>42461</v>
      </c>
      <c r="AM41" s="18">
        <v>10.28</v>
      </c>
      <c r="AN41" s="18">
        <v>12.41</v>
      </c>
      <c r="AO41" s="18">
        <v>10.050000000000001</v>
      </c>
      <c r="AP41" s="18">
        <v>10.75</v>
      </c>
      <c r="AQ41" s="18">
        <v>10.75</v>
      </c>
      <c r="AR41" s="19">
        <v>517951000</v>
      </c>
    </row>
    <row r="42" spans="1:44" x14ac:dyDescent="0.25">
      <c r="A42">
        <v>26</v>
      </c>
      <c r="B42" s="21" t="s">
        <v>303</v>
      </c>
      <c r="C42">
        <v>128.15</v>
      </c>
      <c r="D42" s="17">
        <v>43160</v>
      </c>
      <c r="AC42" t="s">
        <v>102</v>
      </c>
      <c r="AD42" s="32">
        <f ca="1">(AD40-DATE(1970,1,1))*86400+18000</f>
        <v>1554094800</v>
      </c>
      <c r="AK42" t="s">
        <v>359</v>
      </c>
      <c r="AL42" s="17">
        <v>42491</v>
      </c>
      <c r="AM42" s="18">
        <v>10.8</v>
      </c>
      <c r="AN42" s="18">
        <v>12.91</v>
      </c>
      <c r="AO42" s="18">
        <v>9.35</v>
      </c>
      <c r="AP42" s="18">
        <v>12.72</v>
      </c>
      <c r="AQ42" s="18">
        <v>12.72</v>
      </c>
      <c r="AR42" s="19">
        <v>561747100</v>
      </c>
    </row>
    <row r="43" spans="1:44" x14ac:dyDescent="0.25">
      <c r="A43">
        <v>27</v>
      </c>
      <c r="B43" s="21" t="s">
        <v>304</v>
      </c>
      <c r="C43">
        <v>35.49</v>
      </c>
      <c r="D43" s="17">
        <v>43160</v>
      </c>
      <c r="AC43" t="s">
        <v>103</v>
      </c>
      <c r="AD43" s="32">
        <f ca="1">(AD41-DATE(1970,1,1))*86400+14400</f>
        <v>1559275200</v>
      </c>
      <c r="AK43" t="s">
        <v>359</v>
      </c>
      <c r="AL43" s="17">
        <v>42522</v>
      </c>
      <c r="AM43" s="18">
        <v>12.61</v>
      </c>
      <c r="AN43" s="18">
        <v>14.16</v>
      </c>
      <c r="AO43" s="18">
        <v>11.58</v>
      </c>
      <c r="AP43" s="18">
        <v>13.76</v>
      </c>
      <c r="AQ43" s="18">
        <v>13.76</v>
      </c>
      <c r="AR43" s="19">
        <v>697480700</v>
      </c>
    </row>
    <row r="44" spans="1:44" x14ac:dyDescent="0.25">
      <c r="A44">
        <v>28</v>
      </c>
      <c r="B44" s="21" t="s">
        <v>305</v>
      </c>
      <c r="C44">
        <v>54.47</v>
      </c>
      <c r="D44" s="17">
        <v>43160</v>
      </c>
      <c r="AK44" t="s">
        <v>359</v>
      </c>
      <c r="AL44" s="17">
        <v>42552</v>
      </c>
      <c r="AM44" s="18">
        <v>12.58</v>
      </c>
      <c r="AN44" s="18">
        <v>14.89</v>
      </c>
      <c r="AO44" s="18">
        <v>11.5</v>
      </c>
      <c r="AP44" s="18">
        <v>13.74</v>
      </c>
      <c r="AQ44" s="18">
        <v>13.74</v>
      </c>
      <c r="AR44" s="19">
        <v>612699700</v>
      </c>
    </row>
    <row r="45" spans="1:44" x14ac:dyDescent="0.25">
      <c r="A45">
        <v>29</v>
      </c>
      <c r="B45" s="21" t="s">
        <v>306</v>
      </c>
      <c r="C45">
        <v>214</v>
      </c>
      <c r="D45" s="17">
        <v>43160</v>
      </c>
      <c r="AD45" s="17"/>
      <c r="AK45" t="s">
        <v>359</v>
      </c>
      <c r="AL45" s="17">
        <v>42583</v>
      </c>
      <c r="AM45" s="18">
        <v>13.81</v>
      </c>
      <c r="AN45" s="18">
        <v>17.25</v>
      </c>
      <c r="AO45" s="18">
        <v>13.02</v>
      </c>
      <c r="AP45" s="18">
        <v>16.489999999999998</v>
      </c>
      <c r="AQ45" s="18">
        <v>16.489999999999998</v>
      </c>
      <c r="AR45" s="19">
        <v>529876300</v>
      </c>
    </row>
    <row r="46" spans="1:44" x14ac:dyDescent="0.25">
      <c r="A46">
        <v>30</v>
      </c>
      <c r="B46" s="39" t="s">
        <v>368</v>
      </c>
      <c r="E46" t="s">
        <v>362</v>
      </c>
      <c r="AK46" t="s">
        <v>359</v>
      </c>
      <c r="AL46" s="17">
        <v>42614</v>
      </c>
      <c r="AM46" s="18">
        <v>16.610001</v>
      </c>
      <c r="AN46" s="18">
        <v>18.16</v>
      </c>
      <c r="AO46" s="18">
        <v>16.299999</v>
      </c>
      <c r="AP46" s="18">
        <v>17.780000999999999</v>
      </c>
      <c r="AQ46" s="18">
        <v>17.780000999999999</v>
      </c>
      <c r="AR46" s="19">
        <v>541893500</v>
      </c>
    </row>
    <row r="47" spans="1:44" x14ac:dyDescent="0.25">
      <c r="A47">
        <v>31</v>
      </c>
      <c r="B47" s="21" t="s">
        <v>308</v>
      </c>
      <c r="C47">
        <v>97</v>
      </c>
      <c r="D47" s="17">
        <v>43160</v>
      </c>
      <c r="AK47" t="s">
        <v>359</v>
      </c>
      <c r="AL47" s="17">
        <v>42644</v>
      </c>
      <c r="AM47" s="18">
        <v>17.989999999999998</v>
      </c>
      <c r="AN47" s="18">
        <v>18.329999999999998</v>
      </c>
      <c r="AO47" s="18">
        <v>16.170000000000002</v>
      </c>
      <c r="AP47" s="18">
        <v>17.16</v>
      </c>
      <c r="AQ47" s="18">
        <v>17.16</v>
      </c>
      <c r="AR47" s="19">
        <v>539021800</v>
      </c>
    </row>
    <row r="48" spans="1:44" x14ac:dyDescent="0.25">
      <c r="A48">
        <v>32</v>
      </c>
      <c r="B48" s="21" t="s">
        <v>309</v>
      </c>
      <c r="C48">
        <v>118.41</v>
      </c>
      <c r="D48" s="17">
        <v>43160</v>
      </c>
      <c r="AK48" t="s">
        <v>359</v>
      </c>
      <c r="AL48" s="17">
        <v>42675</v>
      </c>
      <c r="AM48" s="18">
        <v>17.200001</v>
      </c>
      <c r="AN48" s="18">
        <v>20.440000999999999</v>
      </c>
      <c r="AO48" s="18">
        <v>16.450001</v>
      </c>
      <c r="AP48" s="18">
        <v>19.530000999999999</v>
      </c>
      <c r="AQ48" s="18">
        <v>19.530000999999999</v>
      </c>
      <c r="AR48" s="19">
        <v>537889100</v>
      </c>
    </row>
    <row r="49" spans="1:44" x14ac:dyDescent="0.25">
      <c r="A49">
        <v>33</v>
      </c>
      <c r="B49" s="21" t="s">
        <v>310</v>
      </c>
      <c r="C49">
        <v>112.36</v>
      </c>
      <c r="D49" s="17">
        <v>43160</v>
      </c>
      <c r="AK49" t="s">
        <v>359</v>
      </c>
      <c r="AL49" s="17">
        <v>42705</v>
      </c>
      <c r="AM49" s="18">
        <v>19.700001</v>
      </c>
      <c r="AN49" s="18">
        <v>23.639999</v>
      </c>
      <c r="AO49" s="18">
        <v>18.18</v>
      </c>
      <c r="AP49" s="18">
        <v>21.92</v>
      </c>
      <c r="AQ49" s="18">
        <v>21.92</v>
      </c>
      <c r="AR49" s="19">
        <v>631585800</v>
      </c>
    </row>
    <row r="50" spans="1:44" x14ac:dyDescent="0.25">
      <c r="A50">
        <v>34</v>
      </c>
      <c r="B50" s="21" t="s">
        <v>311</v>
      </c>
      <c r="C50">
        <v>98.74</v>
      </c>
      <c r="D50" s="17">
        <v>43160</v>
      </c>
      <c r="AK50" t="s">
        <v>359</v>
      </c>
      <c r="AL50" s="17">
        <v>42736</v>
      </c>
      <c r="AM50" s="18">
        <v>22.07</v>
      </c>
      <c r="AN50" s="18">
        <v>24.24</v>
      </c>
      <c r="AO50" s="18">
        <v>21.49</v>
      </c>
      <c r="AP50" s="18">
        <v>24.110001</v>
      </c>
      <c r="AQ50" s="18">
        <v>24.110001</v>
      </c>
      <c r="AR50" s="19">
        <v>446792700</v>
      </c>
    </row>
    <row r="51" spans="1:44" x14ac:dyDescent="0.25">
      <c r="A51">
        <v>35</v>
      </c>
      <c r="B51" s="21" t="s">
        <v>312</v>
      </c>
      <c r="C51">
        <v>168.29</v>
      </c>
      <c r="D51" s="17">
        <v>43160</v>
      </c>
      <c r="AK51" t="s">
        <v>359</v>
      </c>
      <c r="AL51" s="17">
        <v>42767</v>
      </c>
      <c r="AM51" s="18">
        <v>24.43</v>
      </c>
      <c r="AN51" s="18">
        <v>25.309999000000001</v>
      </c>
      <c r="AO51" s="18">
        <v>22.639999</v>
      </c>
      <c r="AP51" s="18">
        <v>23.440000999999999</v>
      </c>
      <c r="AQ51" s="18">
        <v>23.440000999999999</v>
      </c>
      <c r="AR51" s="19">
        <v>485701900</v>
      </c>
    </row>
    <row r="52" spans="1:44" x14ac:dyDescent="0.25">
      <c r="A52">
        <v>36</v>
      </c>
      <c r="B52" s="21" t="s">
        <v>313</v>
      </c>
      <c r="C52">
        <v>178.24</v>
      </c>
      <c r="D52" s="17">
        <v>43160</v>
      </c>
      <c r="AK52" t="s">
        <v>359</v>
      </c>
      <c r="AL52" s="17">
        <v>42795</v>
      </c>
      <c r="AM52" s="18">
        <v>24.16</v>
      </c>
      <c r="AN52" s="18">
        <v>29.870000999999998</v>
      </c>
      <c r="AO52" s="18">
        <v>24.07</v>
      </c>
      <c r="AP52" s="18">
        <v>28.9</v>
      </c>
      <c r="AQ52" s="18">
        <v>28.9</v>
      </c>
      <c r="AR52" s="19">
        <v>728136900</v>
      </c>
    </row>
    <row r="53" spans="1:44" x14ac:dyDescent="0.25">
      <c r="A53">
        <v>37</v>
      </c>
      <c r="B53" s="21" t="s">
        <v>314</v>
      </c>
      <c r="C53">
        <v>135.97999999999999</v>
      </c>
      <c r="D53" s="17">
        <v>43160</v>
      </c>
      <c r="AK53" t="s">
        <v>359</v>
      </c>
      <c r="AL53" s="17">
        <v>42826</v>
      </c>
      <c r="AM53" s="18">
        <v>28.950001</v>
      </c>
      <c r="AN53" s="18">
        <v>29.040001</v>
      </c>
      <c r="AO53" s="18">
        <v>26.360001</v>
      </c>
      <c r="AP53" s="18">
        <v>27.67</v>
      </c>
      <c r="AQ53" s="18">
        <v>27.67</v>
      </c>
      <c r="AR53" s="19">
        <v>460534300</v>
      </c>
    </row>
    <row r="54" spans="1:44" x14ac:dyDescent="0.25">
      <c r="A54">
        <v>38</v>
      </c>
      <c r="B54" s="21" t="s">
        <v>315</v>
      </c>
      <c r="C54">
        <v>110.41</v>
      </c>
      <c r="D54" s="17">
        <v>43160</v>
      </c>
      <c r="AK54" t="s">
        <v>359</v>
      </c>
      <c r="AL54" s="17">
        <v>42856</v>
      </c>
      <c r="AM54" s="18">
        <v>27.85</v>
      </c>
      <c r="AN54" s="18">
        <v>31.1</v>
      </c>
      <c r="AO54" s="18">
        <v>26.959999</v>
      </c>
      <c r="AP54" s="18">
        <v>30.77</v>
      </c>
      <c r="AQ54" s="18">
        <v>30.77</v>
      </c>
      <c r="AR54" s="19">
        <v>509074400</v>
      </c>
    </row>
    <row r="55" spans="1:44" x14ac:dyDescent="0.25">
      <c r="A55">
        <v>39</v>
      </c>
      <c r="B55" s="21" t="s">
        <v>316</v>
      </c>
      <c r="C55">
        <v>114.43</v>
      </c>
      <c r="D55" s="17">
        <v>43160</v>
      </c>
      <c r="AK55" t="s">
        <v>359</v>
      </c>
      <c r="AL55" s="17">
        <v>42887</v>
      </c>
      <c r="AM55" s="18">
        <v>30.75</v>
      </c>
      <c r="AN55" s="18">
        <v>32.959999000000003</v>
      </c>
      <c r="AO55" s="18">
        <v>29.209999</v>
      </c>
      <c r="AP55" s="18">
        <v>29.860001</v>
      </c>
      <c r="AQ55" s="18">
        <v>29.860001</v>
      </c>
      <c r="AR55" s="19">
        <v>772196700</v>
      </c>
    </row>
    <row r="56" spans="1:44" x14ac:dyDescent="0.25">
      <c r="A56">
        <v>40</v>
      </c>
      <c r="B56" s="21" t="s">
        <v>317</v>
      </c>
      <c r="C56">
        <v>61.21</v>
      </c>
      <c r="D56" s="17">
        <v>43160</v>
      </c>
      <c r="AK56" t="s">
        <v>359</v>
      </c>
      <c r="AL56" s="17">
        <v>42917</v>
      </c>
      <c r="AM56" s="18">
        <v>30.09</v>
      </c>
      <c r="AN56" s="18">
        <v>32.349997999999999</v>
      </c>
      <c r="AO56" s="18">
        <v>27.870000999999998</v>
      </c>
      <c r="AP56" s="18">
        <v>28.120000999999998</v>
      </c>
      <c r="AQ56" s="18">
        <v>28.120000999999998</v>
      </c>
      <c r="AR56" s="19">
        <v>562390400</v>
      </c>
    </row>
    <row r="57" spans="1:44" x14ac:dyDescent="0.25">
      <c r="A57">
        <v>41</v>
      </c>
      <c r="B57" s="21" t="s">
        <v>318</v>
      </c>
      <c r="C57">
        <v>131.71</v>
      </c>
      <c r="D57" s="17">
        <v>43160</v>
      </c>
      <c r="AK57" t="s">
        <v>359</v>
      </c>
      <c r="AL57" s="17">
        <v>42948</v>
      </c>
      <c r="AM57" s="18">
        <v>28.219999000000001</v>
      </c>
      <c r="AN57" s="18">
        <v>32.020000000000003</v>
      </c>
      <c r="AO57" s="18">
        <v>26.85</v>
      </c>
      <c r="AP57" s="18">
        <v>31.969999000000001</v>
      </c>
      <c r="AQ57" s="18">
        <v>31.969999000000001</v>
      </c>
      <c r="AR57" s="19">
        <v>543420400</v>
      </c>
    </row>
    <row r="58" spans="1:44" x14ac:dyDescent="0.25">
      <c r="A58">
        <v>42</v>
      </c>
      <c r="B58" s="21" t="s">
        <v>319</v>
      </c>
      <c r="C58">
        <v>76.260000000000005</v>
      </c>
      <c r="D58" s="17">
        <v>43160</v>
      </c>
      <c r="AK58" t="s">
        <v>359</v>
      </c>
      <c r="AL58" s="17">
        <v>42979</v>
      </c>
      <c r="AM58" s="18">
        <v>32.130001</v>
      </c>
      <c r="AN58" s="18">
        <v>39.360000999999997</v>
      </c>
      <c r="AO58" s="18">
        <v>31.65</v>
      </c>
      <c r="AP58" s="18">
        <v>39.330002</v>
      </c>
      <c r="AQ58" s="18">
        <v>39.330002</v>
      </c>
      <c r="AR58" s="19">
        <v>731278700</v>
      </c>
    </row>
    <row r="59" spans="1:44" x14ac:dyDescent="0.25">
      <c r="A59">
        <v>43</v>
      </c>
      <c r="B59" s="21" t="s">
        <v>320</v>
      </c>
      <c r="C59">
        <v>134.43</v>
      </c>
      <c r="D59" s="17">
        <v>43160</v>
      </c>
      <c r="AK59" t="s">
        <v>359</v>
      </c>
      <c r="AL59" s="17">
        <v>43009</v>
      </c>
      <c r="AM59" s="18">
        <v>39.599997999999999</v>
      </c>
      <c r="AN59" s="18">
        <v>44.57</v>
      </c>
      <c r="AO59" s="18">
        <v>38.810001</v>
      </c>
      <c r="AP59" s="18">
        <v>44.310001</v>
      </c>
      <c r="AQ59" s="18">
        <v>44.310001</v>
      </c>
      <c r="AR59" s="19">
        <v>834077600</v>
      </c>
    </row>
    <row r="60" spans="1:44" x14ac:dyDescent="0.25">
      <c r="A60">
        <v>44</v>
      </c>
      <c r="B60" s="21" t="s">
        <v>321</v>
      </c>
      <c r="C60">
        <v>233.56</v>
      </c>
      <c r="D60" s="17">
        <v>43160</v>
      </c>
      <c r="AK60" t="s">
        <v>359</v>
      </c>
      <c r="AL60" s="17">
        <v>43040</v>
      </c>
      <c r="AM60" s="18">
        <v>44.790000999999997</v>
      </c>
      <c r="AN60" s="18">
        <v>49.889999000000003</v>
      </c>
      <c r="AO60" s="18">
        <v>41.860000999999997</v>
      </c>
      <c r="AP60" s="18">
        <v>42.389999000000003</v>
      </c>
      <c r="AQ60" s="18">
        <v>42.389999000000003</v>
      </c>
      <c r="AR60" s="19">
        <v>695153200</v>
      </c>
    </row>
    <row r="61" spans="1:44" x14ac:dyDescent="0.25">
      <c r="A61">
        <v>45</v>
      </c>
      <c r="B61" s="21" t="s">
        <v>322</v>
      </c>
      <c r="C61">
        <v>323.11</v>
      </c>
      <c r="D61" s="17">
        <v>43160</v>
      </c>
      <c r="AK61" t="s">
        <v>359</v>
      </c>
      <c r="AL61" s="17">
        <v>43070</v>
      </c>
      <c r="AM61" s="18">
        <v>41.73</v>
      </c>
      <c r="AN61" s="18">
        <v>46.799999</v>
      </c>
      <c r="AO61" s="18">
        <v>39.07</v>
      </c>
      <c r="AP61" s="18">
        <v>41.119999</v>
      </c>
      <c r="AQ61" s="18">
        <v>41.119999</v>
      </c>
      <c r="AR61" s="19">
        <v>895064700</v>
      </c>
    </row>
    <row r="62" spans="1:44" x14ac:dyDescent="0.25">
      <c r="A62">
        <v>46</v>
      </c>
      <c r="B62" s="21" t="s">
        <v>88</v>
      </c>
      <c r="C62">
        <v>53.06</v>
      </c>
      <c r="D62" s="17">
        <v>43160</v>
      </c>
      <c r="AK62" t="s">
        <v>359</v>
      </c>
      <c r="AL62" s="17">
        <v>43101</v>
      </c>
      <c r="AM62" s="18">
        <v>41.540000999999997</v>
      </c>
      <c r="AN62" s="18">
        <v>46.98</v>
      </c>
      <c r="AO62" s="18">
        <v>41.189999</v>
      </c>
      <c r="AP62" s="18">
        <v>43.720001000000003</v>
      </c>
      <c r="AQ62" s="18">
        <v>43.720001000000003</v>
      </c>
      <c r="AR62" s="19">
        <v>830936200</v>
      </c>
    </row>
    <row r="63" spans="1:44" x14ac:dyDescent="0.25">
      <c r="A63">
        <v>47</v>
      </c>
      <c r="B63" s="21" t="s">
        <v>90</v>
      </c>
      <c r="C63">
        <v>37.25</v>
      </c>
      <c r="D63" s="17">
        <v>43160</v>
      </c>
      <c r="AK63" t="s">
        <v>359</v>
      </c>
      <c r="AL63" s="17">
        <v>43132</v>
      </c>
      <c r="AM63" s="18">
        <v>43.040000999999997</v>
      </c>
      <c r="AN63" s="18">
        <v>49.459999000000003</v>
      </c>
      <c r="AO63" s="18">
        <v>37.520000000000003</v>
      </c>
      <c r="AP63" s="18">
        <v>48.810001</v>
      </c>
      <c r="AQ63" s="18">
        <v>48.810001</v>
      </c>
      <c r="AR63" s="19">
        <v>831358900</v>
      </c>
    </row>
    <row r="64" spans="1:44" x14ac:dyDescent="0.25">
      <c r="A64">
        <v>48</v>
      </c>
      <c r="B64" s="21" t="s">
        <v>91</v>
      </c>
      <c r="C64">
        <v>34.06</v>
      </c>
      <c r="D64" s="17">
        <v>43160</v>
      </c>
      <c r="AK64" t="s">
        <v>359</v>
      </c>
      <c r="AL64" s="17">
        <v>43160</v>
      </c>
      <c r="AM64" s="18">
        <v>48.77</v>
      </c>
      <c r="AN64" s="18">
        <v>63.419998</v>
      </c>
      <c r="AO64" s="18">
        <v>45.950001</v>
      </c>
      <c r="AP64" s="18">
        <v>52.139999000000003</v>
      </c>
      <c r="AQ64" s="18">
        <v>52.139999000000003</v>
      </c>
      <c r="AR64" s="19">
        <v>1549894000</v>
      </c>
    </row>
    <row r="65" spans="1:44" x14ac:dyDescent="0.25">
      <c r="A65">
        <v>49</v>
      </c>
      <c r="B65" s="21" t="s">
        <v>323</v>
      </c>
      <c r="C65">
        <v>82.13</v>
      </c>
      <c r="D65" s="17">
        <v>43160</v>
      </c>
      <c r="AL65"/>
      <c r="AM65"/>
      <c r="AN65"/>
      <c r="AO65"/>
      <c r="AP65"/>
      <c r="AQ65"/>
      <c r="AR65"/>
    </row>
    <row r="66" spans="1:44" x14ac:dyDescent="0.25">
      <c r="A66">
        <v>50</v>
      </c>
      <c r="B66" s="21" t="s">
        <v>324</v>
      </c>
      <c r="C66">
        <v>60.53</v>
      </c>
      <c r="D66" s="17">
        <v>43160</v>
      </c>
      <c r="AL66"/>
      <c r="AM66"/>
      <c r="AN66"/>
      <c r="AO66"/>
      <c r="AP66"/>
      <c r="AQ66"/>
      <c r="AR66"/>
    </row>
    <row r="67" spans="1:44" x14ac:dyDescent="0.25">
      <c r="A67">
        <v>51</v>
      </c>
      <c r="B67" s="21" t="s">
        <v>325</v>
      </c>
      <c r="C67">
        <v>163.33000000000001</v>
      </c>
      <c r="D67" s="17">
        <v>43160</v>
      </c>
      <c r="AL67"/>
      <c r="AM67"/>
      <c r="AN67"/>
      <c r="AO67"/>
      <c r="AP67"/>
      <c r="AQ67"/>
      <c r="AR67"/>
    </row>
    <row r="68" spans="1:44" x14ac:dyDescent="0.25">
      <c r="A68">
        <v>52</v>
      </c>
      <c r="B68" s="21" t="s">
        <v>326</v>
      </c>
      <c r="C68">
        <v>77.47</v>
      </c>
      <c r="D68" s="17">
        <v>43160</v>
      </c>
      <c r="AL68"/>
      <c r="AM68"/>
      <c r="AN68"/>
      <c r="AO68"/>
      <c r="AP68"/>
      <c r="AQ68"/>
      <c r="AR68"/>
    </row>
    <row r="69" spans="1:44" x14ac:dyDescent="0.25">
      <c r="A69">
        <v>53</v>
      </c>
      <c r="B69" s="21" t="s">
        <v>327</v>
      </c>
      <c r="C69">
        <v>44.66</v>
      </c>
      <c r="D69" s="17">
        <v>43160</v>
      </c>
      <c r="AL69"/>
      <c r="AM69"/>
      <c r="AN69"/>
      <c r="AO69"/>
      <c r="AP69"/>
      <c r="AQ69"/>
      <c r="AR69"/>
    </row>
    <row r="70" spans="1:44" x14ac:dyDescent="0.25">
      <c r="A70">
        <v>54</v>
      </c>
      <c r="B70" s="21" t="s">
        <v>328</v>
      </c>
      <c r="C70">
        <v>111.22</v>
      </c>
      <c r="D70" s="17">
        <v>43160</v>
      </c>
      <c r="AL70"/>
      <c r="AM70"/>
      <c r="AN70"/>
      <c r="AO70"/>
      <c r="AP70"/>
      <c r="AQ70"/>
      <c r="AR70"/>
    </row>
    <row r="71" spans="1:44" x14ac:dyDescent="0.25">
      <c r="A71">
        <v>55</v>
      </c>
      <c r="B71" s="21" t="s">
        <v>329</v>
      </c>
      <c r="C71">
        <v>104.4</v>
      </c>
      <c r="D71" s="17">
        <v>43160</v>
      </c>
      <c r="AL71"/>
      <c r="AM71"/>
      <c r="AN71"/>
      <c r="AO71"/>
      <c r="AP71"/>
      <c r="AQ71"/>
      <c r="AR71"/>
    </row>
    <row r="72" spans="1:44" x14ac:dyDescent="0.25">
      <c r="A72">
        <v>56</v>
      </c>
      <c r="B72" s="21" t="s">
        <v>330</v>
      </c>
      <c r="C72">
        <v>109.97</v>
      </c>
      <c r="D72" s="17">
        <v>43160</v>
      </c>
      <c r="AL72"/>
      <c r="AM72"/>
      <c r="AN72"/>
      <c r="AO72"/>
      <c r="AP72"/>
      <c r="AQ72"/>
      <c r="AR72"/>
    </row>
    <row r="73" spans="1:44" x14ac:dyDescent="0.25">
      <c r="A73">
        <v>57</v>
      </c>
      <c r="B73" s="21" t="s">
        <v>331</v>
      </c>
      <c r="C73">
        <v>29.99</v>
      </c>
      <c r="D73" s="17">
        <v>43160</v>
      </c>
      <c r="AL73"/>
      <c r="AM73"/>
      <c r="AN73"/>
      <c r="AO73"/>
      <c r="AP73"/>
      <c r="AQ73"/>
      <c r="AR73"/>
    </row>
    <row r="74" spans="1:44" x14ac:dyDescent="0.25">
      <c r="A74">
        <v>58</v>
      </c>
      <c r="B74" s="21" t="s">
        <v>332</v>
      </c>
      <c r="C74">
        <v>119.62</v>
      </c>
      <c r="D74" s="17">
        <v>43160</v>
      </c>
      <c r="AL74"/>
      <c r="AM74"/>
      <c r="AN74"/>
      <c r="AO74"/>
      <c r="AP74"/>
      <c r="AQ74"/>
      <c r="AR74"/>
    </row>
    <row r="75" spans="1:44" x14ac:dyDescent="0.25">
      <c r="A75">
        <v>59</v>
      </c>
      <c r="B75" s="21" t="s">
        <v>333</v>
      </c>
      <c r="C75">
        <v>67.5</v>
      </c>
      <c r="D75" s="17">
        <v>43160</v>
      </c>
      <c r="AL75"/>
      <c r="AM75"/>
      <c r="AN75"/>
      <c r="AO75"/>
      <c r="AP75"/>
      <c r="AQ75"/>
      <c r="AR75"/>
    </row>
    <row r="76" spans="1:44" x14ac:dyDescent="0.25">
      <c r="A76">
        <v>60</v>
      </c>
      <c r="B76" s="21" t="s">
        <v>334</v>
      </c>
      <c r="C76">
        <v>251.86</v>
      </c>
      <c r="D76" s="17">
        <v>43160</v>
      </c>
      <c r="AL76"/>
      <c r="AM76"/>
      <c r="AN76"/>
      <c r="AO76"/>
      <c r="AP76"/>
      <c r="AQ76"/>
      <c r="AR76"/>
    </row>
    <row r="77" spans="1:44" x14ac:dyDescent="0.25">
      <c r="A77">
        <v>61</v>
      </c>
      <c r="B77" s="21" t="s">
        <v>335</v>
      </c>
      <c r="C77">
        <v>50.5</v>
      </c>
      <c r="D77" s="17">
        <v>43160</v>
      </c>
      <c r="AL77"/>
      <c r="AM77"/>
      <c r="AN77"/>
      <c r="AO77"/>
      <c r="AP77"/>
      <c r="AQ77"/>
      <c r="AR77"/>
    </row>
    <row r="78" spans="1:44" x14ac:dyDescent="0.25">
      <c r="A78">
        <v>62</v>
      </c>
      <c r="B78" s="21" t="s">
        <v>336</v>
      </c>
      <c r="C78">
        <v>52.41</v>
      </c>
      <c r="D78" s="17">
        <v>43160</v>
      </c>
      <c r="AL78"/>
      <c r="AM78"/>
      <c r="AN78"/>
      <c r="AO78"/>
      <c r="AP78"/>
      <c r="AQ78"/>
      <c r="AR78"/>
    </row>
    <row r="79" spans="1:44" x14ac:dyDescent="0.25">
      <c r="A79">
        <v>63</v>
      </c>
      <c r="B79" s="21" t="s">
        <v>337</v>
      </c>
      <c r="C79">
        <v>175.16</v>
      </c>
      <c r="D79" s="17">
        <v>43160</v>
      </c>
      <c r="AL79"/>
      <c r="AM79"/>
      <c r="AN79"/>
      <c r="AO79"/>
      <c r="AP79"/>
      <c r="AQ79"/>
      <c r="AR79"/>
    </row>
    <row r="80" spans="1:44" x14ac:dyDescent="0.25">
      <c r="A80">
        <v>64</v>
      </c>
      <c r="B80" s="21" t="s">
        <v>338</v>
      </c>
      <c r="C80">
        <v>6.55</v>
      </c>
      <c r="D80" s="17">
        <v>43160</v>
      </c>
      <c r="AL80"/>
      <c r="AM80"/>
      <c r="AN80"/>
      <c r="AO80"/>
      <c r="AP80"/>
      <c r="AQ80"/>
      <c r="AR80"/>
    </row>
    <row r="81" spans="1:44" x14ac:dyDescent="0.25">
      <c r="A81">
        <v>65</v>
      </c>
      <c r="B81" s="21" t="s">
        <v>339</v>
      </c>
      <c r="C81">
        <v>93.28</v>
      </c>
      <c r="D81" s="17">
        <v>43160</v>
      </c>
      <c r="AL81"/>
      <c r="AM81"/>
      <c r="AN81"/>
      <c r="AO81"/>
      <c r="AP81"/>
      <c r="AQ81"/>
      <c r="AR81"/>
    </row>
    <row r="82" spans="1:44" x14ac:dyDescent="0.25">
      <c r="A82">
        <v>66</v>
      </c>
      <c r="B82" s="21" t="s">
        <v>340</v>
      </c>
      <c r="C82">
        <v>219.52</v>
      </c>
      <c r="D82" s="17">
        <v>43160</v>
      </c>
      <c r="AL82"/>
      <c r="AM82"/>
      <c r="AN82"/>
      <c r="AO82"/>
      <c r="AP82"/>
      <c r="AQ82"/>
      <c r="AR82"/>
    </row>
    <row r="83" spans="1:44" x14ac:dyDescent="0.25">
      <c r="A83">
        <v>67</v>
      </c>
      <c r="B83" s="21" t="s">
        <v>341</v>
      </c>
      <c r="C83">
        <v>144.51</v>
      </c>
      <c r="D83" s="17">
        <v>43160</v>
      </c>
      <c r="AL83"/>
      <c r="AM83"/>
      <c r="AN83"/>
      <c r="AO83"/>
      <c r="AP83"/>
      <c r="AQ83"/>
      <c r="AR83"/>
    </row>
    <row r="84" spans="1:44" x14ac:dyDescent="0.25">
      <c r="A84">
        <v>68</v>
      </c>
      <c r="B84" s="21" t="s">
        <v>342</v>
      </c>
      <c r="C84">
        <v>97.91</v>
      </c>
      <c r="D84" s="17">
        <v>43160</v>
      </c>
      <c r="AL84"/>
      <c r="AM84"/>
      <c r="AN84"/>
      <c r="AO84"/>
      <c r="AP84"/>
      <c r="AQ84"/>
      <c r="AR84"/>
    </row>
    <row r="85" spans="1:44" x14ac:dyDescent="0.25">
      <c r="A85">
        <v>69</v>
      </c>
      <c r="B85" s="21" t="s">
        <v>343</v>
      </c>
      <c r="C85">
        <v>156.66</v>
      </c>
      <c r="D85" s="17">
        <v>43160</v>
      </c>
      <c r="AL85"/>
      <c r="AM85"/>
      <c r="AN85"/>
      <c r="AO85"/>
      <c r="AP85"/>
      <c r="AQ85"/>
      <c r="AR85"/>
    </row>
    <row r="86" spans="1:44" x14ac:dyDescent="0.25">
      <c r="A86">
        <v>70</v>
      </c>
      <c r="B86" s="21" t="s">
        <v>344</v>
      </c>
      <c r="C86">
        <v>280.69</v>
      </c>
      <c r="D86" s="17">
        <v>43160</v>
      </c>
      <c r="AL86"/>
      <c r="AM86"/>
      <c r="AN86"/>
      <c r="AO86"/>
      <c r="AP86"/>
      <c r="AQ86"/>
      <c r="AR86"/>
    </row>
    <row r="87" spans="1:44" x14ac:dyDescent="0.25">
      <c r="A87">
        <v>71</v>
      </c>
      <c r="B87" s="21" t="s">
        <v>345</v>
      </c>
      <c r="C87">
        <v>162.09</v>
      </c>
      <c r="D87" s="17">
        <v>43160</v>
      </c>
      <c r="AL87"/>
      <c r="AM87"/>
      <c r="AN87"/>
      <c r="AO87"/>
      <c r="AP87"/>
      <c r="AQ87"/>
      <c r="AR87"/>
    </row>
    <row r="88" spans="1:44" x14ac:dyDescent="0.25">
      <c r="A88">
        <v>72</v>
      </c>
      <c r="B88" s="21" t="s">
        <v>346</v>
      </c>
      <c r="C88">
        <v>142.51</v>
      </c>
      <c r="D88" s="17">
        <v>43160</v>
      </c>
      <c r="AL88"/>
      <c r="AM88"/>
      <c r="AN88"/>
      <c r="AO88"/>
      <c r="AP88"/>
      <c r="AQ88"/>
      <c r="AR88"/>
    </row>
    <row r="89" spans="1:44" x14ac:dyDescent="0.25">
      <c r="A89">
        <v>73</v>
      </c>
      <c r="B89" s="21" t="s">
        <v>347</v>
      </c>
      <c r="C89">
        <v>136.34</v>
      </c>
      <c r="D89" s="17">
        <v>43160</v>
      </c>
      <c r="AL89"/>
      <c r="AM89"/>
      <c r="AN89"/>
      <c r="AO89"/>
      <c r="AP89"/>
      <c r="AQ89"/>
      <c r="AR89"/>
    </row>
    <row r="90" spans="1:44" x14ac:dyDescent="0.25">
      <c r="A90">
        <v>74</v>
      </c>
      <c r="B90" s="21" t="s">
        <v>348</v>
      </c>
      <c r="C90">
        <v>139.19</v>
      </c>
      <c r="D90" s="17">
        <v>43160</v>
      </c>
      <c r="AL90"/>
      <c r="AM90"/>
      <c r="AN90"/>
      <c r="AO90"/>
      <c r="AP90"/>
      <c r="AQ90"/>
      <c r="AR90"/>
    </row>
    <row r="91" spans="1:44" x14ac:dyDescent="0.25">
      <c r="A91">
        <v>75</v>
      </c>
      <c r="B91" s="21" t="s">
        <v>349</v>
      </c>
      <c r="C91">
        <v>123.79</v>
      </c>
      <c r="D91" s="17">
        <v>43160</v>
      </c>
      <c r="AL91"/>
      <c r="AM91"/>
      <c r="AN91"/>
      <c r="AO91"/>
      <c r="AP91"/>
      <c r="AQ91"/>
      <c r="AR91"/>
    </row>
    <row r="92" spans="1:44" x14ac:dyDescent="0.25">
      <c r="A92">
        <v>76</v>
      </c>
      <c r="B92" s="21" t="s">
        <v>9</v>
      </c>
      <c r="C92">
        <v>91.27</v>
      </c>
      <c r="D92" s="17">
        <v>43160</v>
      </c>
      <c r="AL92"/>
      <c r="AM92"/>
      <c r="AN92"/>
      <c r="AO92"/>
      <c r="AP92"/>
      <c r="AQ92"/>
      <c r="AR92"/>
    </row>
    <row r="93" spans="1:44" x14ac:dyDescent="0.25">
      <c r="A93">
        <v>77</v>
      </c>
      <c r="B93" s="21" t="s">
        <v>350</v>
      </c>
      <c r="C93">
        <v>52.08</v>
      </c>
      <c r="D93" s="17">
        <v>43160</v>
      </c>
      <c r="AL93"/>
      <c r="AM93"/>
      <c r="AN93"/>
      <c r="AO93"/>
      <c r="AP93"/>
      <c r="AQ93"/>
      <c r="AR93"/>
    </row>
    <row r="94" spans="1:44" x14ac:dyDescent="0.25">
      <c r="A94">
        <v>78</v>
      </c>
      <c r="B94" s="21" t="s">
        <v>351</v>
      </c>
      <c r="C94">
        <v>47.82</v>
      </c>
      <c r="D94" s="17">
        <v>43160</v>
      </c>
      <c r="AL94"/>
      <c r="AM94"/>
      <c r="AN94"/>
      <c r="AO94"/>
      <c r="AP94"/>
      <c r="AQ94"/>
      <c r="AR94"/>
    </row>
    <row r="95" spans="1:44" x14ac:dyDescent="0.25">
      <c r="A95">
        <v>79</v>
      </c>
      <c r="B95" s="21" t="s">
        <v>352</v>
      </c>
      <c r="C95">
        <v>116.3</v>
      </c>
      <c r="D95" s="17">
        <v>43160</v>
      </c>
      <c r="AL95"/>
      <c r="AM95"/>
      <c r="AN95"/>
      <c r="AO95"/>
      <c r="AP95"/>
      <c r="AQ95"/>
      <c r="AR95"/>
    </row>
    <row r="96" spans="1:44" x14ac:dyDescent="0.25">
      <c r="A96">
        <v>80</v>
      </c>
      <c r="B96" s="21" t="s">
        <v>353</v>
      </c>
      <c r="C96">
        <v>173.35</v>
      </c>
      <c r="D96" s="17">
        <v>43160</v>
      </c>
      <c r="AL96"/>
      <c r="AM96"/>
      <c r="AN96"/>
      <c r="AO96"/>
      <c r="AP96"/>
      <c r="AQ96"/>
      <c r="AR96"/>
    </row>
    <row r="97" spans="1:44" x14ac:dyDescent="0.25">
      <c r="A97">
        <v>81</v>
      </c>
      <c r="B97" s="21" t="s">
        <v>354</v>
      </c>
      <c r="C97">
        <v>149.51</v>
      </c>
      <c r="D97" s="17">
        <v>43160</v>
      </c>
      <c r="AL97"/>
      <c r="AM97"/>
      <c r="AN97"/>
      <c r="AO97"/>
      <c r="AP97"/>
      <c r="AQ97"/>
      <c r="AR97"/>
    </row>
    <row r="98" spans="1:44" x14ac:dyDescent="0.25">
      <c r="A98">
        <v>82</v>
      </c>
      <c r="B98" s="21" t="s">
        <v>355</v>
      </c>
      <c r="C98">
        <v>156.69</v>
      </c>
      <c r="D98" s="17">
        <v>43160</v>
      </c>
      <c r="AL98"/>
      <c r="AM98"/>
      <c r="AN98"/>
      <c r="AO98"/>
      <c r="AP98"/>
      <c r="AQ98"/>
      <c r="AR98"/>
    </row>
    <row r="99" spans="1:44" x14ac:dyDescent="0.25">
      <c r="A99">
        <v>83</v>
      </c>
      <c r="B99" s="21" t="s">
        <v>356</v>
      </c>
      <c r="C99">
        <v>231.59</v>
      </c>
      <c r="D99" s="17">
        <v>43160</v>
      </c>
      <c r="AL99"/>
      <c r="AM99"/>
      <c r="AN99"/>
      <c r="AO99"/>
      <c r="AP99"/>
      <c r="AQ99"/>
      <c r="AR99"/>
    </row>
    <row r="100" spans="1:44" x14ac:dyDescent="0.25">
      <c r="A100">
        <v>84</v>
      </c>
      <c r="B100" s="21" t="s">
        <v>357</v>
      </c>
      <c r="C100">
        <v>159.79</v>
      </c>
      <c r="D100" s="17">
        <v>43160</v>
      </c>
      <c r="AL100"/>
      <c r="AM100"/>
      <c r="AN100"/>
      <c r="AO100"/>
      <c r="AP100"/>
      <c r="AQ100"/>
      <c r="AR100"/>
    </row>
    <row r="101" spans="1:44" x14ac:dyDescent="0.25">
      <c r="A101">
        <v>85</v>
      </c>
      <c r="B101" s="21" t="s">
        <v>358</v>
      </c>
      <c r="C101">
        <v>21.92</v>
      </c>
      <c r="D101" s="17">
        <v>43160</v>
      </c>
      <c r="AL101"/>
      <c r="AM101"/>
      <c r="AN101"/>
      <c r="AO101"/>
      <c r="AP101"/>
      <c r="AQ101"/>
      <c r="AR101"/>
    </row>
    <row r="102" spans="1:44" x14ac:dyDescent="0.25">
      <c r="A102">
        <v>86</v>
      </c>
      <c r="B102" s="21" t="s">
        <v>359</v>
      </c>
      <c r="C102">
        <v>52.14</v>
      </c>
      <c r="D102" s="17">
        <v>43160</v>
      </c>
      <c r="AL102"/>
      <c r="AM102"/>
      <c r="AN102"/>
      <c r="AO102"/>
      <c r="AP102"/>
      <c r="AQ102"/>
      <c r="AR102"/>
    </row>
    <row r="103" spans="1:44" x14ac:dyDescent="0.25">
      <c r="A103">
        <v>87</v>
      </c>
      <c r="B103" s="21"/>
      <c r="AL103"/>
      <c r="AM103"/>
      <c r="AN103"/>
      <c r="AO103"/>
      <c r="AP103"/>
      <c r="AQ103"/>
      <c r="AR103"/>
    </row>
    <row r="104" spans="1:44" x14ac:dyDescent="0.25">
      <c r="A104">
        <v>88</v>
      </c>
      <c r="B104" s="21"/>
      <c r="AL104"/>
      <c r="AM104"/>
      <c r="AN104"/>
      <c r="AO104"/>
      <c r="AP104"/>
      <c r="AQ104"/>
      <c r="AR104"/>
    </row>
    <row r="105" spans="1:44" x14ac:dyDescent="0.25">
      <c r="A105">
        <v>89</v>
      </c>
      <c r="B105" s="21"/>
      <c r="AL105"/>
      <c r="AM105"/>
      <c r="AN105"/>
      <c r="AO105"/>
      <c r="AP105"/>
      <c r="AQ105"/>
      <c r="AR105"/>
    </row>
    <row r="106" spans="1:44" x14ac:dyDescent="0.25">
      <c r="A106">
        <v>90</v>
      </c>
      <c r="B106" s="21"/>
      <c r="AL106"/>
      <c r="AM106"/>
      <c r="AN106"/>
      <c r="AO106"/>
      <c r="AP106"/>
      <c r="AQ106"/>
      <c r="AR106"/>
    </row>
    <row r="107" spans="1:44" x14ac:dyDescent="0.25">
      <c r="A107">
        <v>91</v>
      </c>
      <c r="B107" s="21"/>
      <c r="AL107"/>
      <c r="AM107"/>
      <c r="AN107"/>
      <c r="AO107"/>
      <c r="AP107"/>
      <c r="AQ107"/>
      <c r="AR107"/>
    </row>
    <row r="108" spans="1:44" x14ac:dyDescent="0.25">
      <c r="A108">
        <v>92</v>
      </c>
      <c r="B108" s="21"/>
      <c r="AL108"/>
      <c r="AM108"/>
      <c r="AN108"/>
      <c r="AO108"/>
      <c r="AP108"/>
      <c r="AQ108"/>
      <c r="AR108"/>
    </row>
    <row r="109" spans="1:44" x14ac:dyDescent="0.25">
      <c r="A109">
        <v>93</v>
      </c>
      <c r="B109" s="21"/>
      <c r="AL109"/>
      <c r="AM109"/>
      <c r="AN109"/>
      <c r="AO109"/>
      <c r="AP109"/>
      <c r="AQ109"/>
      <c r="AR109"/>
    </row>
    <row r="110" spans="1:44" x14ac:dyDescent="0.25">
      <c r="A110">
        <v>94</v>
      </c>
      <c r="B110" s="21"/>
      <c r="AL110"/>
      <c r="AM110"/>
      <c r="AN110"/>
      <c r="AO110"/>
      <c r="AP110"/>
      <c r="AQ110"/>
      <c r="AR110"/>
    </row>
    <row r="111" spans="1:44" x14ac:dyDescent="0.25">
      <c r="A111">
        <v>95</v>
      </c>
      <c r="B111" s="21"/>
      <c r="AL111"/>
      <c r="AM111"/>
      <c r="AN111"/>
      <c r="AO111"/>
      <c r="AP111"/>
      <c r="AQ111"/>
      <c r="AR111"/>
    </row>
    <row r="112" spans="1:44" x14ac:dyDescent="0.25">
      <c r="A112">
        <v>96</v>
      </c>
      <c r="B112" s="21"/>
      <c r="AL112"/>
      <c r="AM112"/>
      <c r="AN112"/>
      <c r="AO112"/>
      <c r="AP112"/>
      <c r="AQ112"/>
      <c r="AR112"/>
    </row>
    <row r="113" spans="1:44" x14ac:dyDescent="0.25">
      <c r="A113">
        <v>97</v>
      </c>
      <c r="B113" s="21"/>
      <c r="AL113"/>
      <c r="AM113"/>
      <c r="AN113"/>
      <c r="AO113"/>
      <c r="AP113"/>
      <c r="AQ113"/>
      <c r="AR113"/>
    </row>
    <row r="114" spans="1:44" x14ac:dyDescent="0.25">
      <c r="A114">
        <v>98</v>
      </c>
      <c r="B114" s="21"/>
      <c r="AL114"/>
      <c r="AM114"/>
      <c r="AN114"/>
      <c r="AO114"/>
      <c r="AP114"/>
      <c r="AQ114"/>
      <c r="AR114"/>
    </row>
    <row r="115" spans="1:44" x14ac:dyDescent="0.25">
      <c r="A115">
        <v>99</v>
      </c>
      <c r="B115" s="21"/>
      <c r="AL115"/>
      <c r="AM115"/>
      <c r="AN115"/>
      <c r="AO115"/>
      <c r="AP115"/>
      <c r="AQ115"/>
      <c r="AR115"/>
    </row>
    <row r="116" spans="1:44" x14ac:dyDescent="0.25">
      <c r="A116">
        <v>100</v>
      </c>
      <c r="B116" s="21"/>
      <c r="AL116"/>
      <c r="AM116"/>
      <c r="AN116"/>
      <c r="AO116"/>
      <c r="AP116"/>
      <c r="AQ116"/>
      <c r="AR116"/>
    </row>
    <row r="117" spans="1:44" x14ac:dyDescent="0.25">
      <c r="A117">
        <v>101</v>
      </c>
      <c r="B117" s="21"/>
      <c r="AL117"/>
      <c r="AM117"/>
      <c r="AN117"/>
      <c r="AO117"/>
      <c r="AP117"/>
      <c r="AQ117"/>
      <c r="AR117"/>
    </row>
    <row r="118" spans="1:44" x14ac:dyDescent="0.25">
      <c r="A118">
        <v>102</v>
      </c>
      <c r="B118" s="21"/>
      <c r="AL118"/>
      <c r="AM118"/>
      <c r="AN118"/>
      <c r="AO118"/>
      <c r="AP118"/>
      <c r="AQ118"/>
      <c r="AR118"/>
    </row>
    <row r="119" spans="1:44" x14ac:dyDescent="0.25">
      <c r="A119">
        <v>103</v>
      </c>
      <c r="B119" s="21"/>
      <c r="AL119"/>
      <c r="AM119"/>
      <c r="AN119"/>
      <c r="AO119"/>
      <c r="AP119"/>
      <c r="AQ119"/>
      <c r="AR119"/>
    </row>
    <row r="120" spans="1:44" x14ac:dyDescent="0.25">
      <c r="A120">
        <v>104</v>
      </c>
      <c r="B120" s="21"/>
      <c r="AL120"/>
      <c r="AM120"/>
      <c r="AN120"/>
      <c r="AO120"/>
      <c r="AP120"/>
      <c r="AQ120"/>
      <c r="AR120"/>
    </row>
    <row r="121" spans="1:44" x14ac:dyDescent="0.25">
      <c r="A121">
        <v>105</v>
      </c>
      <c r="B121" s="21"/>
      <c r="AL121"/>
      <c r="AM121"/>
      <c r="AN121"/>
      <c r="AO121"/>
      <c r="AP121"/>
      <c r="AQ121"/>
      <c r="AR121"/>
    </row>
    <row r="122" spans="1:44" x14ac:dyDescent="0.25">
      <c r="A122">
        <v>106</v>
      </c>
      <c r="B122" s="21"/>
      <c r="AL122"/>
      <c r="AM122"/>
      <c r="AN122"/>
      <c r="AO122"/>
      <c r="AP122"/>
      <c r="AQ122"/>
      <c r="AR122"/>
    </row>
    <row r="123" spans="1:44" x14ac:dyDescent="0.25">
      <c r="A123">
        <v>107</v>
      </c>
      <c r="B123" s="21"/>
      <c r="AL123"/>
      <c r="AM123"/>
      <c r="AN123"/>
      <c r="AO123"/>
      <c r="AP123"/>
      <c r="AQ123"/>
      <c r="AR123"/>
    </row>
    <row r="124" spans="1:44" x14ac:dyDescent="0.25">
      <c r="A124">
        <v>108</v>
      </c>
      <c r="B124" s="21"/>
      <c r="AL124"/>
      <c r="AM124"/>
      <c r="AN124"/>
      <c r="AO124"/>
      <c r="AP124"/>
      <c r="AQ124"/>
      <c r="AR124"/>
    </row>
    <row r="125" spans="1:44" x14ac:dyDescent="0.25">
      <c r="A125">
        <v>109</v>
      </c>
      <c r="B125" s="21"/>
      <c r="AL125"/>
      <c r="AM125"/>
      <c r="AN125"/>
      <c r="AO125"/>
      <c r="AP125"/>
      <c r="AQ125"/>
      <c r="AR125"/>
    </row>
    <row r="126" spans="1:44" x14ac:dyDescent="0.25">
      <c r="A126">
        <v>110</v>
      </c>
      <c r="B126" s="21"/>
      <c r="AL126"/>
      <c r="AM126"/>
      <c r="AN126"/>
      <c r="AO126"/>
      <c r="AP126"/>
      <c r="AQ126"/>
      <c r="AR126"/>
    </row>
    <row r="127" spans="1:44" x14ac:dyDescent="0.25">
      <c r="A127">
        <v>111</v>
      </c>
      <c r="B127" s="21"/>
      <c r="AL127"/>
      <c r="AM127"/>
      <c r="AN127"/>
      <c r="AO127"/>
      <c r="AP127"/>
      <c r="AQ127"/>
      <c r="AR127"/>
    </row>
    <row r="128" spans="1:44" x14ac:dyDescent="0.25">
      <c r="A128">
        <v>112</v>
      </c>
      <c r="B128" s="21"/>
      <c r="AL128"/>
      <c r="AM128"/>
      <c r="AN128"/>
      <c r="AO128"/>
      <c r="AP128"/>
      <c r="AQ128"/>
      <c r="AR128"/>
    </row>
    <row r="129" spans="1:44" x14ac:dyDescent="0.25">
      <c r="A129">
        <v>113</v>
      </c>
      <c r="B129" s="21"/>
      <c r="AL129"/>
      <c r="AM129"/>
      <c r="AN129"/>
      <c r="AO129"/>
      <c r="AP129"/>
      <c r="AQ129"/>
      <c r="AR129"/>
    </row>
    <row r="130" spans="1:44" x14ac:dyDescent="0.25">
      <c r="A130">
        <v>114</v>
      </c>
      <c r="B130" s="21"/>
      <c r="AL130"/>
      <c r="AM130"/>
      <c r="AN130"/>
      <c r="AO130"/>
      <c r="AP130"/>
      <c r="AQ130"/>
      <c r="AR130"/>
    </row>
    <row r="131" spans="1:44" x14ac:dyDescent="0.25">
      <c r="A131">
        <v>115</v>
      </c>
      <c r="B131" s="21"/>
      <c r="AL131"/>
      <c r="AM131"/>
      <c r="AN131"/>
      <c r="AO131"/>
      <c r="AP131"/>
      <c r="AQ131"/>
      <c r="AR131"/>
    </row>
    <row r="132" spans="1:44" x14ac:dyDescent="0.25">
      <c r="A132">
        <v>116</v>
      </c>
      <c r="B132" s="21"/>
      <c r="AL132"/>
      <c r="AM132"/>
      <c r="AN132"/>
      <c r="AO132"/>
      <c r="AP132"/>
      <c r="AQ132"/>
      <c r="AR132"/>
    </row>
    <row r="133" spans="1:44" x14ac:dyDescent="0.25">
      <c r="A133">
        <v>117</v>
      </c>
      <c r="B133" s="21"/>
      <c r="AL133"/>
      <c r="AM133"/>
      <c r="AN133"/>
      <c r="AO133"/>
      <c r="AP133"/>
      <c r="AQ133"/>
      <c r="AR133"/>
    </row>
    <row r="134" spans="1:44" x14ac:dyDescent="0.25">
      <c r="A134">
        <v>118</v>
      </c>
      <c r="B134" s="21"/>
      <c r="AL134"/>
      <c r="AM134"/>
      <c r="AN134"/>
      <c r="AO134"/>
      <c r="AP134"/>
      <c r="AQ134"/>
      <c r="AR134"/>
    </row>
    <row r="135" spans="1:44" x14ac:dyDescent="0.25">
      <c r="A135">
        <v>119</v>
      </c>
      <c r="B135" s="21"/>
      <c r="AL135"/>
      <c r="AM135"/>
      <c r="AN135"/>
      <c r="AO135"/>
      <c r="AP135"/>
      <c r="AQ135"/>
      <c r="AR135"/>
    </row>
    <row r="136" spans="1:44" x14ac:dyDescent="0.25">
      <c r="A136">
        <v>120</v>
      </c>
      <c r="B136" s="21"/>
      <c r="AL136"/>
      <c r="AM136"/>
      <c r="AN136"/>
      <c r="AO136"/>
      <c r="AP136"/>
      <c r="AQ136"/>
      <c r="AR136"/>
    </row>
  </sheetData>
  <dataConsolidate/>
  <mergeCells count="24">
    <mergeCell ref="AC39:AD39"/>
    <mergeCell ref="B9:D9"/>
    <mergeCell ref="AG9:AI9"/>
    <mergeCell ref="B10:D10"/>
    <mergeCell ref="AG10:AI10"/>
    <mergeCell ref="A11:D14"/>
    <mergeCell ref="A15:D15"/>
    <mergeCell ref="AC16:AD16"/>
    <mergeCell ref="AC20:AD20"/>
    <mergeCell ref="AC22:AD22"/>
    <mergeCell ref="AC27:AD27"/>
    <mergeCell ref="AC31:AD31"/>
    <mergeCell ref="E5:F6"/>
    <mergeCell ref="G5:G6"/>
    <mergeCell ref="B7:D7"/>
    <mergeCell ref="AG7:AI7"/>
    <mergeCell ref="B8:D8"/>
    <mergeCell ref="AG8:AI8"/>
    <mergeCell ref="AC4:AD4"/>
    <mergeCell ref="A1:G1"/>
    <mergeCell ref="AF1:AI1"/>
    <mergeCell ref="AK1:AT1"/>
    <mergeCell ref="AV1:AZ1"/>
    <mergeCell ref="A2:G2"/>
  </mergeCells>
  <conditionalFormatting sqref="B5:F6">
    <cfRule type="expression" dxfId="9" priority="8">
      <formula>$AD$32=FALSE</formula>
    </cfRule>
  </conditionalFormatting>
  <conditionalFormatting sqref="A11">
    <cfRule type="expression" dxfId="8" priority="7">
      <formula>$AD$33</formula>
    </cfRule>
  </conditionalFormatting>
  <conditionalFormatting sqref="A15">
    <cfRule type="expression" dxfId="7" priority="6">
      <formula>$AD$33=FALSE</formula>
    </cfRule>
  </conditionalFormatting>
  <conditionalFormatting sqref="I17:I136">
    <cfRule type="expression" dxfId="6" priority="1">
      <formula>AND(ISBLANK($I17)=FALSE, LEFT($I17,7)&lt;&gt;"Warning")</formula>
    </cfRule>
    <cfRule type="expression" dxfId="5" priority="5">
      <formula>LEFT($I17,7)="Warning"</formula>
    </cfRule>
  </conditionalFormatting>
  <conditionalFormatting sqref="G5:G6">
    <cfRule type="expression" dxfId="4" priority="4">
      <formula>OR($AD$36 = FALSE, $AD$37=FALSE)</formula>
    </cfRule>
  </conditionalFormatting>
  <conditionalFormatting sqref="B5:D5">
    <cfRule type="expression" dxfId="3" priority="3">
      <formula>$AD$36=FALSE</formula>
    </cfRule>
  </conditionalFormatting>
  <conditionalFormatting sqref="B6:D6">
    <cfRule type="expression" dxfId="2" priority="2">
      <formula>$AD$37=FALSE</formula>
    </cfRule>
  </conditionalFormatting>
  <conditionalFormatting sqref="H3:I3">
    <cfRule type="expression" dxfId="1" priority="9">
      <formula>$B$3&lt;&gt;$AC$18</formula>
    </cfRule>
  </conditionalFormatting>
  <conditionalFormatting sqref="D4:D6">
    <cfRule type="expression" dxfId="0" priority="10">
      <formula>$B$3=$AC$18</formula>
    </cfRule>
  </conditionalFormatting>
  <dataValidations count="8">
    <dataValidation type="list" allowBlank="1" showInputMessage="1" showErrorMessage="1" sqref="B7:D7" xr:uid="{00000000-0002-0000-0000-000000000000}">
      <formula1>"Prices,Dividends"</formula1>
    </dataValidation>
    <dataValidation type="whole" allowBlank="1" showInputMessage="1" showErrorMessage="1" errorTitle="Error" error="Day must be between 1 and 31." sqref="D5:D6" xr:uid="{00000000-0002-0000-0000-000001000000}">
      <formula1>1</formula1>
      <formula2>31</formula2>
    </dataValidation>
    <dataValidation type="list" allowBlank="1" showInputMessage="1" showErrorMessage="1" sqref="C5:C6" xr:uid="{00000000-0002-0000-0000-000002000000}">
      <formula1>"1,2,3,4,5,6,7,8,9,10,11,12"</formula1>
    </dataValidation>
    <dataValidation type="whole" operator="greaterThanOrEqual" allowBlank="1" showInputMessage="1" showErrorMessage="1" errorTitle="Error" error="Year must be greater than 1970." sqref="B5:B6" xr:uid="{00000000-0002-0000-0000-000003000000}">
      <formula1>1970</formula1>
    </dataValidation>
    <dataValidation type="list" allowBlank="1" showInputMessage="1" showErrorMessage="1" sqref="B10:D10" xr:uid="{00000000-0002-0000-0000-000004000000}">
      <formula1>$AC$28:$AC$29</formula1>
    </dataValidation>
    <dataValidation type="list" allowBlank="1" showInputMessage="1" showErrorMessage="1" sqref="B8:D8" xr:uid="{00000000-0002-0000-0000-000005000000}">
      <formula1>$AC$23:$AC$25</formula1>
    </dataValidation>
    <dataValidation type="list" allowBlank="1" showInputMessage="1" showErrorMessage="1" sqref="B9" xr:uid="{00000000-0002-0000-0000-000006000000}">
      <formula1>"Yes,No"</formula1>
    </dataValidation>
    <dataValidation type="list" allowBlank="1" showInputMessage="1" showErrorMessage="1" sqref="B3" xr:uid="{00000000-0002-0000-0000-000007000000}">
      <formula1>$AC$17:$AC$19</formula1>
    </dataValidation>
  </dataValidations>
  <hyperlinks>
    <hyperlink ref="Z12" r:id="rId1" xr:uid="{00000000-0004-0000-0000-000001000000}"/>
    <hyperlink ref="J17" r:id="rId2" xr:uid="{970FDB31-E54C-4B1E-971F-606C603BD5DF}"/>
    <hyperlink ref="J18" r:id="rId3" xr:uid="{D124A792-CFED-4E6F-81A1-709DC4F6E212}"/>
    <hyperlink ref="J19" r:id="rId4" xr:uid="{2ECEEA56-4F2C-4A85-802B-E455EBF91088}"/>
  </hyperlinks>
  <pageMargins left="0.7" right="0.7" top="0.75" bottom="0.75" header="0.3" footer="0.3"/>
  <pageSetup orientation="portrait" r:id="rId5"/>
  <drawing r:id="rId6"/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DX123"/>
  <sheetViews>
    <sheetView showGridLines="0" workbookViewId="0"/>
  </sheetViews>
  <sheetFormatPr defaultRowHeight="15" x14ac:dyDescent="0.25"/>
  <cols>
    <col min="1" max="1" width="11" bestFit="1" customWidth="1"/>
    <col min="3" max="3" width="33.28515625" customWidth="1"/>
    <col min="4" max="4" width="11.42578125" customWidth="1"/>
    <col min="5" max="5" width="11.85546875" bestFit="1" customWidth="1"/>
    <col min="6" max="6" width="10" bestFit="1" customWidth="1"/>
    <col min="7" max="7" width="17.85546875" bestFit="1" customWidth="1"/>
    <col min="8" max="8" width="25.5703125" customWidth="1"/>
    <col min="9" max="9" width="22.28515625" customWidth="1"/>
    <col min="10" max="10" width="18.28515625" bestFit="1" customWidth="1"/>
    <col min="11" max="11" width="19.28515625" bestFit="1" customWidth="1"/>
    <col min="12" max="12" width="21.85546875" bestFit="1" customWidth="1"/>
    <col min="13" max="13" width="21.42578125" bestFit="1" customWidth="1"/>
    <col min="14" max="14" width="21.5703125" bestFit="1" customWidth="1"/>
    <col min="15" max="15" width="21" bestFit="1" customWidth="1"/>
    <col min="16" max="16" width="28.140625" bestFit="1" customWidth="1"/>
    <col min="17" max="17" width="27.28515625" bestFit="1" customWidth="1"/>
    <col min="18" max="18" width="11.140625" bestFit="1" customWidth="1"/>
    <col min="19" max="19" width="12.5703125" bestFit="1" customWidth="1"/>
    <col min="20" max="20" width="18.42578125" bestFit="1" customWidth="1"/>
    <col min="21" max="21" width="17.5703125" customWidth="1"/>
    <col min="22" max="22" width="26.7109375" bestFit="1" customWidth="1"/>
    <col min="23" max="23" width="27.140625" bestFit="1" customWidth="1"/>
    <col min="24" max="24" width="13.7109375" bestFit="1" customWidth="1"/>
    <col min="25" max="25" width="10.7109375" bestFit="1" customWidth="1"/>
    <col min="26" max="26" width="10" bestFit="1" customWidth="1"/>
    <col min="27" max="27" width="12" bestFit="1" customWidth="1"/>
    <col min="28" max="28" width="24.85546875" bestFit="1" customWidth="1"/>
    <col min="29" max="29" width="27.42578125" bestFit="1" customWidth="1"/>
    <col min="30" max="30" width="25.85546875" bestFit="1" customWidth="1"/>
    <col min="31" max="31" width="18.42578125" bestFit="1" customWidth="1"/>
    <col min="32" max="32" width="25.140625" bestFit="1" customWidth="1"/>
    <col min="33" max="33" width="32.28515625" bestFit="1" customWidth="1"/>
    <col min="34" max="34" width="18" bestFit="1" customWidth="1"/>
    <col min="35" max="35" width="24.7109375" bestFit="1" customWidth="1"/>
    <col min="36" max="36" width="31.85546875" bestFit="1" customWidth="1"/>
    <col min="37" max="37" width="19.85546875" bestFit="1" customWidth="1"/>
    <col min="38" max="38" width="23.7109375" bestFit="1" customWidth="1"/>
    <col min="39" max="39" width="30.5703125" bestFit="1" customWidth="1"/>
    <col min="40" max="40" width="37.5703125" bestFit="1" customWidth="1"/>
    <col min="41" max="41" width="4.42578125" bestFit="1" customWidth="1"/>
    <col min="42" max="42" width="8" bestFit="1" customWidth="1"/>
    <col min="43" max="43" width="4.42578125" bestFit="1" customWidth="1"/>
    <col min="44" max="44" width="8" bestFit="1" customWidth="1"/>
    <col min="45" max="45" width="22.28515625" bestFit="1" customWidth="1"/>
    <col min="46" max="51" width="9.85546875" customWidth="1"/>
    <col min="52" max="52" width="18.28515625" bestFit="1" customWidth="1"/>
    <col min="53" max="53" width="13.140625" bestFit="1" customWidth="1"/>
    <col min="54" max="54" width="21.7109375" bestFit="1" customWidth="1"/>
    <col min="55" max="56" width="9.85546875" customWidth="1"/>
    <col min="57" max="58" width="8.7109375" customWidth="1"/>
    <col min="59" max="128" width="10.7109375" customWidth="1"/>
  </cols>
  <sheetData>
    <row r="1" spans="1:122" x14ac:dyDescent="0.25">
      <c r="A1" s="29" t="s">
        <v>214</v>
      </c>
      <c r="B1" s="35"/>
      <c r="C1" s="35"/>
    </row>
    <row r="2" spans="1:122" x14ac:dyDescent="0.25">
      <c r="A2" s="29" t="s">
        <v>216</v>
      </c>
      <c r="B2" s="29"/>
      <c r="C2" s="29"/>
      <c r="D2" s="36" t="s">
        <v>189</v>
      </c>
      <c r="E2" s="36" t="s">
        <v>189</v>
      </c>
      <c r="J2" s="29" t="s">
        <v>193</v>
      </c>
      <c r="K2" s="29"/>
      <c r="L2" s="29"/>
      <c r="X2" t="s">
        <v>189</v>
      </c>
      <c r="AZ2" s="58" t="s">
        <v>190</v>
      </c>
      <c r="BA2" s="58"/>
      <c r="BB2" s="58"/>
      <c r="BG2" s="40" t="s">
        <v>188</v>
      </c>
      <c r="BH2" s="40"/>
      <c r="BI2" s="40"/>
      <c r="BJ2" s="40"/>
      <c r="BK2" s="40"/>
      <c r="BL2" s="40"/>
      <c r="BM2" s="40"/>
      <c r="BN2" s="40"/>
    </row>
    <row r="3" spans="1:122" x14ac:dyDescent="0.25">
      <c r="A3" s="15" t="s">
        <v>72</v>
      </c>
      <c r="B3" s="15" t="s">
        <v>73</v>
      </c>
      <c r="C3" s="15" t="s">
        <v>123</v>
      </c>
      <c r="D3" s="15" t="s">
        <v>104</v>
      </c>
      <c r="E3" s="15" t="s">
        <v>215</v>
      </c>
      <c r="F3" s="15" t="s">
        <v>124</v>
      </c>
      <c r="G3" s="15" t="s">
        <v>174</v>
      </c>
      <c r="H3" s="15" t="s">
        <v>125</v>
      </c>
      <c r="J3" s="15" t="s">
        <v>106</v>
      </c>
      <c r="K3" s="15" t="s">
        <v>126</v>
      </c>
      <c r="L3" s="15" t="s">
        <v>127</v>
      </c>
      <c r="M3" s="15" t="s">
        <v>128</v>
      </c>
      <c r="N3" s="15" t="s">
        <v>129</v>
      </c>
      <c r="O3" s="15" t="s">
        <v>130</v>
      </c>
      <c r="P3" s="15" t="s">
        <v>131</v>
      </c>
      <c r="Q3" s="15" t="s">
        <v>132</v>
      </c>
      <c r="R3" s="15" t="s">
        <v>133</v>
      </c>
      <c r="S3" s="15" t="s">
        <v>134</v>
      </c>
      <c r="T3" s="15" t="s">
        <v>135</v>
      </c>
      <c r="U3" s="15" t="s">
        <v>136</v>
      </c>
      <c r="V3" s="15" t="s">
        <v>137</v>
      </c>
      <c r="W3" s="15" t="s">
        <v>138</v>
      </c>
      <c r="X3" s="15" t="s">
        <v>139</v>
      </c>
      <c r="Y3" s="15" t="s">
        <v>140</v>
      </c>
      <c r="Z3" s="15" t="s">
        <v>141</v>
      </c>
      <c r="AA3" s="15" t="s">
        <v>142</v>
      </c>
      <c r="AB3" s="15" t="s">
        <v>143</v>
      </c>
      <c r="AC3" s="15" t="s">
        <v>144</v>
      </c>
      <c r="AD3" s="15" t="s">
        <v>145</v>
      </c>
      <c r="AE3" s="15" t="s">
        <v>146</v>
      </c>
      <c r="AF3" s="15" t="s">
        <v>147</v>
      </c>
      <c r="AG3" s="15" t="s">
        <v>148</v>
      </c>
      <c r="AH3" s="15" t="s">
        <v>149</v>
      </c>
      <c r="AI3" s="15" t="s">
        <v>150</v>
      </c>
      <c r="AJ3" s="15" t="s">
        <v>151</v>
      </c>
      <c r="AK3" s="15" t="s">
        <v>152</v>
      </c>
      <c r="AL3" s="15" t="s">
        <v>153</v>
      </c>
      <c r="AM3" s="15" t="s">
        <v>154</v>
      </c>
      <c r="AN3" s="15" t="s">
        <v>155</v>
      </c>
      <c r="AO3" s="15" t="s">
        <v>156</v>
      </c>
      <c r="AP3" s="15" t="s">
        <v>157</v>
      </c>
      <c r="AQ3" s="15" t="s">
        <v>158</v>
      </c>
      <c r="AR3" s="15" t="s">
        <v>159</v>
      </c>
      <c r="AZ3" s="15" t="s">
        <v>105</v>
      </c>
      <c r="BA3" s="15" t="s">
        <v>139</v>
      </c>
      <c r="BB3" s="15" t="s">
        <v>160</v>
      </c>
      <c r="BG3" t="s">
        <v>181</v>
      </c>
      <c r="BH3" t="s">
        <v>175</v>
      </c>
      <c r="BI3" t="s">
        <v>182</v>
      </c>
      <c r="BJ3" t="s">
        <v>161</v>
      </c>
      <c r="BK3" t="s">
        <v>162</v>
      </c>
      <c r="BL3" t="s">
        <v>164</v>
      </c>
      <c r="BM3" t="s">
        <v>163</v>
      </c>
      <c r="BN3" t="s">
        <v>137</v>
      </c>
      <c r="BO3" t="s">
        <v>141</v>
      </c>
      <c r="BP3" t="s">
        <v>138</v>
      </c>
      <c r="BQ3" t="s">
        <v>184</v>
      </c>
      <c r="BR3" t="s">
        <v>168</v>
      </c>
      <c r="BS3" t="s">
        <v>169</v>
      </c>
      <c r="BT3" t="s">
        <v>160</v>
      </c>
      <c r="BU3" t="s">
        <v>166</v>
      </c>
      <c r="BV3" t="s">
        <v>186</v>
      </c>
      <c r="BW3" t="s">
        <v>106</v>
      </c>
      <c r="BX3" t="s">
        <v>105</v>
      </c>
      <c r="BY3" t="s">
        <v>130</v>
      </c>
      <c r="BZ3" t="s">
        <v>126</v>
      </c>
      <c r="CA3" t="s">
        <v>127</v>
      </c>
      <c r="CB3" t="s">
        <v>128</v>
      </c>
      <c r="CC3" t="s">
        <v>129</v>
      </c>
      <c r="CD3" t="s">
        <v>180</v>
      </c>
      <c r="CE3" t="s">
        <v>178</v>
      </c>
      <c r="CF3" t="s">
        <v>131</v>
      </c>
      <c r="CG3" t="s">
        <v>183</v>
      </c>
      <c r="CH3" t="s">
        <v>132</v>
      </c>
      <c r="CI3" t="s">
        <v>158</v>
      </c>
      <c r="CJ3" t="s">
        <v>156</v>
      </c>
      <c r="CK3" t="s">
        <v>159</v>
      </c>
      <c r="CL3" t="s">
        <v>157</v>
      </c>
      <c r="CM3" t="s">
        <v>179</v>
      </c>
      <c r="CN3" t="s">
        <v>174</v>
      </c>
      <c r="CO3" t="s">
        <v>176</v>
      </c>
      <c r="CP3" t="s">
        <v>173</v>
      </c>
      <c r="CQ3" t="s">
        <v>144</v>
      </c>
      <c r="CR3" t="s">
        <v>145</v>
      </c>
      <c r="CS3" t="s">
        <v>150</v>
      </c>
      <c r="CT3" t="s">
        <v>151</v>
      </c>
      <c r="CU3" t="s">
        <v>152</v>
      </c>
      <c r="CV3" t="s">
        <v>147</v>
      </c>
      <c r="CW3" t="s">
        <v>148</v>
      </c>
      <c r="CX3" t="s">
        <v>149</v>
      </c>
      <c r="CY3" t="s">
        <v>146</v>
      </c>
      <c r="CZ3" t="s">
        <v>124</v>
      </c>
      <c r="DA3" t="s">
        <v>167</v>
      </c>
      <c r="DB3" t="s">
        <v>177</v>
      </c>
      <c r="DC3" t="s">
        <v>143</v>
      </c>
      <c r="DD3" t="s">
        <v>142</v>
      </c>
      <c r="DE3" t="s">
        <v>123</v>
      </c>
      <c r="DF3" t="s">
        <v>135</v>
      </c>
      <c r="DG3" t="s">
        <v>133</v>
      </c>
      <c r="DH3" t="s">
        <v>170</v>
      </c>
      <c r="DI3" t="s">
        <v>171</v>
      </c>
      <c r="DJ3" t="s">
        <v>172</v>
      </c>
      <c r="DK3" t="s">
        <v>153</v>
      </c>
      <c r="DL3" t="s">
        <v>154</v>
      </c>
      <c r="DM3" t="s">
        <v>155</v>
      </c>
      <c r="DN3" t="s">
        <v>136</v>
      </c>
      <c r="DO3" t="s">
        <v>140</v>
      </c>
      <c r="DP3" t="s">
        <v>134</v>
      </c>
      <c r="DQ3" t="s">
        <v>185</v>
      </c>
      <c r="DR3" t="s">
        <v>165</v>
      </c>
    </row>
    <row r="4" spans="1:122" x14ac:dyDescent="0.25">
      <c r="A4">
        <v>1</v>
      </c>
      <c r="B4" s="21" t="s">
        <v>230</v>
      </c>
      <c r="C4" t="str">
        <f t="shared" ref="C4:C35" ca="1" si="0">IFERROR(HLOOKUP(C$3, OFFSET(JSONstart,2*$A4-2,0,2,75), 2,FALSE),   "")</f>
        <v>BHP BLT FPO</v>
      </c>
      <c r="D4" s="17">
        <f ca="1">IFERROR(IF(ISBLANK(AZ4),  "",   (AZ4+IFERROR($BB4/1000, -14400))/86400+DATE(1970,1,1)    ),  "")</f>
        <v>43214.674166666664</v>
      </c>
      <c r="E4">
        <f ca="1">IFERROR(IF(ISBLANK($J4),  "",  $J4),  "")</f>
        <v>31.27</v>
      </c>
      <c r="F4" t="str">
        <f t="shared" ref="F4:H23" ca="1" si="1">IFERROR(HLOOKUP(F$3, OFFSET(JSONstart,2*$A4-2,0,2,75), 2,FALSE),  "")</f>
        <v>ASX</v>
      </c>
      <c r="G4" t="str">
        <f ca="1">IFERROR(HLOOKUP(G$3, OFFSET(JSONstart,2*$A4-2,0,2,75), 2,FALSE),  "")</f>
        <v>ASX</v>
      </c>
      <c r="H4" t="str">
        <f t="shared" ca="1" si="1"/>
        <v/>
      </c>
      <c r="J4">
        <f t="shared" ref="J4:W13" ca="1" si="2">IFERROR(HLOOKUP(J$3, OFFSET(JSONstart,2*$A4-2,0,2,75), 2,FALSE),  "")</f>
        <v>31.27</v>
      </c>
      <c r="K4">
        <f t="shared" ca="1" si="2"/>
        <v>31.05</v>
      </c>
      <c r="L4">
        <f t="shared" ca="1" si="2"/>
        <v>31.27</v>
      </c>
      <c r="M4">
        <f t="shared" ca="1" si="2"/>
        <v>30.87</v>
      </c>
      <c r="N4">
        <f t="shared" ca="1" si="2"/>
        <v>6480604</v>
      </c>
      <c r="O4">
        <f t="shared" ca="1" si="2"/>
        <v>4.0000915999999997E-2</v>
      </c>
      <c r="P4">
        <f t="shared" ca="1" si="2"/>
        <v>0.12808491</v>
      </c>
      <c r="Q4">
        <f t="shared" ca="1" si="2"/>
        <v>31.23</v>
      </c>
      <c r="R4">
        <f t="shared" ca="1" si="2"/>
        <v>10.704000000000001</v>
      </c>
      <c r="S4">
        <f t="shared" ca="1" si="2"/>
        <v>2.9213377999999999</v>
      </c>
      <c r="T4">
        <f t="shared" ca="1" si="2"/>
        <v>3211620096</v>
      </c>
      <c r="U4" s="32">
        <f t="shared" ca="1" si="2"/>
        <v>166469599232</v>
      </c>
      <c r="V4">
        <f t="shared" ca="1" si="2"/>
        <v>0.98</v>
      </c>
      <c r="W4">
        <f t="shared" ca="1" si="2"/>
        <v>3.1380083000000003E-2</v>
      </c>
      <c r="X4" s="17" t="str">
        <f ca="1">IFERROR(IF(ISBLANK(BA4), "",     BA4/86400+DATE(1970,1,1)    ),  "")</f>
        <v/>
      </c>
      <c r="Y4">
        <f t="shared" ref="Y4:AH13" ca="1" si="3">IFERROR(HLOOKUP(Y$3, OFFSET(JSONstart,2*$A4-2,0,2,75), 2,FALSE),   "")</f>
        <v>21.128378000000001</v>
      </c>
      <c r="Z4">
        <f t="shared" ca="1" si="3"/>
        <v>35.493760000000002</v>
      </c>
      <c r="AA4">
        <f t="shared" ca="1" si="3"/>
        <v>1.48</v>
      </c>
      <c r="AB4">
        <f t="shared" ca="1" si="3"/>
        <v>0.88100000000000001</v>
      </c>
      <c r="AC4">
        <f t="shared" ca="1" si="3"/>
        <v>7275949</v>
      </c>
      <c r="AD4">
        <f t="shared" ca="1" si="3"/>
        <v>6093336</v>
      </c>
      <c r="AE4">
        <f t="shared" ca="1" si="3"/>
        <v>32.159999999999997</v>
      </c>
      <c r="AF4">
        <f t="shared" ca="1" si="3"/>
        <v>-0.8899994</v>
      </c>
      <c r="AG4">
        <f t="shared" ca="1" si="3"/>
        <v>-2.7674109999999998E-2</v>
      </c>
      <c r="AH4">
        <f t="shared" ca="1" si="3"/>
        <v>22.06</v>
      </c>
      <c r="AI4">
        <f t="shared" ref="AI4:AR13" ca="1" si="4">IFERROR(HLOOKUP(AI$3, OFFSET(JSONstart,2*$A4-2,0,2,75), 2,FALSE),   "")</f>
        <v>9.2100010000000001</v>
      </c>
      <c r="AJ4">
        <f t="shared" ca="1" si="4"/>
        <v>0.41749777999999999</v>
      </c>
      <c r="AK4" t="str">
        <f t="shared" ca="1" si="4"/>
        <v>22.06 - 32.16</v>
      </c>
      <c r="AL4">
        <f t="shared" ca="1" si="4"/>
        <v>28.944365999999999</v>
      </c>
      <c r="AM4">
        <f t="shared" ca="1" si="4"/>
        <v>2.325634</v>
      </c>
      <c r="AN4">
        <f t="shared" ca="1" si="4"/>
        <v>8.0348420000000004E-2</v>
      </c>
      <c r="AO4">
        <f t="shared" ca="1" si="4"/>
        <v>0</v>
      </c>
      <c r="AP4">
        <f t="shared" ca="1" si="4"/>
        <v>0</v>
      </c>
      <c r="AQ4">
        <f t="shared" ca="1" si="4"/>
        <v>0</v>
      </c>
      <c r="AR4">
        <f t="shared" ca="1" si="4"/>
        <v>0</v>
      </c>
      <c r="AZ4">
        <f t="shared" ref="AZ4:BB23" ca="1" si="5">IFERROR(HLOOKUP(AZ$3, OFFSET(JSONstart,2*$A4-2,0,2,70), 2,FALSE),  "")</f>
        <v>1524550248</v>
      </c>
      <c r="BA4" t="str">
        <f t="shared" ca="1" si="5"/>
        <v/>
      </c>
      <c r="BB4">
        <f t="shared" ca="1" si="5"/>
        <v>36000000</v>
      </c>
      <c r="BG4" t="s">
        <v>187</v>
      </c>
      <c r="BH4" t="s">
        <v>114</v>
      </c>
      <c r="BI4" t="s">
        <v>118</v>
      </c>
      <c r="BJ4" t="s">
        <v>236</v>
      </c>
      <c r="BK4">
        <v>1519087500</v>
      </c>
      <c r="BL4">
        <v>1518999300</v>
      </c>
      <c r="BM4">
        <v>1519362900</v>
      </c>
      <c r="BN4">
        <v>0.98</v>
      </c>
      <c r="BO4">
        <v>35.493760000000002</v>
      </c>
      <c r="BP4">
        <v>3.1380083000000003E-2</v>
      </c>
      <c r="BQ4">
        <v>20</v>
      </c>
      <c r="BR4" t="s">
        <v>242</v>
      </c>
      <c r="BS4" t="s">
        <v>243</v>
      </c>
      <c r="BT4">
        <v>36000000</v>
      </c>
      <c r="BU4" t="b">
        <v>0</v>
      </c>
      <c r="BV4" t="b">
        <v>0</v>
      </c>
      <c r="BW4">
        <v>31.27</v>
      </c>
      <c r="BX4">
        <v>1524550248</v>
      </c>
      <c r="BY4">
        <v>4.0000915999999997E-2</v>
      </c>
      <c r="BZ4">
        <v>31.05</v>
      </c>
      <c r="CA4">
        <v>31.27</v>
      </c>
      <c r="CB4">
        <v>30.87</v>
      </c>
      <c r="CC4">
        <v>6480604</v>
      </c>
      <c r="CD4">
        <v>2</v>
      </c>
      <c r="CE4" t="s">
        <v>270</v>
      </c>
      <c r="CF4">
        <v>0.12808491</v>
      </c>
      <c r="CG4" t="s">
        <v>237</v>
      </c>
      <c r="CH4">
        <v>31.23</v>
      </c>
      <c r="CI4">
        <v>0</v>
      </c>
      <c r="CJ4">
        <v>0</v>
      </c>
      <c r="CK4">
        <v>0</v>
      </c>
      <c r="CL4">
        <v>0</v>
      </c>
      <c r="CM4" t="s">
        <v>238</v>
      </c>
      <c r="CN4" t="s">
        <v>239</v>
      </c>
      <c r="CO4" t="s">
        <v>240</v>
      </c>
      <c r="CP4" t="s">
        <v>107</v>
      </c>
      <c r="CQ4">
        <v>7275949</v>
      </c>
      <c r="CR4">
        <v>6093336</v>
      </c>
      <c r="CS4">
        <v>9.2100010000000001</v>
      </c>
      <c r="CT4">
        <v>0.41749777999999999</v>
      </c>
      <c r="CU4" t="s">
        <v>241</v>
      </c>
      <c r="CV4">
        <v>-0.8899994</v>
      </c>
      <c r="CW4">
        <v>-2.7674109999999998E-2</v>
      </c>
      <c r="CX4">
        <v>22.06</v>
      </c>
      <c r="CY4">
        <v>32.159999999999997</v>
      </c>
      <c r="CZ4" t="s">
        <v>239</v>
      </c>
      <c r="DA4">
        <v>0</v>
      </c>
      <c r="DB4" t="s">
        <v>244</v>
      </c>
      <c r="DC4">
        <v>0.88100000000000001</v>
      </c>
      <c r="DD4">
        <v>1.48</v>
      </c>
      <c r="DE4" t="s">
        <v>245</v>
      </c>
      <c r="DF4">
        <v>3211620096</v>
      </c>
      <c r="DG4">
        <v>10.704000000000001</v>
      </c>
      <c r="DH4">
        <v>29.218889999999998</v>
      </c>
      <c r="DI4">
        <v>2.0511111999999998</v>
      </c>
      <c r="DJ4">
        <v>7.0198126E-2</v>
      </c>
      <c r="DK4">
        <v>28.944365999999999</v>
      </c>
      <c r="DL4">
        <v>2.325634</v>
      </c>
      <c r="DM4">
        <v>8.0348420000000004E-2</v>
      </c>
      <c r="DN4">
        <v>166469599232</v>
      </c>
      <c r="DO4">
        <v>21.128378000000001</v>
      </c>
      <c r="DP4">
        <v>2.9213377999999999</v>
      </c>
      <c r="DQ4" t="s">
        <v>246</v>
      </c>
      <c r="DR4" t="s">
        <v>108</v>
      </c>
    </row>
    <row r="5" spans="1:122" x14ac:dyDescent="0.25">
      <c r="A5">
        <v>2</v>
      </c>
      <c r="B5" s="21" t="s">
        <v>231</v>
      </c>
      <c r="C5" t="str">
        <f t="shared" ca="1" si="0"/>
        <v>CSL FPO</v>
      </c>
      <c r="D5" s="17">
        <f t="shared" ref="D5:D68" ca="1" si="6">IFERROR(IF(ISBLANK(AZ5),  "",   (AZ5+IFERROR($BB5/1000, -14400))/86400+DATE(1970,1,1)    ),  "")</f>
        <v>43214.674224537041</v>
      </c>
      <c r="E5">
        <f t="shared" ref="E5:E68" ca="1" si="7">IFERROR(IF(ISBLANK($J5),  "",  $J5),  "")</f>
        <v>161.75</v>
      </c>
      <c r="F5" t="str">
        <f t="shared" ca="1" si="1"/>
        <v>ASX</v>
      </c>
      <c r="G5" t="str">
        <f t="shared" ca="1" si="1"/>
        <v>ASX</v>
      </c>
      <c r="H5" t="str">
        <f t="shared" ca="1" si="1"/>
        <v/>
      </c>
      <c r="J5">
        <f t="shared" ca="1" si="2"/>
        <v>161.75</v>
      </c>
      <c r="K5">
        <f t="shared" ca="1" si="2"/>
        <v>161.13</v>
      </c>
      <c r="L5">
        <f t="shared" ca="1" si="2"/>
        <v>161.99</v>
      </c>
      <c r="M5">
        <f t="shared" ca="1" si="2"/>
        <v>161.04</v>
      </c>
      <c r="N5">
        <f t="shared" ca="1" si="2"/>
        <v>951161</v>
      </c>
      <c r="O5">
        <f t="shared" ca="1" si="2"/>
        <v>2.2100067000000001</v>
      </c>
      <c r="P5">
        <f t="shared" ca="1" si="2"/>
        <v>1.3852369</v>
      </c>
      <c r="Q5">
        <f t="shared" ca="1" si="2"/>
        <v>159.54</v>
      </c>
      <c r="R5">
        <f t="shared" ca="1" si="2"/>
        <v>8.4969999999999999</v>
      </c>
      <c r="S5">
        <f t="shared" ca="1" si="2"/>
        <v>19.03613</v>
      </c>
      <c r="T5">
        <f t="shared" ca="1" si="2"/>
        <v>452590016</v>
      </c>
      <c r="U5" s="32">
        <f t="shared" ca="1" si="2"/>
        <v>73206431744</v>
      </c>
      <c r="V5">
        <f t="shared" ca="1" si="2"/>
        <v>1.51</v>
      </c>
      <c r="W5">
        <f t="shared" ca="1" si="2"/>
        <v>9.4647110000000007E-3</v>
      </c>
      <c r="X5" s="17" t="str">
        <f t="shared" ref="X5:X68" ca="1" si="8">IFERROR(IF(ISBLANK(BA5), "",     BA5/86400+DATE(1970,1,1)    ),  "")</f>
        <v/>
      </c>
      <c r="Y5">
        <f t="shared" ca="1" si="3"/>
        <v>38.788967</v>
      </c>
      <c r="Z5">
        <f t="shared" ca="1" si="3"/>
        <v>45.473712999999996</v>
      </c>
      <c r="AA5">
        <f t="shared" ca="1" si="3"/>
        <v>4.17</v>
      </c>
      <c r="AB5">
        <f t="shared" ca="1" si="3"/>
        <v>3.5569999999999999</v>
      </c>
      <c r="AC5">
        <f t="shared" ca="1" si="3"/>
        <v>844073</v>
      </c>
      <c r="AD5">
        <f t="shared" ca="1" si="3"/>
        <v>767584</v>
      </c>
      <c r="AE5">
        <f t="shared" ca="1" si="3"/>
        <v>167.66</v>
      </c>
      <c r="AF5">
        <f t="shared" ca="1" si="3"/>
        <v>-5.9100036999999999</v>
      </c>
      <c r="AG5">
        <f t="shared" ca="1" si="3"/>
        <v>-3.5249929999999999E-2</v>
      </c>
      <c r="AH5">
        <f t="shared" ca="1" si="3"/>
        <v>119.01</v>
      </c>
      <c r="AI5">
        <f t="shared" ca="1" si="4"/>
        <v>42.739998</v>
      </c>
      <c r="AJ5">
        <f t="shared" ca="1" si="4"/>
        <v>0.35912946000000001</v>
      </c>
      <c r="AK5" t="str">
        <f t="shared" ca="1" si="4"/>
        <v>119.01 - 167.66</v>
      </c>
      <c r="AL5">
        <f t="shared" ca="1" si="4"/>
        <v>148.55563000000001</v>
      </c>
      <c r="AM5">
        <f t="shared" ca="1" si="4"/>
        <v>13.194366</v>
      </c>
      <c r="AN5">
        <f t="shared" ca="1" si="4"/>
        <v>8.8817679999999996E-2</v>
      </c>
      <c r="AO5">
        <f t="shared" ca="1" si="4"/>
        <v>0</v>
      </c>
      <c r="AP5">
        <f t="shared" ca="1" si="4"/>
        <v>0</v>
      </c>
      <c r="AQ5">
        <f t="shared" ca="1" si="4"/>
        <v>0</v>
      </c>
      <c r="AR5">
        <f t="shared" ca="1" si="4"/>
        <v>0</v>
      </c>
      <c r="AZ5">
        <f t="shared" ca="1" si="5"/>
        <v>1524550253</v>
      </c>
      <c r="BA5" t="str">
        <f t="shared" ca="1" si="5"/>
        <v/>
      </c>
      <c r="BB5">
        <f t="shared" ca="1" si="5"/>
        <v>36000000</v>
      </c>
      <c r="BG5" t="s">
        <v>181</v>
      </c>
      <c r="BH5" t="s">
        <v>175</v>
      </c>
      <c r="BI5" t="s">
        <v>182</v>
      </c>
      <c r="BJ5" t="s">
        <v>161</v>
      </c>
      <c r="BK5" t="s">
        <v>106</v>
      </c>
      <c r="BL5" t="s">
        <v>105</v>
      </c>
      <c r="BM5" t="s">
        <v>130</v>
      </c>
      <c r="BN5" t="s">
        <v>126</v>
      </c>
      <c r="BO5" t="s">
        <v>127</v>
      </c>
      <c r="BP5" t="s">
        <v>128</v>
      </c>
      <c r="BQ5" t="s">
        <v>129</v>
      </c>
      <c r="BR5" t="s">
        <v>135</v>
      </c>
      <c r="BS5" t="s">
        <v>133</v>
      </c>
      <c r="BT5" t="s">
        <v>170</v>
      </c>
      <c r="BU5" t="s">
        <v>171</v>
      </c>
      <c r="BV5" t="s">
        <v>184</v>
      </c>
      <c r="BW5" t="s">
        <v>168</v>
      </c>
      <c r="BX5" t="s">
        <v>169</v>
      </c>
      <c r="BY5" t="s">
        <v>160</v>
      </c>
      <c r="BZ5" t="s">
        <v>166</v>
      </c>
      <c r="CA5" t="s">
        <v>186</v>
      </c>
      <c r="CB5" t="s">
        <v>167</v>
      </c>
      <c r="CC5" t="s">
        <v>143</v>
      </c>
      <c r="CD5" t="s">
        <v>142</v>
      </c>
      <c r="CE5" t="s">
        <v>131</v>
      </c>
      <c r="CF5" t="s">
        <v>183</v>
      </c>
      <c r="CG5" t="s">
        <v>132</v>
      </c>
      <c r="CH5" t="s">
        <v>158</v>
      </c>
      <c r="CI5" t="s">
        <v>156</v>
      </c>
      <c r="CJ5" t="s">
        <v>159</v>
      </c>
      <c r="CK5" t="s">
        <v>157</v>
      </c>
      <c r="CL5" t="s">
        <v>179</v>
      </c>
      <c r="CM5" t="s">
        <v>174</v>
      </c>
      <c r="CN5" t="s">
        <v>176</v>
      </c>
      <c r="CO5" t="s">
        <v>124</v>
      </c>
      <c r="CP5" t="s">
        <v>123</v>
      </c>
      <c r="CQ5" t="s">
        <v>173</v>
      </c>
      <c r="CR5" t="s">
        <v>144</v>
      </c>
      <c r="CS5" t="s">
        <v>145</v>
      </c>
      <c r="CT5" t="s">
        <v>150</v>
      </c>
      <c r="CU5" t="s">
        <v>151</v>
      </c>
      <c r="CV5" t="s">
        <v>152</v>
      </c>
      <c r="CW5" t="s">
        <v>147</v>
      </c>
      <c r="CX5" t="s">
        <v>148</v>
      </c>
      <c r="CY5" t="s">
        <v>149</v>
      </c>
      <c r="CZ5" t="s">
        <v>146</v>
      </c>
      <c r="DA5" t="s">
        <v>162</v>
      </c>
      <c r="DB5" t="s">
        <v>164</v>
      </c>
      <c r="DC5" t="s">
        <v>163</v>
      </c>
      <c r="DD5" t="s">
        <v>137</v>
      </c>
      <c r="DE5" t="s">
        <v>141</v>
      </c>
      <c r="DF5" t="s">
        <v>138</v>
      </c>
      <c r="DG5" t="s">
        <v>172</v>
      </c>
      <c r="DH5" t="s">
        <v>153</v>
      </c>
      <c r="DI5" t="s">
        <v>154</v>
      </c>
      <c r="DJ5" t="s">
        <v>155</v>
      </c>
      <c r="DK5" t="s">
        <v>136</v>
      </c>
      <c r="DL5" t="s">
        <v>140</v>
      </c>
      <c r="DM5" t="s">
        <v>134</v>
      </c>
      <c r="DN5" t="s">
        <v>178</v>
      </c>
      <c r="DO5" t="s">
        <v>177</v>
      </c>
      <c r="DP5" t="s">
        <v>180</v>
      </c>
      <c r="DQ5" t="s">
        <v>185</v>
      </c>
      <c r="DR5" t="s">
        <v>165</v>
      </c>
    </row>
    <row r="6" spans="1:122" x14ac:dyDescent="0.25">
      <c r="A6">
        <v>3</v>
      </c>
      <c r="B6" s="21"/>
      <c r="C6" t="str">
        <f t="shared" ca="1" si="0"/>
        <v/>
      </c>
      <c r="D6" s="17" t="str">
        <f t="shared" ca="1" si="6"/>
        <v/>
      </c>
      <c r="E6" t="str">
        <f t="shared" ca="1" si="7"/>
        <v/>
      </c>
      <c r="F6" t="str">
        <f t="shared" ca="1" si="1"/>
        <v/>
      </c>
      <c r="G6" t="str">
        <f t="shared" ca="1" si="1"/>
        <v/>
      </c>
      <c r="H6" t="str">
        <f t="shared" ca="1" si="1"/>
        <v/>
      </c>
      <c r="J6" t="str">
        <f t="shared" ca="1" si="2"/>
        <v/>
      </c>
      <c r="K6" t="str">
        <f t="shared" ca="1" si="2"/>
        <v/>
      </c>
      <c r="L6" t="str">
        <f t="shared" ca="1" si="2"/>
        <v/>
      </c>
      <c r="M6" t="str">
        <f t="shared" ca="1" si="2"/>
        <v/>
      </c>
      <c r="N6" t="str">
        <f t="shared" ca="1" si="2"/>
        <v/>
      </c>
      <c r="O6" t="str">
        <f t="shared" ca="1" si="2"/>
        <v/>
      </c>
      <c r="P6" t="str">
        <f t="shared" ca="1" si="2"/>
        <v/>
      </c>
      <c r="Q6" t="str">
        <f t="shared" ca="1" si="2"/>
        <v/>
      </c>
      <c r="R6" t="str">
        <f t="shared" ca="1" si="2"/>
        <v/>
      </c>
      <c r="S6" t="str">
        <f t="shared" ca="1" si="2"/>
        <v/>
      </c>
      <c r="T6" t="str">
        <f t="shared" ca="1" si="2"/>
        <v/>
      </c>
      <c r="U6" s="32" t="str">
        <f t="shared" ca="1" si="2"/>
        <v/>
      </c>
      <c r="V6" t="str">
        <f t="shared" ca="1" si="2"/>
        <v/>
      </c>
      <c r="W6" t="str">
        <f t="shared" ca="1" si="2"/>
        <v/>
      </c>
      <c r="X6" s="17" t="str">
        <f t="shared" ca="1" si="8"/>
        <v/>
      </c>
      <c r="Y6" t="str">
        <f t="shared" ca="1" si="3"/>
        <v/>
      </c>
      <c r="Z6" t="str">
        <f t="shared" ca="1" si="3"/>
        <v/>
      </c>
      <c r="AA6" t="str">
        <f t="shared" ca="1" si="3"/>
        <v/>
      </c>
      <c r="AB6" t="str">
        <f t="shared" ca="1" si="3"/>
        <v/>
      </c>
      <c r="AC6" t="str">
        <f t="shared" ca="1" si="3"/>
        <v/>
      </c>
      <c r="AD6" t="str">
        <f t="shared" ca="1" si="3"/>
        <v/>
      </c>
      <c r="AE6" t="str">
        <f t="shared" ca="1" si="3"/>
        <v/>
      </c>
      <c r="AF6" t="str">
        <f t="shared" ca="1" si="3"/>
        <v/>
      </c>
      <c r="AG6" t="str">
        <f t="shared" ca="1" si="3"/>
        <v/>
      </c>
      <c r="AH6" t="str">
        <f t="shared" ca="1" si="3"/>
        <v/>
      </c>
      <c r="AI6" t="str">
        <f t="shared" ca="1" si="4"/>
        <v/>
      </c>
      <c r="AJ6" t="str">
        <f t="shared" ca="1" si="4"/>
        <v/>
      </c>
      <c r="AK6" t="str">
        <f t="shared" ca="1" si="4"/>
        <v/>
      </c>
      <c r="AL6" t="str">
        <f t="shared" ca="1" si="4"/>
        <v/>
      </c>
      <c r="AM6" t="str">
        <f t="shared" ca="1" si="4"/>
        <v/>
      </c>
      <c r="AN6" t="str">
        <f t="shared" ca="1" si="4"/>
        <v/>
      </c>
      <c r="AO6" t="str">
        <f t="shared" ca="1" si="4"/>
        <v/>
      </c>
      <c r="AP6" t="str">
        <f t="shared" ca="1" si="4"/>
        <v/>
      </c>
      <c r="AQ6" t="str">
        <f t="shared" ca="1" si="4"/>
        <v/>
      </c>
      <c r="AR6" t="str">
        <f t="shared" ca="1" si="4"/>
        <v/>
      </c>
      <c r="AZ6" t="str">
        <f t="shared" ca="1" si="5"/>
        <v/>
      </c>
      <c r="BA6" t="str">
        <f t="shared" ca="1" si="5"/>
        <v/>
      </c>
      <c r="BB6" t="str">
        <f t="shared" ca="1" si="5"/>
        <v/>
      </c>
      <c r="BG6" t="s">
        <v>187</v>
      </c>
      <c r="BH6" t="s">
        <v>114</v>
      </c>
      <c r="BI6" t="s">
        <v>118</v>
      </c>
      <c r="BJ6" t="s">
        <v>236</v>
      </c>
      <c r="BK6">
        <v>161.75</v>
      </c>
      <c r="BL6">
        <v>1524550253</v>
      </c>
      <c r="BM6">
        <v>2.2100067000000001</v>
      </c>
      <c r="BN6">
        <v>161.13</v>
      </c>
      <c r="BO6">
        <v>161.99</v>
      </c>
      <c r="BP6">
        <v>161.04</v>
      </c>
      <c r="BQ6">
        <v>951161</v>
      </c>
      <c r="BR6">
        <v>452590016</v>
      </c>
      <c r="BS6">
        <v>8.4969999999999999</v>
      </c>
      <c r="BT6">
        <v>160.6489</v>
      </c>
      <c r="BU6">
        <v>1.1011047</v>
      </c>
      <c r="BV6">
        <v>20</v>
      </c>
      <c r="BW6" t="s">
        <v>242</v>
      </c>
      <c r="BX6" t="s">
        <v>243</v>
      </c>
      <c r="BY6">
        <v>36000000</v>
      </c>
      <c r="BZ6" t="b">
        <v>0</v>
      </c>
      <c r="CA6" t="b">
        <v>0</v>
      </c>
      <c r="CB6">
        <v>0</v>
      </c>
      <c r="CC6">
        <v>3.5569999999999999</v>
      </c>
      <c r="CD6">
        <v>4.17</v>
      </c>
      <c r="CE6">
        <v>1.3852369</v>
      </c>
      <c r="CF6" t="s">
        <v>247</v>
      </c>
      <c r="CG6">
        <v>159.54</v>
      </c>
      <c r="CH6">
        <v>0</v>
      </c>
      <c r="CI6">
        <v>0</v>
      </c>
      <c r="CJ6">
        <v>0</v>
      </c>
      <c r="CK6">
        <v>0</v>
      </c>
      <c r="CL6" t="s">
        <v>249</v>
      </c>
      <c r="CM6" t="s">
        <v>239</v>
      </c>
      <c r="CN6" t="s">
        <v>251</v>
      </c>
      <c r="CO6" t="s">
        <v>239</v>
      </c>
      <c r="CP6" t="s">
        <v>248</v>
      </c>
      <c r="CQ6" t="s">
        <v>107</v>
      </c>
      <c r="CR6">
        <v>844073</v>
      </c>
      <c r="CS6">
        <v>767584</v>
      </c>
      <c r="CT6">
        <v>42.739998</v>
      </c>
      <c r="CU6">
        <v>0.35912946000000001</v>
      </c>
      <c r="CV6" t="s">
        <v>250</v>
      </c>
      <c r="CW6">
        <v>-5.9100036999999999</v>
      </c>
      <c r="CX6">
        <v>-3.5249929999999999E-2</v>
      </c>
      <c r="CY6">
        <v>119.01</v>
      </c>
      <c r="CZ6">
        <v>167.66</v>
      </c>
      <c r="DA6">
        <v>1518605940</v>
      </c>
      <c r="DB6">
        <v>1439305140</v>
      </c>
      <c r="DC6">
        <v>1439827200</v>
      </c>
      <c r="DD6">
        <v>1.51</v>
      </c>
      <c r="DE6">
        <v>45.473712999999996</v>
      </c>
      <c r="DF6">
        <v>9.4647110000000007E-3</v>
      </c>
      <c r="DG6">
        <v>6.8541069999999999E-3</v>
      </c>
      <c r="DH6">
        <v>148.55563000000001</v>
      </c>
      <c r="DI6">
        <v>13.194366</v>
      </c>
      <c r="DJ6">
        <v>8.8817679999999996E-2</v>
      </c>
      <c r="DK6">
        <v>73206431744</v>
      </c>
      <c r="DL6">
        <v>38.788967</v>
      </c>
      <c r="DM6">
        <v>19.03613</v>
      </c>
      <c r="DN6" t="s">
        <v>270</v>
      </c>
      <c r="DO6" t="s">
        <v>244</v>
      </c>
      <c r="DP6">
        <v>2</v>
      </c>
      <c r="DQ6" t="s">
        <v>252</v>
      </c>
      <c r="DR6" t="s">
        <v>108</v>
      </c>
    </row>
    <row r="7" spans="1:122" x14ac:dyDescent="0.25">
      <c r="A7">
        <v>4</v>
      </c>
      <c r="B7" s="21" t="s">
        <v>232</v>
      </c>
      <c r="C7" t="str">
        <f t="shared" ca="1" si="0"/>
        <v>S&amp;P/ASX 200</v>
      </c>
      <c r="D7" s="17">
        <f t="shared" ca="1" si="6"/>
        <v>43214.691724537042</v>
      </c>
      <c r="E7">
        <f t="shared" ca="1" si="7"/>
        <v>5921.6</v>
      </c>
      <c r="F7" t="str">
        <f t="shared" ca="1" si="1"/>
        <v>ASX</v>
      </c>
      <c r="G7" t="str">
        <f t="shared" ca="1" si="1"/>
        <v>ASX</v>
      </c>
      <c r="H7" t="str">
        <f t="shared" ca="1" si="1"/>
        <v/>
      </c>
      <c r="J7">
        <f t="shared" ca="1" si="2"/>
        <v>5921.6</v>
      </c>
      <c r="K7">
        <f t="shared" ca="1" si="2"/>
        <v>5886</v>
      </c>
      <c r="L7">
        <f t="shared" ca="1" si="2"/>
        <v>5928.8</v>
      </c>
      <c r="M7">
        <f t="shared" ca="1" si="2"/>
        <v>5879.6</v>
      </c>
      <c r="N7">
        <f t="shared" ca="1" si="2"/>
        <v>0</v>
      </c>
      <c r="O7">
        <f t="shared" ca="1" si="2"/>
        <v>35.600098000000003</v>
      </c>
      <c r="P7">
        <f t="shared" ca="1" si="2"/>
        <v>0.60482670000000005</v>
      </c>
      <c r="Q7">
        <f t="shared" ca="1" si="2"/>
        <v>5886</v>
      </c>
      <c r="R7" t="str">
        <f t="shared" ca="1" si="2"/>
        <v/>
      </c>
      <c r="S7" t="str">
        <f t="shared" ca="1" si="2"/>
        <v/>
      </c>
      <c r="T7" t="str">
        <f t="shared" ca="1" si="2"/>
        <v/>
      </c>
      <c r="U7" s="32" t="str">
        <f t="shared" ca="1" si="2"/>
        <v/>
      </c>
      <c r="V7" t="str">
        <f t="shared" ca="1" si="2"/>
        <v/>
      </c>
      <c r="W7" t="str">
        <f t="shared" ca="1" si="2"/>
        <v/>
      </c>
      <c r="X7" s="17" t="str">
        <f t="shared" ca="1" si="8"/>
        <v/>
      </c>
      <c r="Y7" t="str">
        <f t="shared" ca="1" si="3"/>
        <v/>
      </c>
      <c r="Z7" t="str">
        <f t="shared" ca="1" si="3"/>
        <v/>
      </c>
      <c r="AA7" t="str">
        <f t="shared" ca="1" si="3"/>
        <v/>
      </c>
      <c r="AB7" t="str">
        <f t="shared" ca="1" si="3"/>
        <v/>
      </c>
      <c r="AC7">
        <f t="shared" ca="1" si="3"/>
        <v>683148</v>
      </c>
      <c r="AD7">
        <f t="shared" ca="1" si="3"/>
        <v>0</v>
      </c>
      <c r="AE7">
        <f t="shared" ca="1" si="3"/>
        <v>6150</v>
      </c>
      <c r="AF7">
        <f t="shared" ca="1" si="3"/>
        <v>-228.3999</v>
      </c>
      <c r="AG7">
        <f t="shared" ca="1" si="3"/>
        <v>-3.7138193999999999E-2</v>
      </c>
      <c r="AH7">
        <f t="shared" ca="1" si="3"/>
        <v>5629.8</v>
      </c>
      <c r="AI7">
        <f t="shared" ca="1" si="4"/>
        <v>291.80029999999999</v>
      </c>
      <c r="AJ7">
        <f t="shared" ca="1" si="4"/>
        <v>5.1831380000000003E-2</v>
      </c>
      <c r="AK7" t="str">
        <f t="shared" ca="1" si="4"/>
        <v>5629.8 - 6150.0</v>
      </c>
      <c r="AL7">
        <f t="shared" ca="1" si="4"/>
        <v>5952.2049999999999</v>
      </c>
      <c r="AM7">
        <f t="shared" ca="1" si="4"/>
        <v>-30.604980000000001</v>
      </c>
      <c r="AN7">
        <f t="shared" ca="1" si="4"/>
        <v>-5.1417885999999998E-3</v>
      </c>
      <c r="AO7">
        <f t="shared" ca="1" si="4"/>
        <v>0</v>
      </c>
      <c r="AP7">
        <f t="shared" ca="1" si="4"/>
        <v>0</v>
      </c>
      <c r="AQ7">
        <f t="shared" ca="1" si="4"/>
        <v>0</v>
      </c>
      <c r="AR7">
        <f t="shared" ca="1" si="4"/>
        <v>0</v>
      </c>
      <c r="AZ7">
        <f t="shared" ca="1" si="5"/>
        <v>1524551765</v>
      </c>
      <c r="BA7" t="str">
        <f t="shared" ca="1" si="5"/>
        <v/>
      </c>
      <c r="BB7">
        <f t="shared" ca="1" si="5"/>
        <v>36000000</v>
      </c>
    </row>
    <row r="8" spans="1:122" x14ac:dyDescent="0.25">
      <c r="A8">
        <v>5</v>
      </c>
      <c r="B8" s="21" t="s">
        <v>233</v>
      </c>
      <c r="C8" t="str">
        <f t="shared" ca="1" si="0"/>
        <v>CBOE Interest Rate 10 Year T No</v>
      </c>
      <c r="D8" s="17">
        <f t="shared" ca="1" si="6"/>
        <v>43215.624965277777</v>
      </c>
      <c r="E8">
        <f t="shared" ca="1" si="7"/>
        <v>3.024</v>
      </c>
      <c r="F8" t="str">
        <f t="shared" ca="1" si="1"/>
        <v>WCB</v>
      </c>
      <c r="G8" t="str">
        <f t="shared" ca="1" si="1"/>
        <v>Chicago Options</v>
      </c>
      <c r="H8" t="str">
        <f t="shared" ca="1" si="1"/>
        <v/>
      </c>
      <c r="J8">
        <f t="shared" ca="1" si="2"/>
        <v>3.024</v>
      </c>
      <c r="K8">
        <f t="shared" ca="1" si="2"/>
        <v>3.032</v>
      </c>
      <c r="L8">
        <f t="shared" ca="1" si="2"/>
        <v>3.0350000000000001</v>
      </c>
      <c r="M8">
        <f t="shared" ca="1" si="2"/>
        <v>3.0070000000000001</v>
      </c>
      <c r="N8">
        <f t="shared" ca="1" si="2"/>
        <v>0</v>
      </c>
      <c r="O8">
        <f t="shared" ca="1" si="2"/>
        <v>4.0999889999999997E-2</v>
      </c>
      <c r="P8">
        <f t="shared" ca="1" si="2"/>
        <v>1.3744514999999999</v>
      </c>
      <c r="Q8">
        <f t="shared" ca="1" si="2"/>
        <v>2.9830000000000001</v>
      </c>
      <c r="R8" t="str">
        <f t="shared" ca="1" si="2"/>
        <v/>
      </c>
      <c r="S8" t="str">
        <f t="shared" ca="1" si="2"/>
        <v/>
      </c>
      <c r="T8" t="str">
        <f t="shared" ca="1" si="2"/>
        <v/>
      </c>
      <c r="U8" s="32" t="str">
        <f t="shared" ca="1" si="2"/>
        <v/>
      </c>
      <c r="V8" t="str">
        <f t="shared" ca="1" si="2"/>
        <v/>
      </c>
      <c r="W8" t="str">
        <f t="shared" ca="1" si="2"/>
        <v/>
      </c>
      <c r="X8" s="17" t="str">
        <f t="shared" ca="1" si="8"/>
        <v/>
      </c>
      <c r="Y8" t="str">
        <f t="shared" ca="1" si="3"/>
        <v/>
      </c>
      <c r="Z8" t="str">
        <f t="shared" ca="1" si="3"/>
        <v/>
      </c>
      <c r="AA8" t="str">
        <f t="shared" ca="1" si="3"/>
        <v/>
      </c>
      <c r="AB8" t="str">
        <f t="shared" ca="1" si="3"/>
        <v/>
      </c>
      <c r="AC8">
        <f t="shared" ca="1" si="3"/>
        <v>0</v>
      </c>
      <c r="AD8">
        <f t="shared" ca="1" si="3"/>
        <v>0</v>
      </c>
      <c r="AE8">
        <f t="shared" ca="1" si="3"/>
        <v>3.0350000000000001</v>
      </c>
      <c r="AF8">
        <f t="shared" ca="1" si="3"/>
        <v>-1.1000156000000001E-2</v>
      </c>
      <c r="AG8">
        <f t="shared" ca="1" si="3"/>
        <v>-3.6244337000000001E-3</v>
      </c>
      <c r="AH8">
        <f t="shared" ca="1" si="3"/>
        <v>2.0339999999999998</v>
      </c>
      <c r="AI8">
        <f t="shared" ca="1" si="4"/>
        <v>0.99</v>
      </c>
      <c r="AJ8">
        <f t="shared" ca="1" si="4"/>
        <v>0.48672569999999998</v>
      </c>
      <c r="AK8" t="str">
        <f t="shared" ca="1" si="4"/>
        <v>2.034 - 3.035</v>
      </c>
      <c r="AL8">
        <f t="shared" ca="1" si="4"/>
        <v>2.604625</v>
      </c>
      <c r="AM8">
        <f t="shared" ca="1" si="4"/>
        <v>0.41937493999999997</v>
      </c>
      <c r="AN8">
        <f t="shared" ca="1" si="4"/>
        <v>0.16101164000000001</v>
      </c>
      <c r="AO8">
        <f t="shared" ca="1" si="4"/>
        <v>0</v>
      </c>
      <c r="AP8">
        <f t="shared" ca="1" si="4"/>
        <v>0</v>
      </c>
      <c r="AQ8">
        <f t="shared" ca="1" si="4"/>
        <v>0</v>
      </c>
      <c r="AR8">
        <f t="shared" ca="1" si="4"/>
        <v>0</v>
      </c>
      <c r="AZ8">
        <f t="shared" ca="1" si="5"/>
        <v>1524682797</v>
      </c>
      <c r="BA8" t="str">
        <f t="shared" ca="1" si="5"/>
        <v/>
      </c>
      <c r="BB8">
        <f t="shared" ca="1" si="5"/>
        <v>-14400000</v>
      </c>
    </row>
    <row r="9" spans="1:122" x14ac:dyDescent="0.25">
      <c r="A9">
        <v>6</v>
      </c>
      <c r="B9" s="21" t="s">
        <v>234</v>
      </c>
      <c r="C9" t="str">
        <f t="shared" ca="1" si="0"/>
        <v>S&amp;P 500</v>
      </c>
      <c r="D9" s="17">
        <f t="shared" ca="1" si="6"/>
        <v>43215.653703703705</v>
      </c>
      <c r="E9">
        <f t="shared" ca="1" si="7"/>
        <v>2636.21</v>
      </c>
      <c r="F9" t="str">
        <f t="shared" ca="1" si="1"/>
        <v>SNP</v>
      </c>
      <c r="G9" t="str">
        <f t="shared" ca="1" si="1"/>
        <v>SNP</v>
      </c>
      <c r="H9" t="str">
        <f t="shared" ca="1" si="1"/>
        <v>Free Realtime Quote</v>
      </c>
      <c r="J9">
        <f t="shared" ca="1" si="2"/>
        <v>2636.21</v>
      </c>
      <c r="K9">
        <f t="shared" ca="1" si="2"/>
        <v>2634.92</v>
      </c>
      <c r="L9">
        <f t="shared" ca="1" si="2"/>
        <v>2645.3</v>
      </c>
      <c r="M9">
        <f t="shared" ca="1" si="2"/>
        <v>2612.67</v>
      </c>
      <c r="N9">
        <f t="shared" ca="1" si="2"/>
        <v>1723964524</v>
      </c>
      <c r="O9">
        <f t="shared" ca="1" si="2"/>
        <v>1.6499022999999999</v>
      </c>
      <c r="P9">
        <f t="shared" ca="1" si="2"/>
        <v>6.2625340000000002E-2</v>
      </c>
      <c r="Q9">
        <f t="shared" ca="1" si="2"/>
        <v>2634.56</v>
      </c>
      <c r="R9" t="str">
        <f t="shared" ca="1" si="2"/>
        <v/>
      </c>
      <c r="S9" t="str">
        <f t="shared" ca="1" si="2"/>
        <v/>
      </c>
      <c r="T9" t="str">
        <f t="shared" ca="1" si="2"/>
        <v/>
      </c>
      <c r="U9" s="32" t="str">
        <f t="shared" ca="1" si="2"/>
        <v/>
      </c>
      <c r="V9" t="str">
        <f t="shared" ca="1" si="2"/>
        <v/>
      </c>
      <c r="W9" t="str">
        <f t="shared" ca="1" si="2"/>
        <v/>
      </c>
      <c r="X9" s="17" t="str">
        <f t="shared" ca="1" si="8"/>
        <v/>
      </c>
      <c r="Y9" t="str">
        <f t="shared" ca="1" si="3"/>
        <v/>
      </c>
      <c r="Z9" t="str">
        <f t="shared" ca="1" si="3"/>
        <v/>
      </c>
      <c r="AA9" t="str">
        <f t="shared" ca="1" si="3"/>
        <v/>
      </c>
      <c r="AB9" t="str">
        <f t="shared" ca="1" si="3"/>
        <v/>
      </c>
      <c r="AC9">
        <f t="shared" ca="1" si="3"/>
        <v>3718761612</v>
      </c>
      <c r="AD9">
        <f t="shared" ca="1" si="3"/>
        <v>3299950000</v>
      </c>
      <c r="AE9">
        <f t="shared" ca="1" si="3"/>
        <v>2872.87</v>
      </c>
      <c r="AF9">
        <f t="shared" ca="1" si="3"/>
        <v>-236.66015999999999</v>
      </c>
      <c r="AG9">
        <f t="shared" ca="1" si="3"/>
        <v>-8.2377605000000007E-2</v>
      </c>
      <c r="AH9">
        <f t="shared" ca="1" si="3"/>
        <v>2352.7199999999998</v>
      </c>
      <c r="AI9">
        <f t="shared" ca="1" si="4"/>
        <v>283.49</v>
      </c>
      <c r="AJ9">
        <f t="shared" ca="1" si="4"/>
        <v>0.12049457399999999</v>
      </c>
      <c r="AK9" t="str">
        <f t="shared" ca="1" si="4"/>
        <v>2352.72 - 2872.87</v>
      </c>
      <c r="AL9">
        <f t="shared" ca="1" si="4"/>
        <v>2670.2024000000001</v>
      </c>
      <c r="AM9">
        <f t="shared" ca="1" si="4"/>
        <v>-33.992429999999999</v>
      </c>
      <c r="AN9">
        <f t="shared" ca="1" si="4"/>
        <v>-1.2730283E-2</v>
      </c>
      <c r="AO9">
        <f t="shared" ca="1" si="4"/>
        <v>2636.81</v>
      </c>
      <c r="AP9">
        <f t="shared" ca="1" si="4"/>
        <v>0</v>
      </c>
      <c r="AQ9">
        <f t="shared" ca="1" si="4"/>
        <v>2636.11</v>
      </c>
      <c r="AR9">
        <f t="shared" ca="1" si="4"/>
        <v>0</v>
      </c>
      <c r="AZ9">
        <f t="shared" ca="1" si="5"/>
        <v>1524685280</v>
      </c>
      <c r="BA9" t="str">
        <f t="shared" ca="1" si="5"/>
        <v/>
      </c>
      <c r="BB9">
        <f t="shared" ca="1" si="5"/>
        <v>-14400000</v>
      </c>
      <c r="BG9" t="s">
        <v>181</v>
      </c>
      <c r="BH9" t="s">
        <v>175</v>
      </c>
      <c r="BI9" t="s">
        <v>182</v>
      </c>
      <c r="BJ9" t="s">
        <v>161</v>
      </c>
      <c r="BK9" t="s">
        <v>123</v>
      </c>
      <c r="BL9" t="s">
        <v>131</v>
      </c>
      <c r="BM9" t="s">
        <v>183</v>
      </c>
      <c r="BN9" t="s">
        <v>132</v>
      </c>
      <c r="BO9" t="s">
        <v>158</v>
      </c>
      <c r="BP9" t="s">
        <v>156</v>
      </c>
      <c r="BQ9" t="s">
        <v>159</v>
      </c>
      <c r="BR9" t="s">
        <v>157</v>
      </c>
      <c r="BS9" t="s">
        <v>179</v>
      </c>
      <c r="BT9" t="s">
        <v>174</v>
      </c>
      <c r="BU9" t="s">
        <v>144</v>
      </c>
      <c r="BV9" t="s">
        <v>145</v>
      </c>
      <c r="BW9" t="s">
        <v>177</v>
      </c>
      <c r="BX9" t="s">
        <v>166</v>
      </c>
      <c r="BY9" t="s">
        <v>186</v>
      </c>
      <c r="BZ9" t="s">
        <v>167</v>
      </c>
      <c r="CA9" t="s">
        <v>178</v>
      </c>
      <c r="CB9" t="s">
        <v>106</v>
      </c>
      <c r="CC9" t="s">
        <v>105</v>
      </c>
      <c r="CD9" t="s">
        <v>130</v>
      </c>
      <c r="CE9" t="s">
        <v>126</v>
      </c>
      <c r="CF9" t="s">
        <v>127</v>
      </c>
      <c r="CG9" t="s">
        <v>128</v>
      </c>
      <c r="CH9" t="s">
        <v>129</v>
      </c>
      <c r="CI9" t="s">
        <v>150</v>
      </c>
      <c r="CJ9" t="s">
        <v>124</v>
      </c>
      <c r="CK9" t="s">
        <v>151</v>
      </c>
      <c r="CL9" t="s">
        <v>152</v>
      </c>
      <c r="CM9" t="s">
        <v>147</v>
      </c>
      <c r="CN9" t="s">
        <v>148</v>
      </c>
      <c r="CO9" t="s">
        <v>149</v>
      </c>
      <c r="CP9" t="s">
        <v>146</v>
      </c>
      <c r="CQ9" t="s">
        <v>170</v>
      </c>
      <c r="CR9" t="s">
        <v>171</v>
      </c>
      <c r="CS9" t="s">
        <v>172</v>
      </c>
      <c r="CT9" t="s">
        <v>153</v>
      </c>
      <c r="CU9" t="s">
        <v>154</v>
      </c>
      <c r="CV9" t="s">
        <v>155</v>
      </c>
      <c r="CW9" t="s">
        <v>184</v>
      </c>
      <c r="CX9" t="s">
        <v>168</v>
      </c>
      <c r="CY9" t="s">
        <v>169</v>
      </c>
      <c r="CZ9" t="s">
        <v>160</v>
      </c>
      <c r="DA9" t="s">
        <v>180</v>
      </c>
      <c r="DB9" t="s">
        <v>185</v>
      </c>
      <c r="DC9" t="s">
        <v>165</v>
      </c>
    </row>
    <row r="10" spans="1:122" x14ac:dyDescent="0.25">
      <c r="A10">
        <v>7</v>
      </c>
      <c r="B10" s="21"/>
      <c r="C10" t="str">
        <f t="shared" ca="1" si="0"/>
        <v/>
      </c>
      <c r="D10" s="17" t="str">
        <f t="shared" ca="1" si="6"/>
        <v/>
      </c>
      <c r="E10" t="str">
        <f t="shared" ca="1" si="7"/>
        <v/>
      </c>
      <c r="F10" t="str">
        <f t="shared" ca="1" si="1"/>
        <v/>
      </c>
      <c r="G10" t="str">
        <f t="shared" ca="1" si="1"/>
        <v/>
      </c>
      <c r="H10" t="str">
        <f t="shared" ca="1" si="1"/>
        <v/>
      </c>
      <c r="J10" t="str">
        <f t="shared" ca="1" si="2"/>
        <v/>
      </c>
      <c r="K10" t="str">
        <f t="shared" ca="1" si="2"/>
        <v/>
      </c>
      <c r="L10" t="str">
        <f t="shared" ca="1" si="2"/>
        <v/>
      </c>
      <c r="M10" t="str">
        <f t="shared" ca="1" si="2"/>
        <v/>
      </c>
      <c r="N10" t="str">
        <f t="shared" ca="1" si="2"/>
        <v/>
      </c>
      <c r="O10" t="str">
        <f t="shared" ca="1" si="2"/>
        <v/>
      </c>
      <c r="P10" t="str">
        <f t="shared" ca="1" si="2"/>
        <v/>
      </c>
      <c r="Q10" t="str">
        <f t="shared" ca="1" si="2"/>
        <v/>
      </c>
      <c r="R10" t="str">
        <f t="shared" ca="1" si="2"/>
        <v/>
      </c>
      <c r="S10" t="str">
        <f t="shared" ca="1" si="2"/>
        <v/>
      </c>
      <c r="T10" t="str">
        <f t="shared" ca="1" si="2"/>
        <v/>
      </c>
      <c r="U10" s="32" t="str">
        <f t="shared" ca="1" si="2"/>
        <v/>
      </c>
      <c r="V10" t="str">
        <f t="shared" ca="1" si="2"/>
        <v/>
      </c>
      <c r="W10" t="str">
        <f t="shared" ca="1" si="2"/>
        <v/>
      </c>
      <c r="X10" s="17" t="str">
        <f t="shared" ca="1" si="8"/>
        <v/>
      </c>
      <c r="Y10" t="str">
        <f t="shared" ca="1" si="3"/>
        <v/>
      </c>
      <c r="Z10" t="str">
        <f t="shared" ca="1" si="3"/>
        <v/>
      </c>
      <c r="AA10" t="str">
        <f t="shared" ca="1" si="3"/>
        <v/>
      </c>
      <c r="AB10" t="str">
        <f t="shared" ca="1" si="3"/>
        <v/>
      </c>
      <c r="AC10" t="str">
        <f t="shared" ca="1" si="3"/>
        <v/>
      </c>
      <c r="AD10" t="str">
        <f t="shared" ca="1" si="3"/>
        <v/>
      </c>
      <c r="AE10" t="str">
        <f t="shared" ca="1" si="3"/>
        <v/>
      </c>
      <c r="AF10" t="str">
        <f t="shared" ca="1" si="3"/>
        <v/>
      </c>
      <c r="AG10" t="str">
        <f t="shared" ca="1" si="3"/>
        <v/>
      </c>
      <c r="AH10" t="str">
        <f t="shared" ca="1" si="3"/>
        <v/>
      </c>
      <c r="AI10" t="str">
        <f t="shared" ca="1" si="4"/>
        <v/>
      </c>
      <c r="AJ10" t="str">
        <f t="shared" ca="1" si="4"/>
        <v/>
      </c>
      <c r="AK10" t="str">
        <f t="shared" ca="1" si="4"/>
        <v/>
      </c>
      <c r="AL10" t="str">
        <f t="shared" ca="1" si="4"/>
        <v/>
      </c>
      <c r="AM10" t="str">
        <f t="shared" ca="1" si="4"/>
        <v/>
      </c>
      <c r="AN10" t="str">
        <f t="shared" ca="1" si="4"/>
        <v/>
      </c>
      <c r="AO10" t="str">
        <f t="shared" ca="1" si="4"/>
        <v/>
      </c>
      <c r="AP10" t="str">
        <f t="shared" ca="1" si="4"/>
        <v/>
      </c>
      <c r="AQ10" t="str">
        <f t="shared" ca="1" si="4"/>
        <v/>
      </c>
      <c r="AR10" t="str">
        <f t="shared" ca="1" si="4"/>
        <v/>
      </c>
      <c r="AZ10" t="str">
        <f t="shared" ca="1" si="5"/>
        <v/>
      </c>
      <c r="BA10" t="str">
        <f t="shared" ca="1" si="5"/>
        <v/>
      </c>
      <c r="BB10" t="str">
        <f t="shared" ca="1" si="5"/>
        <v/>
      </c>
      <c r="BG10" t="s">
        <v>187</v>
      </c>
      <c r="BH10" t="s">
        <v>114</v>
      </c>
      <c r="BI10" t="s">
        <v>253</v>
      </c>
      <c r="BJ10" t="s">
        <v>236</v>
      </c>
      <c r="BK10" t="s">
        <v>257</v>
      </c>
      <c r="BL10">
        <v>0.60482670000000005</v>
      </c>
      <c r="BM10" t="s">
        <v>254</v>
      </c>
      <c r="BN10">
        <v>5886</v>
      </c>
      <c r="BO10">
        <v>0</v>
      </c>
      <c r="BP10">
        <v>0</v>
      </c>
      <c r="BQ10">
        <v>0</v>
      </c>
      <c r="BR10">
        <v>0</v>
      </c>
      <c r="BS10" t="s">
        <v>255</v>
      </c>
      <c r="BT10" t="s">
        <v>239</v>
      </c>
      <c r="BU10">
        <v>683148</v>
      </c>
      <c r="BV10">
        <v>0</v>
      </c>
      <c r="BW10" t="s">
        <v>244</v>
      </c>
      <c r="BX10" t="b">
        <v>0</v>
      </c>
      <c r="BY10" t="b">
        <v>0</v>
      </c>
      <c r="BZ10">
        <v>0</v>
      </c>
      <c r="CA10" t="s">
        <v>270</v>
      </c>
      <c r="CB10">
        <v>5921.6</v>
      </c>
      <c r="CC10">
        <v>1524551765</v>
      </c>
      <c r="CD10">
        <v>35.600098000000003</v>
      </c>
      <c r="CE10">
        <v>5886</v>
      </c>
      <c r="CF10">
        <v>5928.8</v>
      </c>
      <c r="CG10">
        <v>5879.6</v>
      </c>
      <c r="CH10">
        <v>0</v>
      </c>
      <c r="CI10">
        <v>291.80029999999999</v>
      </c>
      <c r="CJ10" t="s">
        <v>239</v>
      </c>
      <c r="CK10">
        <v>5.1831380000000003E-2</v>
      </c>
      <c r="CL10" t="s">
        <v>256</v>
      </c>
      <c r="CM10">
        <v>-228.3999</v>
      </c>
      <c r="CN10">
        <v>-3.7138193999999999E-2</v>
      </c>
      <c r="CO10">
        <v>5629.8</v>
      </c>
      <c r="CP10">
        <v>6150</v>
      </c>
      <c r="CQ10">
        <v>5872.1733000000004</v>
      </c>
      <c r="CR10">
        <v>49.426758</v>
      </c>
      <c r="CS10">
        <v>8.4171149999999993E-3</v>
      </c>
      <c r="CT10">
        <v>5952.2049999999999</v>
      </c>
      <c r="CU10">
        <v>-30.604980000000001</v>
      </c>
      <c r="CV10">
        <v>-5.1417885999999998E-3</v>
      </c>
      <c r="CW10">
        <v>20</v>
      </c>
      <c r="CX10" t="s">
        <v>242</v>
      </c>
      <c r="CY10" t="s">
        <v>243</v>
      </c>
      <c r="CZ10">
        <v>36000000</v>
      </c>
      <c r="DA10">
        <v>2</v>
      </c>
      <c r="DB10" t="s">
        <v>232</v>
      </c>
      <c r="DC10" t="s">
        <v>108</v>
      </c>
    </row>
    <row r="11" spans="1:122" x14ac:dyDescent="0.25">
      <c r="A11">
        <v>8</v>
      </c>
      <c r="B11" s="21" t="s">
        <v>235</v>
      </c>
      <c r="C11" t="str">
        <f t="shared" ca="1" si="0"/>
        <v>Berkshire Hathaway Inc.</v>
      </c>
      <c r="D11" s="17">
        <f t="shared" ca="1" si="6"/>
        <v>43215.647534722222</v>
      </c>
      <c r="E11">
        <f t="shared" ca="1" si="7"/>
        <v>295500</v>
      </c>
      <c r="F11" t="str">
        <f t="shared" ca="1" si="1"/>
        <v>NYQ</v>
      </c>
      <c r="G11" t="str">
        <f t="shared" ca="1" si="1"/>
        <v>NYSE</v>
      </c>
      <c r="H11" t="str">
        <f t="shared" ca="1" si="1"/>
        <v>Nasdaq Real Time Price</v>
      </c>
      <c r="J11">
        <f t="shared" ca="1" si="2"/>
        <v>295500</v>
      </c>
      <c r="K11">
        <f t="shared" ca="1" si="2"/>
        <v>294660</v>
      </c>
      <c r="L11">
        <f t="shared" ca="1" si="2"/>
        <v>296010</v>
      </c>
      <c r="M11">
        <f t="shared" ca="1" si="2"/>
        <v>291994.88</v>
      </c>
      <c r="N11">
        <f t="shared" ca="1" si="2"/>
        <v>225</v>
      </c>
      <c r="O11">
        <f t="shared" ca="1" si="2"/>
        <v>0</v>
      </c>
      <c r="P11">
        <f t="shared" ca="1" si="2"/>
        <v>0</v>
      </c>
      <c r="Q11">
        <f t="shared" ca="1" si="2"/>
        <v>295500</v>
      </c>
      <c r="R11">
        <f t="shared" ca="1" si="2"/>
        <v>211692.39</v>
      </c>
      <c r="S11">
        <f t="shared" ca="1" si="2"/>
        <v>1.3958933</v>
      </c>
      <c r="T11">
        <f t="shared" ca="1" si="2"/>
        <v>748347</v>
      </c>
      <c r="U11" s="32">
        <f t="shared" ca="1" si="2"/>
        <v>485866995712</v>
      </c>
      <c r="V11" t="str">
        <f t="shared" ca="1" si="2"/>
        <v/>
      </c>
      <c r="W11" t="str">
        <f t="shared" ca="1" si="2"/>
        <v/>
      </c>
      <c r="X11" s="17" t="str">
        <f t="shared" ca="1" si="8"/>
        <v/>
      </c>
      <c r="Y11">
        <f t="shared" ca="1" si="3"/>
        <v>20.303834999999999</v>
      </c>
      <c r="Z11">
        <f t="shared" ca="1" si="3"/>
        <v>10.814057</v>
      </c>
      <c r="AA11">
        <f t="shared" ca="1" si="3"/>
        <v>14553.9</v>
      </c>
      <c r="AB11">
        <f t="shared" ca="1" si="3"/>
        <v>27325.544999999998</v>
      </c>
      <c r="AC11">
        <f t="shared" ca="1" si="3"/>
        <v>370</v>
      </c>
      <c r="AD11">
        <f t="shared" ca="1" si="3"/>
        <v>171</v>
      </c>
      <c r="AE11">
        <f t="shared" ca="1" si="3"/>
        <v>326350</v>
      </c>
      <c r="AF11">
        <f t="shared" ca="1" si="3"/>
        <v>-30850</v>
      </c>
      <c r="AG11">
        <f t="shared" ca="1" si="3"/>
        <v>-9.4530409999999995E-2</v>
      </c>
      <c r="AH11">
        <f t="shared" ca="1" si="3"/>
        <v>242180</v>
      </c>
      <c r="AI11">
        <f t="shared" ca="1" si="4"/>
        <v>53320</v>
      </c>
      <c r="AJ11">
        <f t="shared" ca="1" si="4"/>
        <v>0.22016682000000001</v>
      </c>
      <c r="AK11" t="str">
        <f t="shared" ca="1" si="4"/>
        <v>242180.0 - 326350.0</v>
      </c>
      <c r="AL11">
        <f t="shared" ca="1" si="4"/>
        <v>297043.06</v>
      </c>
      <c r="AM11">
        <f t="shared" ca="1" si="4"/>
        <v>-1543.0625</v>
      </c>
      <c r="AN11">
        <f t="shared" ca="1" si="4"/>
        <v>-5.1947436000000001E-3</v>
      </c>
      <c r="AO11">
        <f t="shared" ca="1" si="4"/>
        <v>295680</v>
      </c>
      <c r="AP11">
        <f t="shared" ca="1" si="4"/>
        <v>1</v>
      </c>
      <c r="AQ11">
        <f t="shared" ca="1" si="4"/>
        <v>295400</v>
      </c>
      <c r="AR11">
        <f t="shared" ca="1" si="4"/>
        <v>1</v>
      </c>
      <c r="AZ11">
        <f t="shared" ca="1" si="5"/>
        <v>1524684747</v>
      </c>
      <c r="BA11" t="str">
        <f t="shared" ca="1" si="5"/>
        <v/>
      </c>
      <c r="BB11">
        <f t="shared" ca="1" si="5"/>
        <v>-14400000</v>
      </c>
      <c r="BG11" t="s">
        <v>181</v>
      </c>
      <c r="BH11" t="s">
        <v>175</v>
      </c>
      <c r="BI11" t="s">
        <v>182</v>
      </c>
      <c r="BJ11" t="s">
        <v>161</v>
      </c>
      <c r="BK11" t="s">
        <v>167</v>
      </c>
      <c r="BL11" t="s">
        <v>166</v>
      </c>
      <c r="BM11" t="s">
        <v>186</v>
      </c>
      <c r="BN11" t="s">
        <v>177</v>
      </c>
      <c r="BO11" t="s">
        <v>123</v>
      </c>
      <c r="BP11" t="s">
        <v>180</v>
      </c>
      <c r="BQ11" t="s">
        <v>131</v>
      </c>
      <c r="BR11" t="s">
        <v>183</v>
      </c>
      <c r="BS11" t="s">
        <v>132</v>
      </c>
      <c r="BT11" t="s">
        <v>158</v>
      </c>
      <c r="BU11" t="s">
        <v>156</v>
      </c>
      <c r="BV11" t="s">
        <v>159</v>
      </c>
      <c r="BW11" t="s">
        <v>157</v>
      </c>
      <c r="BX11" t="s">
        <v>179</v>
      </c>
      <c r="BY11" t="s">
        <v>174</v>
      </c>
      <c r="BZ11" t="s">
        <v>144</v>
      </c>
      <c r="CA11" t="s">
        <v>145</v>
      </c>
      <c r="CB11" t="s">
        <v>170</v>
      </c>
      <c r="CC11" t="s">
        <v>171</v>
      </c>
      <c r="CD11" t="s">
        <v>172</v>
      </c>
      <c r="CE11" t="s">
        <v>153</v>
      </c>
      <c r="CF11" t="s">
        <v>154</v>
      </c>
      <c r="CG11" t="s">
        <v>155</v>
      </c>
      <c r="CH11" t="s">
        <v>184</v>
      </c>
      <c r="CI11" t="s">
        <v>168</v>
      </c>
      <c r="CJ11" t="s">
        <v>169</v>
      </c>
      <c r="CK11" t="s">
        <v>160</v>
      </c>
      <c r="CL11" t="s">
        <v>124</v>
      </c>
      <c r="CM11" t="s">
        <v>106</v>
      </c>
      <c r="CN11" t="s">
        <v>105</v>
      </c>
      <c r="CO11" t="s">
        <v>130</v>
      </c>
      <c r="CP11" t="s">
        <v>126</v>
      </c>
      <c r="CQ11" t="s">
        <v>127</v>
      </c>
      <c r="CR11" t="s">
        <v>128</v>
      </c>
      <c r="CS11" t="s">
        <v>129</v>
      </c>
      <c r="CT11" t="s">
        <v>178</v>
      </c>
      <c r="CU11" t="s">
        <v>150</v>
      </c>
      <c r="CV11" t="s">
        <v>151</v>
      </c>
      <c r="CW11" t="s">
        <v>152</v>
      </c>
      <c r="CX11" t="s">
        <v>147</v>
      </c>
      <c r="CY11" t="s">
        <v>148</v>
      </c>
      <c r="CZ11" t="s">
        <v>149</v>
      </c>
      <c r="DA11" t="s">
        <v>146</v>
      </c>
      <c r="DB11" t="s">
        <v>185</v>
      </c>
      <c r="DC11" t="s">
        <v>165</v>
      </c>
    </row>
    <row r="12" spans="1:122" x14ac:dyDescent="0.25">
      <c r="A12">
        <v>9</v>
      </c>
      <c r="B12" s="21"/>
      <c r="C12" t="str">
        <f t="shared" ca="1" si="0"/>
        <v/>
      </c>
      <c r="D12" s="17" t="str">
        <f t="shared" ca="1" si="6"/>
        <v/>
      </c>
      <c r="E12" t="str">
        <f t="shared" ca="1" si="7"/>
        <v/>
      </c>
      <c r="F12" t="str">
        <f t="shared" ca="1" si="1"/>
        <v/>
      </c>
      <c r="G12" t="str">
        <f t="shared" ca="1" si="1"/>
        <v/>
      </c>
      <c r="H12" t="str">
        <f t="shared" ca="1" si="1"/>
        <v/>
      </c>
      <c r="J12" t="str">
        <f t="shared" ca="1" si="2"/>
        <v/>
      </c>
      <c r="K12" t="str">
        <f t="shared" ca="1" si="2"/>
        <v/>
      </c>
      <c r="L12" t="str">
        <f t="shared" ca="1" si="2"/>
        <v/>
      </c>
      <c r="M12" t="str">
        <f t="shared" ca="1" si="2"/>
        <v/>
      </c>
      <c r="N12" t="str">
        <f t="shared" ca="1" si="2"/>
        <v/>
      </c>
      <c r="O12" t="str">
        <f t="shared" ca="1" si="2"/>
        <v/>
      </c>
      <c r="P12" t="str">
        <f t="shared" ca="1" si="2"/>
        <v/>
      </c>
      <c r="Q12" t="str">
        <f t="shared" ca="1" si="2"/>
        <v/>
      </c>
      <c r="R12" t="str">
        <f t="shared" ca="1" si="2"/>
        <v/>
      </c>
      <c r="S12" t="str">
        <f t="shared" ca="1" si="2"/>
        <v/>
      </c>
      <c r="T12" t="str">
        <f t="shared" ca="1" si="2"/>
        <v/>
      </c>
      <c r="U12" s="32" t="str">
        <f t="shared" ca="1" si="2"/>
        <v/>
      </c>
      <c r="V12" t="str">
        <f t="shared" ca="1" si="2"/>
        <v/>
      </c>
      <c r="W12" t="str">
        <f t="shared" ca="1" si="2"/>
        <v/>
      </c>
      <c r="X12" s="17" t="str">
        <f t="shared" ca="1" si="8"/>
        <v/>
      </c>
      <c r="Y12" t="str">
        <f t="shared" ca="1" si="3"/>
        <v/>
      </c>
      <c r="Z12" t="str">
        <f t="shared" ca="1" si="3"/>
        <v/>
      </c>
      <c r="AA12" t="str">
        <f t="shared" ca="1" si="3"/>
        <v/>
      </c>
      <c r="AB12" t="str">
        <f t="shared" ca="1" si="3"/>
        <v/>
      </c>
      <c r="AC12" t="str">
        <f t="shared" ca="1" si="3"/>
        <v/>
      </c>
      <c r="AD12" t="str">
        <f t="shared" ca="1" si="3"/>
        <v/>
      </c>
      <c r="AE12" t="str">
        <f t="shared" ca="1" si="3"/>
        <v/>
      </c>
      <c r="AF12" t="str">
        <f t="shared" ca="1" si="3"/>
        <v/>
      </c>
      <c r="AG12" t="str">
        <f t="shared" ca="1" si="3"/>
        <v/>
      </c>
      <c r="AH12" t="str">
        <f t="shared" ca="1" si="3"/>
        <v/>
      </c>
      <c r="AI12" t="str">
        <f t="shared" ca="1" si="4"/>
        <v/>
      </c>
      <c r="AJ12" t="str">
        <f t="shared" ca="1" si="4"/>
        <v/>
      </c>
      <c r="AK12" t="str">
        <f t="shared" ca="1" si="4"/>
        <v/>
      </c>
      <c r="AL12" t="str">
        <f t="shared" ca="1" si="4"/>
        <v/>
      </c>
      <c r="AM12" t="str">
        <f t="shared" ca="1" si="4"/>
        <v/>
      </c>
      <c r="AN12" t="str">
        <f t="shared" ca="1" si="4"/>
        <v/>
      </c>
      <c r="AO12" t="str">
        <f t="shared" ca="1" si="4"/>
        <v/>
      </c>
      <c r="AP12" t="str">
        <f t="shared" ca="1" si="4"/>
        <v/>
      </c>
      <c r="AQ12" t="str">
        <f t="shared" ca="1" si="4"/>
        <v/>
      </c>
      <c r="AR12" t="str">
        <f t="shared" ca="1" si="4"/>
        <v/>
      </c>
      <c r="AZ12" t="str">
        <f t="shared" ca="1" si="5"/>
        <v/>
      </c>
      <c r="BA12" t="str">
        <f t="shared" ca="1" si="5"/>
        <v/>
      </c>
      <c r="BB12" t="str">
        <f t="shared" ca="1" si="5"/>
        <v/>
      </c>
      <c r="BG12" t="s">
        <v>187</v>
      </c>
      <c r="BH12" t="s">
        <v>114</v>
      </c>
      <c r="BI12" t="s">
        <v>253</v>
      </c>
      <c r="BJ12" t="s">
        <v>107</v>
      </c>
      <c r="BK12">
        <v>20</v>
      </c>
      <c r="BL12" t="b">
        <v>0</v>
      </c>
      <c r="BM12" t="b">
        <v>0</v>
      </c>
      <c r="BN12" t="s">
        <v>116</v>
      </c>
      <c r="BO12" t="s">
        <v>258</v>
      </c>
      <c r="BP12">
        <v>2</v>
      </c>
      <c r="BQ12">
        <v>1.3744514999999999</v>
      </c>
      <c r="BR12" t="s">
        <v>273</v>
      </c>
      <c r="BS12">
        <v>2.9830000000000001</v>
      </c>
      <c r="BT12">
        <v>0</v>
      </c>
      <c r="BU12">
        <v>0</v>
      </c>
      <c r="BV12">
        <v>0</v>
      </c>
      <c r="BW12">
        <v>0</v>
      </c>
      <c r="BX12" t="s">
        <v>260</v>
      </c>
      <c r="BY12" t="s">
        <v>261</v>
      </c>
      <c r="BZ12">
        <v>0</v>
      </c>
      <c r="CA12">
        <v>0</v>
      </c>
      <c r="CB12">
        <v>2.8413715000000002</v>
      </c>
      <c r="CC12">
        <v>0.1826284</v>
      </c>
      <c r="CD12">
        <v>6.4274730000000002E-2</v>
      </c>
      <c r="CE12">
        <v>2.604625</v>
      </c>
      <c r="CF12">
        <v>0.41937493999999997</v>
      </c>
      <c r="CG12">
        <v>0.16101164000000001</v>
      </c>
      <c r="CH12">
        <v>15</v>
      </c>
      <c r="CI12" t="s">
        <v>110</v>
      </c>
      <c r="CJ12" t="s">
        <v>111</v>
      </c>
      <c r="CK12">
        <v>-14400000</v>
      </c>
      <c r="CL12" t="s">
        <v>259</v>
      </c>
      <c r="CM12">
        <v>3.024</v>
      </c>
      <c r="CN12">
        <v>1524682797</v>
      </c>
      <c r="CO12">
        <v>4.0999889999999997E-2</v>
      </c>
      <c r="CP12">
        <v>3.032</v>
      </c>
      <c r="CQ12">
        <v>3.0350000000000001</v>
      </c>
      <c r="CR12">
        <v>3.0070000000000001</v>
      </c>
      <c r="CS12">
        <v>0</v>
      </c>
      <c r="CT12" t="s">
        <v>271</v>
      </c>
      <c r="CU12">
        <v>0.99</v>
      </c>
      <c r="CV12">
        <v>0.48672569999999998</v>
      </c>
      <c r="CW12" t="s">
        <v>272</v>
      </c>
      <c r="CX12">
        <v>-1.1000156000000001E-2</v>
      </c>
      <c r="CY12">
        <v>-3.6244337000000001E-3</v>
      </c>
      <c r="CZ12">
        <v>2.0339999999999998</v>
      </c>
      <c r="DA12">
        <v>3.0350000000000001</v>
      </c>
      <c r="DB12" t="s">
        <v>233</v>
      </c>
      <c r="DC12" t="s">
        <v>108</v>
      </c>
    </row>
    <row r="13" spans="1:122" x14ac:dyDescent="0.25">
      <c r="A13">
        <v>10</v>
      </c>
      <c r="B13" s="21" t="s">
        <v>79</v>
      </c>
      <c r="C13" t="str">
        <f t="shared" ca="1" si="0"/>
        <v>Apple Inc.</v>
      </c>
      <c r="D13" s="17">
        <f t="shared" ca="1" si="6"/>
        <v>43215.653645833328</v>
      </c>
      <c r="E13">
        <f t="shared" ca="1" si="7"/>
        <v>163.92</v>
      </c>
      <c r="F13" t="str">
        <f t="shared" ca="1" si="1"/>
        <v>NMS</v>
      </c>
      <c r="G13" t="str">
        <f t="shared" ca="1" si="1"/>
        <v>NasdaqGS</v>
      </c>
      <c r="H13" t="str">
        <f t="shared" ca="1" si="1"/>
        <v>Nasdaq Real Time Price</v>
      </c>
      <c r="J13">
        <f t="shared" ca="1" si="2"/>
        <v>163.92</v>
      </c>
      <c r="K13">
        <f t="shared" ca="1" si="2"/>
        <v>162.62</v>
      </c>
      <c r="L13">
        <f t="shared" ca="1" si="2"/>
        <v>165.41499999999999</v>
      </c>
      <c r="M13">
        <f t="shared" ca="1" si="2"/>
        <v>162.41999999999999</v>
      </c>
      <c r="N13">
        <f t="shared" ca="1" si="2"/>
        <v>23080663</v>
      </c>
      <c r="O13">
        <f t="shared" ca="1" si="2"/>
        <v>0.97999570000000003</v>
      </c>
      <c r="P13">
        <f t="shared" ca="1" si="2"/>
        <v>0.60144573000000001</v>
      </c>
      <c r="Q13">
        <f t="shared" ca="1" si="2"/>
        <v>162.94</v>
      </c>
      <c r="R13">
        <f t="shared" ca="1" si="2"/>
        <v>27.588999999999999</v>
      </c>
      <c r="S13">
        <f t="shared" ca="1" si="2"/>
        <v>5.9414983000000001</v>
      </c>
      <c r="T13">
        <f t="shared" ca="1" si="2"/>
        <v>5074010112</v>
      </c>
      <c r="U13" s="32">
        <f t="shared" ca="1" si="2"/>
        <v>831731728384</v>
      </c>
      <c r="V13">
        <f t="shared" ca="1" si="2"/>
        <v>2.46</v>
      </c>
      <c r="W13">
        <f t="shared" ca="1" si="2"/>
        <v>1.5097582E-2</v>
      </c>
      <c r="X13" s="17">
        <f t="shared" ca="1" si="8"/>
        <v>43146</v>
      </c>
      <c r="Y13">
        <f t="shared" ca="1" si="3"/>
        <v>12.541698</v>
      </c>
      <c r="Z13">
        <f t="shared" ca="1" si="3"/>
        <v>16.898969999999998</v>
      </c>
      <c r="AA13">
        <f t="shared" ca="1" si="3"/>
        <v>13.07</v>
      </c>
      <c r="AB13">
        <f t="shared" ca="1" si="3"/>
        <v>9.6999999999999993</v>
      </c>
      <c r="AC13">
        <f t="shared" ca="1" si="3"/>
        <v>38436233</v>
      </c>
      <c r="AD13">
        <f t="shared" ca="1" si="3"/>
        <v>34186385</v>
      </c>
      <c r="AE13">
        <f t="shared" ca="1" si="3"/>
        <v>183.5</v>
      </c>
      <c r="AF13">
        <f t="shared" ca="1" si="3"/>
        <v>-19.580002</v>
      </c>
      <c r="AG13">
        <f t="shared" ca="1" si="3"/>
        <v>-0.106703006</v>
      </c>
      <c r="AH13">
        <f t="shared" ca="1" si="3"/>
        <v>142.19999999999999</v>
      </c>
      <c r="AI13">
        <f t="shared" ca="1" si="4"/>
        <v>21.720001</v>
      </c>
      <c r="AJ13">
        <f t="shared" ca="1" si="4"/>
        <v>0.15274262</v>
      </c>
      <c r="AK13" t="str">
        <f t="shared" ca="1" si="4"/>
        <v>142.2 - 183.5</v>
      </c>
      <c r="AL13">
        <f t="shared" ca="1" si="4"/>
        <v>170.38692</v>
      </c>
      <c r="AM13">
        <f t="shared" ca="1" si="4"/>
        <v>-6.4669189999999999</v>
      </c>
      <c r="AN13">
        <f t="shared" ca="1" si="4"/>
        <v>-3.7954316000000002E-2</v>
      </c>
      <c r="AO13">
        <f t="shared" ca="1" si="4"/>
        <v>164.55</v>
      </c>
      <c r="AP13">
        <f t="shared" ca="1" si="4"/>
        <v>1</v>
      </c>
      <c r="AQ13">
        <f t="shared" ca="1" si="4"/>
        <v>164.54</v>
      </c>
      <c r="AR13">
        <f t="shared" ca="1" si="4"/>
        <v>6</v>
      </c>
      <c r="AZ13">
        <f t="shared" ca="1" si="5"/>
        <v>1524685275</v>
      </c>
      <c r="BA13">
        <f t="shared" ca="1" si="5"/>
        <v>1518652800</v>
      </c>
      <c r="BB13">
        <f t="shared" ca="1" si="5"/>
        <v>-14400000</v>
      </c>
      <c r="BG13" t="s">
        <v>181</v>
      </c>
      <c r="BH13" t="s">
        <v>175</v>
      </c>
      <c r="BI13" t="s">
        <v>182</v>
      </c>
      <c r="BJ13" t="s">
        <v>125</v>
      </c>
      <c r="BK13" t="s">
        <v>161</v>
      </c>
      <c r="BL13" t="s">
        <v>170</v>
      </c>
      <c r="BM13" t="s">
        <v>171</v>
      </c>
      <c r="BN13" t="s">
        <v>172</v>
      </c>
      <c r="BO13" t="s">
        <v>153</v>
      </c>
      <c r="BP13" t="s">
        <v>154</v>
      </c>
      <c r="BQ13" t="s">
        <v>155</v>
      </c>
      <c r="BR13" t="s">
        <v>184</v>
      </c>
      <c r="BS13" t="s">
        <v>168</v>
      </c>
      <c r="BT13" t="s">
        <v>169</v>
      </c>
      <c r="BU13" t="s">
        <v>160</v>
      </c>
      <c r="BV13" t="s">
        <v>123</v>
      </c>
      <c r="BW13" t="s">
        <v>106</v>
      </c>
      <c r="BX13" t="s">
        <v>105</v>
      </c>
      <c r="BY13" t="s">
        <v>130</v>
      </c>
      <c r="BZ13" t="s">
        <v>126</v>
      </c>
      <c r="CA13" t="s">
        <v>127</v>
      </c>
      <c r="CB13" t="s">
        <v>128</v>
      </c>
      <c r="CC13" t="s">
        <v>129</v>
      </c>
      <c r="CD13" t="s">
        <v>166</v>
      </c>
      <c r="CE13" t="s">
        <v>186</v>
      </c>
      <c r="CF13" t="s">
        <v>178</v>
      </c>
      <c r="CG13" t="s">
        <v>124</v>
      </c>
      <c r="CH13" t="s">
        <v>167</v>
      </c>
      <c r="CI13" t="s">
        <v>132</v>
      </c>
      <c r="CJ13" t="s">
        <v>158</v>
      </c>
      <c r="CK13" t="s">
        <v>156</v>
      </c>
      <c r="CL13" t="s">
        <v>159</v>
      </c>
      <c r="CM13" t="s">
        <v>157</v>
      </c>
      <c r="CN13" t="s">
        <v>179</v>
      </c>
      <c r="CO13" t="s">
        <v>174</v>
      </c>
      <c r="CP13" t="s">
        <v>144</v>
      </c>
      <c r="CQ13" t="s">
        <v>145</v>
      </c>
      <c r="CR13" t="s">
        <v>150</v>
      </c>
      <c r="CS13" t="s">
        <v>151</v>
      </c>
      <c r="CT13" t="s">
        <v>152</v>
      </c>
      <c r="CU13" t="s">
        <v>147</v>
      </c>
      <c r="CV13" t="s">
        <v>148</v>
      </c>
      <c r="CW13" t="s">
        <v>149</v>
      </c>
      <c r="CX13" t="s">
        <v>146</v>
      </c>
      <c r="CY13" t="s">
        <v>177</v>
      </c>
      <c r="CZ13" t="s">
        <v>131</v>
      </c>
      <c r="DA13" t="s">
        <v>183</v>
      </c>
      <c r="DB13" t="s">
        <v>180</v>
      </c>
      <c r="DC13" t="s">
        <v>185</v>
      </c>
      <c r="DD13" t="s">
        <v>165</v>
      </c>
    </row>
    <row r="14" spans="1:122" x14ac:dyDescent="0.25">
      <c r="A14">
        <v>11</v>
      </c>
      <c r="B14" s="21" t="s">
        <v>80</v>
      </c>
      <c r="C14" t="str">
        <f t="shared" ca="1" si="0"/>
        <v>General Electric Company</v>
      </c>
      <c r="D14" s="17">
        <f t="shared" ca="1" si="6"/>
        <v>43215.653726851851</v>
      </c>
      <c r="E14">
        <f t="shared" ca="1" si="7"/>
        <v>14</v>
      </c>
      <c r="F14" t="str">
        <f t="shared" ca="1" si="1"/>
        <v>NYQ</v>
      </c>
      <c r="G14" t="str">
        <f t="shared" ca="1" si="1"/>
        <v>NYSE</v>
      </c>
      <c r="H14" t="str">
        <f t="shared" ca="1" si="1"/>
        <v>Nasdaq Real Time Price</v>
      </c>
      <c r="J14">
        <f t="shared" ref="J14:W23" ca="1" si="9">IFERROR(HLOOKUP(J$3, OFFSET(JSONstart,2*$A14-2,0,2,75), 2,FALSE),  "")</f>
        <v>14</v>
      </c>
      <c r="K14">
        <f t="shared" ca="1" si="9"/>
        <v>14.72</v>
      </c>
      <c r="L14">
        <f t="shared" ca="1" si="9"/>
        <v>14.72</v>
      </c>
      <c r="M14">
        <f t="shared" ca="1" si="9"/>
        <v>13.91</v>
      </c>
      <c r="N14">
        <f t="shared" ca="1" si="9"/>
        <v>84501052</v>
      </c>
      <c r="O14">
        <f t="shared" ca="1" si="9"/>
        <v>-0.6800003</v>
      </c>
      <c r="P14">
        <f t="shared" ca="1" si="9"/>
        <v>-4.6321545000000004</v>
      </c>
      <c r="Q14">
        <f t="shared" ca="1" si="9"/>
        <v>14.68</v>
      </c>
      <c r="R14">
        <f t="shared" ca="1" si="9"/>
        <v>7.4020000000000001</v>
      </c>
      <c r="S14">
        <f t="shared" ca="1" si="9"/>
        <v>1.8913807</v>
      </c>
      <c r="T14">
        <f t="shared" ca="1" si="9"/>
        <v>8683509760</v>
      </c>
      <c r="U14" s="32">
        <f t="shared" ca="1" si="9"/>
        <v>121569132544</v>
      </c>
      <c r="V14">
        <f t="shared" ca="1" si="9"/>
        <v>0.84</v>
      </c>
      <c r="W14">
        <f t="shared" ca="1" si="9"/>
        <v>5.7220704999999997E-2</v>
      </c>
      <c r="X14" s="17">
        <f t="shared" ca="1" si="8"/>
        <v>43215</v>
      </c>
      <c r="Y14">
        <f t="shared" ref="Y14:AH23" ca="1" si="10">IFERROR(HLOOKUP(Y$3, OFFSET(JSONstart,2*$A14-2,0,2,75), 2,FALSE),   "")</f>
        <v>13.207547999999999</v>
      </c>
      <c r="Z14" t="str">
        <f t="shared" ca="1" si="10"/>
        <v/>
      </c>
      <c r="AA14">
        <f t="shared" ca="1" si="10"/>
        <v>1.06</v>
      </c>
      <c r="AB14">
        <f t="shared" ca="1" si="10"/>
        <v>-0.71899999999999997</v>
      </c>
      <c r="AC14">
        <f t="shared" ca="1" si="10"/>
        <v>82051320</v>
      </c>
      <c r="AD14">
        <f t="shared" ca="1" si="10"/>
        <v>85321785</v>
      </c>
      <c r="AE14">
        <f t="shared" ca="1" si="10"/>
        <v>29.55</v>
      </c>
      <c r="AF14">
        <f t="shared" ca="1" si="10"/>
        <v>-15.549999</v>
      </c>
      <c r="AG14">
        <f t="shared" ca="1" si="10"/>
        <v>-0.52622670000000005</v>
      </c>
      <c r="AH14">
        <f t="shared" ca="1" si="10"/>
        <v>12.73</v>
      </c>
      <c r="AI14">
        <f t="shared" ref="AI14:AR23" ca="1" si="11">IFERROR(HLOOKUP(AI$3, OFFSET(JSONstart,2*$A14-2,0,2,75), 2,FALSE),   "")</f>
        <v>1.2700005000000001</v>
      </c>
      <c r="AJ14">
        <f t="shared" ca="1" si="11"/>
        <v>9.976438E-2</v>
      </c>
      <c r="AK14" t="str">
        <f t="shared" ca="1" si="11"/>
        <v>12.73 - 29.55</v>
      </c>
      <c r="AL14">
        <f t="shared" ca="1" si="11"/>
        <v>16.951765000000002</v>
      </c>
      <c r="AM14">
        <f t="shared" ca="1" si="11"/>
        <v>-2.951765</v>
      </c>
      <c r="AN14">
        <f t="shared" ca="1" si="11"/>
        <v>-0.17412730000000001</v>
      </c>
      <c r="AO14">
        <f t="shared" ca="1" si="11"/>
        <v>14.03</v>
      </c>
      <c r="AP14">
        <f t="shared" ca="1" si="11"/>
        <v>471</v>
      </c>
      <c r="AQ14">
        <f t="shared" ca="1" si="11"/>
        <v>14.02</v>
      </c>
      <c r="AR14">
        <f t="shared" ca="1" si="11"/>
        <v>177</v>
      </c>
      <c r="AZ14">
        <f t="shared" ca="1" si="5"/>
        <v>1524685282</v>
      </c>
      <c r="BA14">
        <f t="shared" ca="1" si="5"/>
        <v>1524614400</v>
      </c>
      <c r="BB14">
        <f t="shared" ca="1" si="5"/>
        <v>-14400000</v>
      </c>
      <c r="BG14" t="s">
        <v>187</v>
      </c>
      <c r="BH14" t="s">
        <v>114</v>
      </c>
      <c r="BI14" t="s">
        <v>253</v>
      </c>
      <c r="BJ14" t="s">
        <v>274</v>
      </c>
      <c r="BK14" t="s">
        <v>107</v>
      </c>
      <c r="BL14">
        <v>2679.1491999999998</v>
      </c>
      <c r="BM14">
        <v>-42.939210000000003</v>
      </c>
      <c r="BN14">
        <v>-1.6027179999999999E-2</v>
      </c>
      <c r="BO14">
        <v>2670.2024000000001</v>
      </c>
      <c r="BP14">
        <v>-33.992429999999999</v>
      </c>
      <c r="BQ14">
        <v>-1.2730283E-2</v>
      </c>
      <c r="BR14">
        <v>15</v>
      </c>
      <c r="BS14" t="s">
        <v>110</v>
      </c>
      <c r="BT14" t="s">
        <v>111</v>
      </c>
      <c r="BU14">
        <v>-14400000</v>
      </c>
      <c r="BV14" t="s">
        <v>265</v>
      </c>
      <c r="BW14">
        <v>2636.21</v>
      </c>
      <c r="BX14">
        <v>1524685280</v>
      </c>
      <c r="BY14">
        <v>1.6499022999999999</v>
      </c>
      <c r="BZ14">
        <v>2634.92</v>
      </c>
      <c r="CA14">
        <v>2645.3</v>
      </c>
      <c r="CB14">
        <v>2612.67</v>
      </c>
      <c r="CC14">
        <v>1723964524</v>
      </c>
      <c r="CD14" t="b">
        <v>0</v>
      </c>
      <c r="CE14" t="b">
        <v>0</v>
      </c>
      <c r="CF14" t="s">
        <v>271</v>
      </c>
      <c r="CG14" t="s">
        <v>263</v>
      </c>
      <c r="CH14">
        <v>0</v>
      </c>
      <c r="CI14">
        <v>2634.56</v>
      </c>
      <c r="CJ14">
        <v>2636.11</v>
      </c>
      <c r="CK14">
        <v>2636.81</v>
      </c>
      <c r="CL14">
        <v>0</v>
      </c>
      <c r="CM14">
        <v>0</v>
      </c>
      <c r="CN14" t="s">
        <v>264</v>
      </c>
      <c r="CO14" t="s">
        <v>263</v>
      </c>
      <c r="CP14">
        <v>3718761612</v>
      </c>
      <c r="CQ14">
        <v>3299950000</v>
      </c>
      <c r="CR14">
        <v>283.49</v>
      </c>
      <c r="CS14">
        <v>0.12049457399999999</v>
      </c>
      <c r="CT14" t="s">
        <v>262</v>
      </c>
      <c r="CU14">
        <v>-236.66015999999999</v>
      </c>
      <c r="CV14">
        <v>-8.2377605000000007E-2</v>
      </c>
      <c r="CW14">
        <v>2352.7199999999998</v>
      </c>
      <c r="CX14">
        <v>2872.87</v>
      </c>
      <c r="CY14" t="s">
        <v>116</v>
      </c>
      <c r="CZ14">
        <v>6.2625340000000002E-2</v>
      </c>
      <c r="DA14" t="s">
        <v>275</v>
      </c>
      <c r="DB14">
        <v>2</v>
      </c>
      <c r="DC14" t="s">
        <v>234</v>
      </c>
      <c r="DD14" t="s">
        <v>108</v>
      </c>
    </row>
    <row r="15" spans="1:122" x14ac:dyDescent="0.25">
      <c r="A15">
        <v>12</v>
      </c>
      <c r="B15" s="21" t="s">
        <v>81</v>
      </c>
      <c r="C15" t="str">
        <f t="shared" ca="1" si="0"/>
        <v>International Business Machines</v>
      </c>
      <c r="D15" s="17">
        <f t="shared" ca="1" si="6"/>
        <v>43215.653703703705</v>
      </c>
      <c r="E15">
        <f t="shared" ca="1" si="7"/>
        <v>145.5925</v>
      </c>
      <c r="F15" t="str">
        <f t="shared" ca="1" si="1"/>
        <v>NYQ</v>
      </c>
      <c r="G15" t="str">
        <f t="shared" ca="1" si="1"/>
        <v>NYSE</v>
      </c>
      <c r="H15" t="str">
        <f t="shared" ca="1" si="1"/>
        <v>Nasdaq Real Time Price</v>
      </c>
      <c r="J15">
        <f t="shared" ca="1" si="9"/>
        <v>145.5925</v>
      </c>
      <c r="K15">
        <f t="shared" ca="1" si="9"/>
        <v>145.79</v>
      </c>
      <c r="L15">
        <f t="shared" ca="1" si="9"/>
        <v>146</v>
      </c>
      <c r="M15">
        <f t="shared" ca="1" si="9"/>
        <v>144.12</v>
      </c>
      <c r="N15">
        <f t="shared" ca="1" si="9"/>
        <v>3476833</v>
      </c>
      <c r="O15">
        <f t="shared" ca="1" si="9"/>
        <v>3.2501219999999997E-2</v>
      </c>
      <c r="P15">
        <f t="shared" ca="1" si="9"/>
        <v>2.2328403E-2</v>
      </c>
      <c r="Q15">
        <f t="shared" ca="1" si="9"/>
        <v>145.56</v>
      </c>
      <c r="R15">
        <f t="shared" ca="1" si="9"/>
        <v>19.079000000000001</v>
      </c>
      <c r="S15">
        <f t="shared" ca="1" si="9"/>
        <v>7.6310339999999997</v>
      </c>
      <c r="T15">
        <f t="shared" ca="1" si="9"/>
        <v>921168000</v>
      </c>
      <c r="U15" s="32">
        <f t="shared" ca="1" si="9"/>
        <v>134115147776</v>
      </c>
      <c r="V15">
        <f t="shared" ca="1" si="9"/>
        <v>5.9</v>
      </c>
      <c r="W15">
        <f t="shared" ca="1" si="9"/>
        <v>4.0533114000000002E-2</v>
      </c>
      <c r="X15" s="17">
        <f t="shared" ca="1" si="8"/>
        <v>43169</v>
      </c>
      <c r="Y15">
        <f t="shared" ca="1" si="10"/>
        <v>10.303786000000001</v>
      </c>
      <c r="Z15">
        <f t="shared" ca="1" si="10"/>
        <v>23.731459000000001</v>
      </c>
      <c r="AA15">
        <f t="shared" ca="1" si="10"/>
        <v>14.13</v>
      </c>
      <c r="AB15">
        <f t="shared" ca="1" si="10"/>
        <v>6.1349999999999998</v>
      </c>
      <c r="AC15">
        <f t="shared" ca="1" si="10"/>
        <v>5157587</v>
      </c>
      <c r="AD15">
        <f t="shared" ca="1" si="10"/>
        <v>8761971</v>
      </c>
      <c r="AE15">
        <f t="shared" ca="1" si="10"/>
        <v>171.13</v>
      </c>
      <c r="AF15">
        <f t="shared" ca="1" si="10"/>
        <v>-25.537506</v>
      </c>
      <c r="AG15">
        <f t="shared" ca="1" si="10"/>
        <v>-0.14922869</v>
      </c>
      <c r="AH15">
        <f t="shared" ca="1" si="10"/>
        <v>139.13</v>
      </c>
      <c r="AI15">
        <f t="shared" ca="1" si="11"/>
        <v>6.4624940000000004</v>
      </c>
      <c r="AJ15">
        <f t="shared" ca="1" si="11"/>
        <v>4.6449320000000002E-2</v>
      </c>
      <c r="AK15" t="str">
        <f t="shared" ca="1" si="11"/>
        <v>139.13 - 171.13</v>
      </c>
      <c r="AL15">
        <f t="shared" ca="1" si="11"/>
        <v>155.08602999999999</v>
      </c>
      <c r="AM15">
        <f t="shared" ca="1" si="11"/>
        <v>-9.4935299999999998</v>
      </c>
      <c r="AN15">
        <f t="shared" ca="1" si="11"/>
        <v>-6.1214606999999997E-2</v>
      </c>
      <c r="AO15">
        <f t="shared" ca="1" si="11"/>
        <v>145.88</v>
      </c>
      <c r="AP15">
        <f t="shared" ca="1" si="11"/>
        <v>3</v>
      </c>
      <c r="AQ15">
        <f t="shared" ca="1" si="11"/>
        <v>145.87</v>
      </c>
      <c r="AR15">
        <f t="shared" ca="1" si="11"/>
        <v>1</v>
      </c>
      <c r="AZ15">
        <f t="shared" ca="1" si="5"/>
        <v>1524685280</v>
      </c>
      <c r="BA15">
        <f t="shared" ca="1" si="5"/>
        <v>1520640000</v>
      </c>
      <c r="BB15">
        <f t="shared" ca="1" si="5"/>
        <v>-14400000</v>
      </c>
    </row>
    <row r="16" spans="1:122" x14ac:dyDescent="0.25">
      <c r="A16">
        <v>13</v>
      </c>
      <c r="B16" s="21" t="s">
        <v>83</v>
      </c>
      <c r="C16" t="str">
        <f t="shared" ca="1" si="0"/>
        <v>Walt Disney Company (The)</v>
      </c>
      <c r="D16" s="17">
        <f t="shared" ca="1" si="6"/>
        <v>43215.653564814813</v>
      </c>
      <c r="E16">
        <f t="shared" ca="1" si="7"/>
        <v>101.045</v>
      </c>
      <c r="F16" t="str">
        <f t="shared" ca="1" si="1"/>
        <v>NYQ</v>
      </c>
      <c r="G16" t="str">
        <f t="shared" ca="1" si="1"/>
        <v>NYSE</v>
      </c>
      <c r="H16" t="str">
        <f t="shared" ca="1" si="1"/>
        <v>Nasdaq Real Time Price</v>
      </c>
      <c r="J16">
        <f t="shared" ca="1" si="9"/>
        <v>101.045</v>
      </c>
      <c r="K16">
        <f t="shared" ca="1" si="9"/>
        <v>99.5</v>
      </c>
      <c r="L16">
        <f t="shared" ca="1" si="9"/>
        <v>101.49</v>
      </c>
      <c r="M16">
        <f t="shared" ca="1" si="9"/>
        <v>99.05</v>
      </c>
      <c r="N16">
        <f t="shared" ca="1" si="9"/>
        <v>6283714</v>
      </c>
      <c r="O16">
        <f t="shared" ca="1" si="9"/>
        <v>1.5849991000000001</v>
      </c>
      <c r="P16">
        <f t="shared" ca="1" si="9"/>
        <v>1.5936044</v>
      </c>
      <c r="Q16">
        <f t="shared" ca="1" si="9"/>
        <v>99.46</v>
      </c>
      <c r="R16">
        <f t="shared" ca="1" si="9"/>
        <v>28.859000000000002</v>
      </c>
      <c r="S16">
        <f t="shared" ca="1" si="9"/>
        <v>3.5013342000000001</v>
      </c>
      <c r="T16">
        <f t="shared" ca="1" si="9"/>
        <v>1503680000</v>
      </c>
      <c r="U16" s="32">
        <f t="shared" ca="1" si="9"/>
        <v>151939350528</v>
      </c>
      <c r="V16">
        <f t="shared" ca="1" si="9"/>
        <v>1.62</v>
      </c>
      <c r="W16">
        <f t="shared" ca="1" si="9"/>
        <v>1.6287955E-2</v>
      </c>
      <c r="X16" s="17">
        <f t="shared" ca="1" si="8"/>
        <v>43111</v>
      </c>
      <c r="Y16">
        <f t="shared" ca="1" si="10"/>
        <v>13.526773</v>
      </c>
      <c r="Z16">
        <f t="shared" ca="1" si="10"/>
        <v>14.412352</v>
      </c>
      <c r="AA16">
        <f t="shared" ca="1" si="10"/>
        <v>7.47</v>
      </c>
      <c r="AB16">
        <f t="shared" ca="1" si="10"/>
        <v>7.0110000000000001</v>
      </c>
      <c r="AC16">
        <f t="shared" ca="1" si="10"/>
        <v>8174806</v>
      </c>
      <c r="AD16">
        <f t="shared" ca="1" si="10"/>
        <v>7337571</v>
      </c>
      <c r="AE16">
        <f t="shared" ca="1" si="10"/>
        <v>116.1</v>
      </c>
      <c r="AF16">
        <f t="shared" ca="1" si="10"/>
        <v>-15.055</v>
      </c>
      <c r="AG16">
        <f t="shared" ca="1" si="10"/>
        <v>-0.1296727</v>
      </c>
      <c r="AH16">
        <f t="shared" ca="1" si="10"/>
        <v>96.2</v>
      </c>
      <c r="AI16">
        <f t="shared" ca="1" si="11"/>
        <v>4.8450009999999999</v>
      </c>
      <c r="AJ16">
        <f t="shared" ca="1" si="11"/>
        <v>5.036384E-2</v>
      </c>
      <c r="AK16" t="str">
        <f t="shared" ca="1" si="11"/>
        <v>96.2 - 116.1</v>
      </c>
      <c r="AL16">
        <f t="shared" ca="1" si="11"/>
        <v>104.258675</v>
      </c>
      <c r="AM16">
        <f t="shared" ca="1" si="11"/>
        <v>-3.2136765</v>
      </c>
      <c r="AN16">
        <f t="shared" ca="1" si="11"/>
        <v>-3.0824067E-2</v>
      </c>
      <c r="AO16">
        <f t="shared" ca="1" si="11"/>
        <v>101.21</v>
      </c>
      <c r="AP16">
        <f t="shared" ca="1" si="11"/>
        <v>8</v>
      </c>
      <c r="AQ16">
        <f t="shared" ca="1" si="11"/>
        <v>101.19</v>
      </c>
      <c r="AR16">
        <f t="shared" ca="1" si="11"/>
        <v>4</v>
      </c>
      <c r="AZ16">
        <f t="shared" ca="1" si="5"/>
        <v>1524685268</v>
      </c>
      <c r="BA16">
        <f t="shared" ca="1" si="5"/>
        <v>1515628800</v>
      </c>
      <c r="BB16">
        <f t="shared" ca="1" si="5"/>
        <v>-14400000</v>
      </c>
    </row>
    <row r="17" spans="1:128" x14ac:dyDescent="0.25">
      <c r="A17">
        <v>14</v>
      </c>
      <c r="B17" s="21" t="s">
        <v>84</v>
      </c>
      <c r="C17" t="str">
        <f t="shared" ca="1" si="0"/>
        <v>General Mills</v>
      </c>
      <c r="D17" s="17">
        <f t="shared" ca="1" si="6"/>
        <v>43215.653738425928</v>
      </c>
      <c r="E17">
        <f t="shared" ca="1" si="7"/>
        <v>44.09</v>
      </c>
      <c r="F17" t="str">
        <f t="shared" ca="1" si="1"/>
        <v>NYQ</v>
      </c>
      <c r="G17" t="str">
        <f t="shared" ca="1" si="1"/>
        <v/>
      </c>
      <c r="H17" t="str">
        <f t="shared" ca="1" si="1"/>
        <v>Nasdaq Real Time Price</v>
      </c>
      <c r="J17">
        <f t="shared" ca="1" si="9"/>
        <v>44.09</v>
      </c>
      <c r="K17">
        <f t="shared" ca="1" si="9"/>
        <v>44.34</v>
      </c>
      <c r="L17">
        <f t="shared" ca="1" si="9"/>
        <v>44.73</v>
      </c>
      <c r="M17">
        <f t="shared" ca="1" si="9"/>
        <v>43.895000000000003</v>
      </c>
      <c r="N17">
        <f t="shared" ca="1" si="9"/>
        <v>4155965</v>
      </c>
      <c r="O17">
        <f t="shared" ca="1" si="9"/>
        <v>-0.27999878</v>
      </c>
      <c r="P17" t="str">
        <f t="shared" ca="1" si="9"/>
        <v/>
      </c>
      <c r="Q17" t="str">
        <f t="shared" ca="1" si="9"/>
        <v/>
      </c>
      <c r="R17">
        <f t="shared" ca="1" si="9"/>
        <v>8.7100000000000009</v>
      </c>
      <c r="S17">
        <f t="shared" ca="1" si="9"/>
        <v>5.061998</v>
      </c>
      <c r="T17">
        <f t="shared" ca="1" si="9"/>
        <v>592889984</v>
      </c>
      <c r="U17" s="32">
        <f t="shared" ca="1" si="9"/>
        <v>26140520448</v>
      </c>
      <c r="V17">
        <f t="shared" ca="1" si="9"/>
        <v>1.95</v>
      </c>
      <c r="W17">
        <f t="shared" ca="1" si="9"/>
        <v>4.3948617000000002E-2</v>
      </c>
      <c r="X17" s="17">
        <f t="shared" ca="1" si="8"/>
        <v>43221</v>
      </c>
      <c r="Y17">
        <f t="shared" ca="1" si="10"/>
        <v>13.864779</v>
      </c>
      <c r="Z17">
        <f t="shared" ca="1" si="10"/>
        <v>11.795078</v>
      </c>
      <c r="AA17">
        <f t="shared" ca="1" si="10"/>
        <v>3.18</v>
      </c>
      <c r="AB17">
        <f t="shared" ca="1" si="10"/>
        <v>3.738</v>
      </c>
      <c r="AC17">
        <f t="shared" ca="1" si="10"/>
        <v>6083624</v>
      </c>
      <c r="AD17">
        <f t="shared" ca="1" si="10"/>
        <v>5217157</v>
      </c>
      <c r="AE17">
        <f t="shared" ca="1" si="10"/>
        <v>60.69</v>
      </c>
      <c r="AF17">
        <f t="shared" ca="1" si="10"/>
        <v>-16.599997999999999</v>
      </c>
      <c r="AG17">
        <f t="shared" ca="1" si="10"/>
        <v>-0.27352115999999999</v>
      </c>
      <c r="AH17">
        <f t="shared" ca="1" si="10"/>
        <v>43.18</v>
      </c>
      <c r="AI17">
        <f t="shared" ca="1" si="11"/>
        <v>0.90999985000000005</v>
      </c>
      <c r="AJ17">
        <f t="shared" ca="1" si="11"/>
        <v>2.1074566999999999E-2</v>
      </c>
      <c r="AK17" t="str">
        <f t="shared" ca="1" si="11"/>
        <v>43.18 - 60.69</v>
      </c>
      <c r="AL17">
        <f t="shared" ca="1" si="11"/>
        <v>53.070219999999999</v>
      </c>
      <c r="AM17">
        <f t="shared" ca="1" si="11"/>
        <v>-8.9802210000000002</v>
      </c>
      <c r="AN17">
        <f t="shared" ca="1" si="11"/>
        <v>-0.16921394000000001</v>
      </c>
      <c r="AO17" t="str">
        <f t="shared" ca="1" si="11"/>
        <v/>
      </c>
      <c r="AP17" t="str">
        <f t="shared" ca="1" si="11"/>
        <v/>
      </c>
      <c r="AQ17" t="str">
        <f t="shared" ca="1" si="11"/>
        <v/>
      </c>
      <c r="AR17" t="str">
        <f t="shared" ca="1" si="11"/>
        <v/>
      </c>
      <c r="AZ17">
        <f t="shared" ca="1" si="5"/>
        <v>1524685283</v>
      </c>
      <c r="BA17">
        <f t="shared" ca="1" si="5"/>
        <v>1525132800</v>
      </c>
      <c r="BB17">
        <f t="shared" ca="1" si="5"/>
        <v>-14400000</v>
      </c>
      <c r="BG17" t="s">
        <v>181</v>
      </c>
      <c r="BH17" t="s">
        <v>175</v>
      </c>
      <c r="BI17" t="s">
        <v>182</v>
      </c>
      <c r="BJ17" t="s">
        <v>125</v>
      </c>
      <c r="BK17" t="s">
        <v>161</v>
      </c>
      <c r="BL17" t="s">
        <v>135</v>
      </c>
      <c r="BM17" t="s">
        <v>133</v>
      </c>
      <c r="BN17" t="s">
        <v>170</v>
      </c>
      <c r="BO17" t="s">
        <v>171</v>
      </c>
      <c r="BP17" t="s">
        <v>172</v>
      </c>
      <c r="BQ17" t="s">
        <v>153</v>
      </c>
      <c r="BR17" t="s">
        <v>154</v>
      </c>
      <c r="BS17" t="s">
        <v>155</v>
      </c>
      <c r="BT17" t="s">
        <v>136</v>
      </c>
      <c r="BU17" t="s">
        <v>140</v>
      </c>
      <c r="BV17" t="s">
        <v>134</v>
      </c>
      <c r="BW17" t="s">
        <v>184</v>
      </c>
      <c r="BX17" t="s">
        <v>168</v>
      </c>
      <c r="BY17" t="s">
        <v>169</v>
      </c>
      <c r="BZ17" t="s">
        <v>160</v>
      </c>
      <c r="CA17" t="s">
        <v>166</v>
      </c>
      <c r="CB17" t="s">
        <v>186</v>
      </c>
      <c r="CC17" t="s">
        <v>178</v>
      </c>
      <c r="CD17" t="s">
        <v>131</v>
      </c>
      <c r="CE17" t="s">
        <v>183</v>
      </c>
      <c r="CF17" t="s">
        <v>132</v>
      </c>
      <c r="CG17" t="s">
        <v>158</v>
      </c>
      <c r="CH17" t="s">
        <v>156</v>
      </c>
      <c r="CI17" t="s">
        <v>159</v>
      </c>
      <c r="CJ17" t="s">
        <v>157</v>
      </c>
      <c r="CK17" t="s">
        <v>179</v>
      </c>
      <c r="CL17" t="s">
        <v>174</v>
      </c>
      <c r="CM17" t="s">
        <v>176</v>
      </c>
      <c r="CN17" t="s">
        <v>173</v>
      </c>
      <c r="CO17" t="s">
        <v>144</v>
      </c>
      <c r="CP17" t="s">
        <v>145</v>
      </c>
      <c r="CQ17" t="s">
        <v>124</v>
      </c>
      <c r="CR17" t="s">
        <v>123</v>
      </c>
      <c r="CS17" t="s">
        <v>177</v>
      </c>
      <c r="CT17" t="s">
        <v>167</v>
      </c>
      <c r="CU17" t="s">
        <v>180</v>
      </c>
      <c r="CV17" t="s">
        <v>150</v>
      </c>
      <c r="CW17" t="s">
        <v>151</v>
      </c>
      <c r="CX17" t="s">
        <v>152</v>
      </c>
      <c r="CY17" t="s">
        <v>147</v>
      </c>
      <c r="CZ17" t="s">
        <v>148</v>
      </c>
      <c r="DA17" t="s">
        <v>149</v>
      </c>
      <c r="DB17" t="s">
        <v>146</v>
      </c>
      <c r="DC17" t="s">
        <v>141</v>
      </c>
      <c r="DD17" t="s">
        <v>143</v>
      </c>
      <c r="DE17" t="s">
        <v>142</v>
      </c>
      <c r="DF17" t="s">
        <v>106</v>
      </c>
      <c r="DG17" t="s">
        <v>105</v>
      </c>
      <c r="DH17" t="s">
        <v>130</v>
      </c>
      <c r="DI17" t="s">
        <v>126</v>
      </c>
      <c r="DJ17" t="s">
        <v>127</v>
      </c>
      <c r="DK17" t="s">
        <v>128</v>
      </c>
      <c r="DL17" t="s">
        <v>129</v>
      </c>
      <c r="DM17" t="s">
        <v>185</v>
      </c>
      <c r="DN17" t="s">
        <v>165</v>
      </c>
    </row>
    <row r="18" spans="1:128" x14ac:dyDescent="0.25">
      <c r="A18">
        <v>15</v>
      </c>
      <c r="B18" s="21" t="s">
        <v>85</v>
      </c>
      <c r="C18" t="str">
        <f t="shared" ca="1" si="0"/>
        <v>Walmart Inc.</v>
      </c>
      <c r="D18" s="17">
        <f t="shared" ca="1" si="6"/>
        <v>43215.653668981482</v>
      </c>
      <c r="E18">
        <f t="shared" ca="1" si="7"/>
        <v>87.23</v>
      </c>
      <c r="F18" t="str">
        <f t="shared" ca="1" si="1"/>
        <v>NYQ</v>
      </c>
      <c r="G18" t="str">
        <f t="shared" ca="1" si="1"/>
        <v>NYSE</v>
      </c>
      <c r="H18" t="str">
        <f t="shared" ca="1" si="1"/>
        <v>Nasdaq Real Time Price</v>
      </c>
      <c r="J18">
        <f t="shared" ca="1" si="9"/>
        <v>87.23</v>
      </c>
      <c r="K18">
        <f t="shared" ca="1" si="9"/>
        <v>86.32</v>
      </c>
      <c r="L18">
        <f t="shared" ca="1" si="9"/>
        <v>87.7</v>
      </c>
      <c r="M18">
        <f t="shared" ca="1" si="9"/>
        <v>85.9</v>
      </c>
      <c r="N18">
        <f t="shared" ca="1" si="9"/>
        <v>4824395</v>
      </c>
      <c r="O18">
        <f t="shared" ca="1" si="9"/>
        <v>0.70000459999999998</v>
      </c>
      <c r="P18">
        <f t="shared" ca="1" si="9"/>
        <v>0.80897330000000001</v>
      </c>
      <c r="Q18">
        <f t="shared" ca="1" si="9"/>
        <v>86.1</v>
      </c>
      <c r="R18">
        <f t="shared" ca="1" si="9"/>
        <v>26.378</v>
      </c>
      <c r="S18">
        <f t="shared" ca="1" si="9"/>
        <v>3.3069223999999999</v>
      </c>
      <c r="T18">
        <f t="shared" ca="1" si="9"/>
        <v>2950700032</v>
      </c>
      <c r="U18" s="32">
        <f t="shared" ca="1" si="9"/>
        <v>257389576192</v>
      </c>
      <c r="V18">
        <f t="shared" ca="1" si="9"/>
        <v>2.04</v>
      </c>
      <c r="W18">
        <f t="shared" ca="1" si="9"/>
        <v>2.3693379000000001E-2</v>
      </c>
      <c r="X18" s="17">
        <f t="shared" ca="1" si="8"/>
        <v>43255</v>
      </c>
      <c r="Y18">
        <f t="shared" ca="1" si="10"/>
        <v>16.615238000000002</v>
      </c>
      <c r="Z18">
        <f t="shared" ca="1" si="10"/>
        <v>26.594512999999999</v>
      </c>
      <c r="AA18">
        <f t="shared" ca="1" si="10"/>
        <v>5.25</v>
      </c>
      <c r="AB18">
        <f t="shared" ca="1" si="10"/>
        <v>3.28</v>
      </c>
      <c r="AC18">
        <f t="shared" ca="1" si="10"/>
        <v>11938896</v>
      </c>
      <c r="AD18">
        <f t="shared" ca="1" si="10"/>
        <v>7200300</v>
      </c>
      <c r="AE18">
        <f t="shared" ca="1" si="10"/>
        <v>109.98</v>
      </c>
      <c r="AF18">
        <f t="shared" ca="1" si="10"/>
        <v>-22.75</v>
      </c>
      <c r="AG18">
        <f t="shared" ca="1" si="10"/>
        <v>-0.20685579000000001</v>
      </c>
      <c r="AH18">
        <f t="shared" ca="1" si="10"/>
        <v>73.13</v>
      </c>
      <c r="AI18">
        <f t="shared" ca="1" si="11"/>
        <v>14.100006</v>
      </c>
      <c r="AJ18">
        <f t="shared" ca="1" si="11"/>
        <v>0.19280742000000001</v>
      </c>
      <c r="AK18" t="str">
        <f t="shared" ca="1" si="11"/>
        <v>73.13 - 109.98</v>
      </c>
      <c r="AL18">
        <f t="shared" ca="1" si="11"/>
        <v>93.734480000000005</v>
      </c>
      <c r="AM18">
        <f t="shared" ca="1" si="11"/>
        <v>-6.5044785000000003</v>
      </c>
      <c r="AN18">
        <f t="shared" ca="1" si="11"/>
        <v>-6.9392590000000004E-2</v>
      </c>
      <c r="AO18">
        <f t="shared" ca="1" si="11"/>
        <v>87.34</v>
      </c>
      <c r="AP18">
        <f t="shared" ca="1" si="11"/>
        <v>4</v>
      </c>
      <c r="AQ18">
        <f t="shared" ca="1" si="11"/>
        <v>87.33</v>
      </c>
      <c r="AR18">
        <f t="shared" ca="1" si="11"/>
        <v>1</v>
      </c>
      <c r="AZ18">
        <f t="shared" ca="1" si="5"/>
        <v>1524685277</v>
      </c>
      <c r="BA18">
        <f t="shared" ca="1" si="5"/>
        <v>1528070400</v>
      </c>
      <c r="BB18">
        <f t="shared" ca="1" si="5"/>
        <v>-14400000</v>
      </c>
      <c r="BG18" t="s">
        <v>187</v>
      </c>
      <c r="BH18" t="s">
        <v>114</v>
      </c>
      <c r="BI18" t="s">
        <v>118</v>
      </c>
      <c r="BJ18" t="s">
        <v>194</v>
      </c>
      <c r="BK18" t="s">
        <v>107</v>
      </c>
      <c r="BL18">
        <v>748347</v>
      </c>
      <c r="BM18">
        <v>211692.39</v>
      </c>
      <c r="BN18">
        <v>301478.2</v>
      </c>
      <c r="BO18">
        <v>-5978.1875</v>
      </c>
      <c r="BP18">
        <v>-1.9829586E-2</v>
      </c>
      <c r="BQ18">
        <v>297043.06</v>
      </c>
      <c r="BR18">
        <v>-1543.0625</v>
      </c>
      <c r="BS18">
        <v>-5.1947436000000001E-3</v>
      </c>
      <c r="BT18">
        <v>485866995712</v>
      </c>
      <c r="BU18">
        <v>20.303834999999999</v>
      </c>
      <c r="BV18">
        <v>1.3958933</v>
      </c>
      <c r="BW18">
        <v>15</v>
      </c>
      <c r="BX18" t="s">
        <v>110</v>
      </c>
      <c r="BY18" t="s">
        <v>111</v>
      </c>
      <c r="BZ18">
        <v>-14400000</v>
      </c>
      <c r="CA18" t="b">
        <v>0</v>
      </c>
      <c r="CB18" t="b">
        <v>1</v>
      </c>
      <c r="CC18" t="s">
        <v>271</v>
      </c>
      <c r="CD18">
        <v>0</v>
      </c>
      <c r="CE18" t="s">
        <v>276</v>
      </c>
      <c r="CF18">
        <v>295500</v>
      </c>
      <c r="CG18">
        <v>295400</v>
      </c>
      <c r="CH18">
        <v>295680</v>
      </c>
      <c r="CI18">
        <v>1</v>
      </c>
      <c r="CJ18">
        <v>1</v>
      </c>
      <c r="CK18" t="s">
        <v>266</v>
      </c>
      <c r="CL18" t="s">
        <v>113</v>
      </c>
      <c r="CM18" t="s">
        <v>267</v>
      </c>
      <c r="CN18" t="s">
        <v>107</v>
      </c>
      <c r="CO18">
        <v>370</v>
      </c>
      <c r="CP18">
        <v>171</v>
      </c>
      <c r="CQ18" t="s">
        <v>109</v>
      </c>
      <c r="CR18" t="s">
        <v>267</v>
      </c>
      <c r="CS18" t="s">
        <v>116</v>
      </c>
      <c r="CT18">
        <v>0</v>
      </c>
      <c r="CU18">
        <v>2</v>
      </c>
      <c r="CV18">
        <v>53320</v>
      </c>
      <c r="CW18">
        <v>0.22016682000000001</v>
      </c>
      <c r="CX18" t="s">
        <v>268</v>
      </c>
      <c r="CY18">
        <v>-30850</v>
      </c>
      <c r="CZ18">
        <v>-9.4530409999999995E-2</v>
      </c>
      <c r="DA18">
        <v>242180</v>
      </c>
      <c r="DB18">
        <v>326350</v>
      </c>
      <c r="DC18">
        <v>10.814057</v>
      </c>
      <c r="DD18">
        <v>27325.544999999998</v>
      </c>
      <c r="DE18">
        <v>14553.9</v>
      </c>
      <c r="DF18">
        <v>295500</v>
      </c>
      <c r="DG18">
        <v>1524684747</v>
      </c>
      <c r="DH18">
        <v>0</v>
      </c>
      <c r="DI18">
        <v>294660</v>
      </c>
      <c r="DJ18">
        <v>296010</v>
      </c>
      <c r="DK18">
        <v>291994.88</v>
      </c>
      <c r="DL18">
        <v>225</v>
      </c>
      <c r="DM18" t="s">
        <v>235</v>
      </c>
      <c r="DN18" t="s">
        <v>108</v>
      </c>
    </row>
    <row r="19" spans="1:128" x14ac:dyDescent="0.25">
      <c r="A19">
        <v>16</v>
      </c>
      <c r="B19" s="21"/>
      <c r="C19" t="str">
        <f t="shared" ca="1" si="0"/>
        <v/>
      </c>
      <c r="D19" s="17" t="str">
        <f t="shared" ca="1" si="6"/>
        <v/>
      </c>
      <c r="E19" t="str">
        <f t="shared" ca="1" si="7"/>
        <v/>
      </c>
      <c r="F19" t="str">
        <f t="shared" ca="1" si="1"/>
        <v/>
      </c>
      <c r="G19" t="str">
        <f t="shared" ca="1" si="1"/>
        <v/>
      </c>
      <c r="H19" t="str">
        <f t="shared" ca="1" si="1"/>
        <v/>
      </c>
      <c r="J19" t="str">
        <f t="shared" ca="1" si="9"/>
        <v/>
      </c>
      <c r="K19" t="str">
        <f t="shared" ca="1" si="9"/>
        <v/>
      </c>
      <c r="L19" t="str">
        <f t="shared" ca="1" si="9"/>
        <v/>
      </c>
      <c r="M19" t="str">
        <f t="shared" ca="1" si="9"/>
        <v/>
      </c>
      <c r="N19" t="str">
        <f t="shared" ca="1" si="9"/>
        <v/>
      </c>
      <c r="O19" t="str">
        <f t="shared" ca="1" si="9"/>
        <v/>
      </c>
      <c r="P19" t="str">
        <f t="shared" ca="1" si="9"/>
        <v/>
      </c>
      <c r="Q19" t="str">
        <f t="shared" ca="1" si="9"/>
        <v/>
      </c>
      <c r="R19" t="str">
        <f t="shared" ca="1" si="9"/>
        <v/>
      </c>
      <c r="S19" t="str">
        <f t="shared" ca="1" si="9"/>
        <v/>
      </c>
      <c r="T19" t="str">
        <f t="shared" ca="1" si="9"/>
        <v/>
      </c>
      <c r="U19" s="32" t="str">
        <f t="shared" ca="1" si="9"/>
        <v/>
      </c>
      <c r="V19" t="str">
        <f t="shared" ca="1" si="9"/>
        <v/>
      </c>
      <c r="W19" t="str">
        <f t="shared" ca="1" si="9"/>
        <v/>
      </c>
      <c r="X19" s="17" t="str">
        <f t="shared" ca="1" si="8"/>
        <v/>
      </c>
      <c r="Y19" t="str">
        <f t="shared" ca="1" si="10"/>
        <v/>
      </c>
      <c r="Z19" t="str">
        <f t="shared" ca="1" si="10"/>
        <v/>
      </c>
      <c r="AA19" t="str">
        <f t="shared" ca="1" si="10"/>
        <v/>
      </c>
      <c r="AB19" t="str">
        <f t="shared" ca="1" si="10"/>
        <v/>
      </c>
      <c r="AC19" t="str">
        <f t="shared" ca="1" si="10"/>
        <v/>
      </c>
      <c r="AD19" t="str">
        <f t="shared" ca="1" si="10"/>
        <v/>
      </c>
      <c r="AE19" t="str">
        <f t="shared" ca="1" si="10"/>
        <v/>
      </c>
      <c r="AF19" t="str">
        <f t="shared" ca="1" si="10"/>
        <v/>
      </c>
      <c r="AG19" t="str">
        <f t="shared" ca="1" si="10"/>
        <v/>
      </c>
      <c r="AH19" t="str">
        <f t="shared" ca="1" si="10"/>
        <v/>
      </c>
      <c r="AI19" t="str">
        <f t="shared" ca="1" si="11"/>
        <v/>
      </c>
      <c r="AJ19" t="str">
        <f t="shared" ca="1" si="11"/>
        <v/>
      </c>
      <c r="AK19" t="str">
        <f t="shared" ca="1" si="11"/>
        <v/>
      </c>
      <c r="AL19" t="str">
        <f t="shared" ca="1" si="11"/>
        <v/>
      </c>
      <c r="AM19" t="str">
        <f t="shared" ca="1" si="11"/>
        <v/>
      </c>
      <c r="AN19" t="str">
        <f t="shared" ca="1" si="11"/>
        <v/>
      </c>
      <c r="AO19" t="str">
        <f t="shared" ca="1" si="11"/>
        <v/>
      </c>
      <c r="AP19" t="str">
        <f t="shared" ca="1" si="11"/>
        <v/>
      </c>
      <c r="AQ19" t="str">
        <f t="shared" ca="1" si="11"/>
        <v/>
      </c>
      <c r="AR19" t="str">
        <f t="shared" ca="1" si="11"/>
        <v/>
      </c>
      <c r="AZ19" t="str">
        <f t="shared" ca="1" si="5"/>
        <v/>
      </c>
      <c r="BA19" t="str">
        <f t="shared" ca="1" si="5"/>
        <v/>
      </c>
      <c r="BB19" t="str">
        <f t="shared" ca="1" si="5"/>
        <v/>
      </c>
    </row>
    <row r="20" spans="1:128" x14ac:dyDescent="0.25">
      <c r="A20">
        <v>17</v>
      </c>
      <c r="B20" s="21"/>
      <c r="C20" t="str">
        <f t="shared" ca="1" si="0"/>
        <v/>
      </c>
      <c r="D20" s="17" t="str">
        <f t="shared" ca="1" si="6"/>
        <v/>
      </c>
      <c r="E20" t="str">
        <f t="shared" ca="1" si="7"/>
        <v/>
      </c>
      <c r="F20" t="str">
        <f t="shared" ca="1" si="1"/>
        <v/>
      </c>
      <c r="G20" t="str">
        <f t="shared" ca="1" si="1"/>
        <v/>
      </c>
      <c r="H20" t="str">
        <f t="shared" ca="1" si="1"/>
        <v/>
      </c>
      <c r="J20" t="str">
        <f t="shared" ca="1" si="9"/>
        <v/>
      </c>
      <c r="K20" t="str">
        <f t="shared" ca="1" si="9"/>
        <v/>
      </c>
      <c r="L20" t="str">
        <f t="shared" ca="1" si="9"/>
        <v/>
      </c>
      <c r="M20" t="str">
        <f t="shared" ca="1" si="9"/>
        <v/>
      </c>
      <c r="N20" t="str">
        <f t="shared" ca="1" si="9"/>
        <v/>
      </c>
      <c r="O20" t="str">
        <f t="shared" ca="1" si="9"/>
        <v/>
      </c>
      <c r="P20" t="str">
        <f t="shared" ca="1" si="9"/>
        <v/>
      </c>
      <c r="Q20" t="str">
        <f t="shared" ca="1" si="9"/>
        <v/>
      </c>
      <c r="R20" t="str">
        <f t="shared" ca="1" si="9"/>
        <v/>
      </c>
      <c r="S20" t="str">
        <f t="shared" ca="1" si="9"/>
        <v/>
      </c>
      <c r="T20" t="str">
        <f t="shared" ca="1" si="9"/>
        <v/>
      </c>
      <c r="U20" s="32" t="str">
        <f t="shared" ca="1" si="9"/>
        <v/>
      </c>
      <c r="V20" t="str">
        <f t="shared" ca="1" si="9"/>
        <v/>
      </c>
      <c r="W20" t="str">
        <f t="shared" ca="1" si="9"/>
        <v/>
      </c>
      <c r="X20" s="17" t="str">
        <f t="shared" ca="1" si="8"/>
        <v/>
      </c>
      <c r="Y20" t="str">
        <f t="shared" ca="1" si="10"/>
        <v/>
      </c>
      <c r="Z20" t="str">
        <f t="shared" ca="1" si="10"/>
        <v/>
      </c>
      <c r="AA20" t="str">
        <f t="shared" ca="1" si="10"/>
        <v/>
      </c>
      <c r="AB20" t="str">
        <f t="shared" ca="1" si="10"/>
        <v/>
      </c>
      <c r="AC20" t="str">
        <f t="shared" ca="1" si="10"/>
        <v/>
      </c>
      <c r="AD20" t="str">
        <f t="shared" ca="1" si="10"/>
        <v/>
      </c>
      <c r="AE20" t="str">
        <f t="shared" ca="1" si="10"/>
        <v/>
      </c>
      <c r="AF20" t="str">
        <f t="shared" ca="1" si="10"/>
        <v/>
      </c>
      <c r="AG20" t="str">
        <f t="shared" ca="1" si="10"/>
        <v/>
      </c>
      <c r="AH20" t="str">
        <f t="shared" ca="1" si="10"/>
        <v/>
      </c>
      <c r="AI20" t="str">
        <f t="shared" ca="1" si="11"/>
        <v/>
      </c>
      <c r="AJ20" t="str">
        <f t="shared" ca="1" si="11"/>
        <v/>
      </c>
      <c r="AK20" t="str">
        <f t="shared" ca="1" si="11"/>
        <v/>
      </c>
      <c r="AL20" t="str">
        <f t="shared" ca="1" si="11"/>
        <v/>
      </c>
      <c r="AM20" t="str">
        <f t="shared" ca="1" si="11"/>
        <v/>
      </c>
      <c r="AN20" t="str">
        <f t="shared" ca="1" si="11"/>
        <v/>
      </c>
      <c r="AO20" t="str">
        <f t="shared" ca="1" si="11"/>
        <v/>
      </c>
      <c r="AP20" t="str">
        <f t="shared" ca="1" si="11"/>
        <v/>
      </c>
      <c r="AQ20" t="str">
        <f t="shared" ca="1" si="11"/>
        <v/>
      </c>
      <c r="AR20" t="str">
        <f t="shared" ca="1" si="11"/>
        <v/>
      </c>
      <c r="AZ20" t="str">
        <f t="shared" ca="1" si="5"/>
        <v/>
      </c>
      <c r="BA20" t="str">
        <f t="shared" ca="1" si="5"/>
        <v/>
      </c>
      <c r="BB20" t="str">
        <f t="shared" ca="1" si="5"/>
        <v/>
      </c>
    </row>
    <row r="21" spans="1:128" x14ac:dyDescent="0.25">
      <c r="A21">
        <v>18</v>
      </c>
      <c r="B21" s="21"/>
      <c r="C21" t="str">
        <f t="shared" ca="1" si="0"/>
        <v/>
      </c>
      <c r="D21" s="17" t="str">
        <f t="shared" ca="1" si="6"/>
        <v/>
      </c>
      <c r="E21" t="str">
        <f t="shared" ca="1" si="7"/>
        <v/>
      </c>
      <c r="F21" t="str">
        <f t="shared" ca="1" si="1"/>
        <v/>
      </c>
      <c r="G21" t="str">
        <f t="shared" ca="1" si="1"/>
        <v/>
      </c>
      <c r="H21" t="str">
        <f t="shared" ca="1" si="1"/>
        <v/>
      </c>
      <c r="J21" t="str">
        <f t="shared" ca="1" si="9"/>
        <v/>
      </c>
      <c r="K21" t="str">
        <f t="shared" ca="1" si="9"/>
        <v/>
      </c>
      <c r="L21" t="str">
        <f t="shared" ca="1" si="9"/>
        <v/>
      </c>
      <c r="M21" t="str">
        <f t="shared" ca="1" si="9"/>
        <v/>
      </c>
      <c r="N21" t="str">
        <f t="shared" ca="1" si="9"/>
        <v/>
      </c>
      <c r="O21" t="str">
        <f t="shared" ca="1" si="9"/>
        <v/>
      </c>
      <c r="P21" t="str">
        <f t="shared" ca="1" si="9"/>
        <v/>
      </c>
      <c r="Q21" t="str">
        <f t="shared" ca="1" si="9"/>
        <v/>
      </c>
      <c r="R21" t="str">
        <f t="shared" ca="1" si="9"/>
        <v/>
      </c>
      <c r="S21" t="str">
        <f t="shared" ca="1" si="9"/>
        <v/>
      </c>
      <c r="T21" t="str">
        <f t="shared" ca="1" si="9"/>
        <v/>
      </c>
      <c r="U21" s="32" t="str">
        <f t="shared" ca="1" si="9"/>
        <v/>
      </c>
      <c r="V21" t="str">
        <f t="shared" ca="1" si="9"/>
        <v/>
      </c>
      <c r="W21" t="str">
        <f t="shared" ca="1" si="9"/>
        <v/>
      </c>
      <c r="X21" s="17" t="str">
        <f t="shared" ca="1" si="8"/>
        <v/>
      </c>
      <c r="Y21" t="str">
        <f t="shared" ca="1" si="10"/>
        <v/>
      </c>
      <c r="Z21" t="str">
        <f t="shared" ca="1" si="10"/>
        <v/>
      </c>
      <c r="AA21" t="str">
        <f t="shared" ca="1" si="10"/>
        <v/>
      </c>
      <c r="AB21" t="str">
        <f t="shared" ca="1" si="10"/>
        <v/>
      </c>
      <c r="AC21" t="str">
        <f t="shared" ca="1" si="10"/>
        <v/>
      </c>
      <c r="AD21" t="str">
        <f t="shared" ca="1" si="10"/>
        <v/>
      </c>
      <c r="AE21" t="str">
        <f t="shared" ca="1" si="10"/>
        <v/>
      </c>
      <c r="AF21" t="str">
        <f t="shared" ca="1" si="10"/>
        <v/>
      </c>
      <c r="AG21" t="str">
        <f t="shared" ca="1" si="10"/>
        <v/>
      </c>
      <c r="AH21" t="str">
        <f t="shared" ca="1" si="10"/>
        <v/>
      </c>
      <c r="AI21" t="str">
        <f t="shared" ca="1" si="11"/>
        <v/>
      </c>
      <c r="AJ21" t="str">
        <f t="shared" ca="1" si="11"/>
        <v/>
      </c>
      <c r="AK21" t="str">
        <f t="shared" ca="1" si="11"/>
        <v/>
      </c>
      <c r="AL21" t="str">
        <f t="shared" ca="1" si="11"/>
        <v/>
      </c>
      <c r="AM21" t="str">
        <f t="shared" ca="1" si="11"/>
        <v/>
      </c>
      <c r="AN21" t="str">
        <f t="shared" ca="1" si="11"/>
        <v/>
      </c>
      <c r="AO21" t="str">
        <f t="shared" ca="1" si="11"/>
        <v/>
      </c>
      <c r="AP21" t="str">
        <f t="shared" ca="1" si="11"/>
        <v/>
      </c>
      <c r="AQ21" t="str">
        <f t="shared" ca="1" si="11"/>
        <v/>
      </c>
      <c r="AR21" t="str">
        <f t="shared" ca="1" si="11"/>
        <v/>
      </c>
      <c r="AZ21" t="str">
        <f t="shared" ca="1" si="5"/>
        <v/>
      </c>
      <c r="BA21" t="str">
        <f t="shared" ca="1" si="5"/>
        <v/>
      </c>
      <c r="BB21" t="str">
        <f t="shared" ca="1" si="5"/>
        <v/>
      </c>
      <c r="BG21" t="s">
        <v>181</v>
      </c>
      <c r="BH21" t="s">
        <v>175</v>
      </c>
      <c r="BI21" t="s">
        <v>182</v>
      </c>
      <c r="BJ21" t="s">
        <v>125</v>
      </c>
      <c r="BK21" t="s">
        <v>161</v>
      </c>
      <c r="BL21" t="s">
        <v>177</v>
      </c>
      <c r="BM21" t="s">
        <v>163</v>
      </c>
      <c r="BN21" t="s">
        <v>137</v>
      </c>
      <c r="BO21" t="s">
        <v>141</v>
      </c>
      <c r="BP21" t="s">
        <v>138</v>
      </c>
      <c r="BQ21" t="s">
        <v>143</v>
      </c>
      <c r="BR21" t="s">
        <v>142</v>
      </c>
      <c r="BS21" t="s">
        <v>135</v>
      </c>
      <c r="BT21" t="s">
        <v>133</v>
      </c>
      <c r="BU21" t="s">
        <v>170</v>
      </c>
      <c r="BV21" t="s">
        <v>171</v>
      </c>
      <c r="BW21" t="s">
        <v>172</v>
      </c>
      <c r="BX21" t="s">
        <v>153</v>
      </c>
      <c r="BY21" t="s">
        <v>154</v>
      </c>
      <c r="BZ21" t="s">
        <v>155</v>
      </c>
      <c r="CA21" t="s">
        <v>136</v>
      </c>
      <c r="CB21" t="s">
        <v>140</v>
      </c>
      <c r="CC21" t="s">
        <v>134</v>
      </c>
      <c r="CD21" t="s">
        <v>184</v>
      </c>
      <c r="CE21" t="s">
        <v>168</v>
      </c>
      <c r="CF21" t="s">
        <v>169</v>
      </c>
      <c r="CG21" t="s">
        <v>160</v>
      </c>
      <c r="CH21" t="s">
        <v>178</v>
      </c>
      <c r="CI21" t="s">
        <v>124</v>
      </c>
      <c r="CJ21" t="s">
        <v>167</v>
      </c>
      <c r="CK21" t="s">
        <v>123</v>
      </c>
      <c r="CL21" t="s">
        <v>180</v>
      </c>
      <c r="CM21" t="s">
        <v>166</v>
      </c>
      <c r="CN21" t="s">
        <v>186</v>
      </c>
      <c r="CO21" t="s">
        <v>131</v>
      </c>
      <c r="CP21" t="s">
        <v>183</v>
      </c>
      <c r="CQ21" t="s">
        <v>132</v>
      </c>
      <c r="CR21" t="s">
        <v>158</v>
      </c>
      <c r="CS21" t="s">
        <v>156</v>
      </c>
      <c r="CT21" t="s">
        <v>159</v>
      </c>
      <c r="CU21" t="s">
        <v>157</v>
      </c>
      <c r="CV21" t="s">
        <v>179</v>
      </c>
      <c r="CW21" t="s">
        <v>174</v>
      </c>
      <c r="CX21" t="s">
        <v>176</v>
      </c>
      <c r="CY21" t="s">
        <v>173</v>
      </c>
      <c r="CZ21" t="s">
        <v>144</v>
      </c>
      <c r="DA21" t="s">
        <v>145</v>
      </c>
      <c r="DB21" t="s">
        <v>150</v>
      </c>
      <c r="DC21" t="s">
        <v>151</v>
      </c>
      <c r="DD21" t="s">
        <v>152</v>
      </c>
      <c r="DE21" t="s">
        <v>147</v>
      </c>
      <c r="DF21" t="s">
        <v>148</v>
      </c>
      <c r="DG21" t="s">
        <v>149</v>
      </c>
      <c r="DH21" t="s">
        <v>146</v>
      </c>
      <c r="DI21" t="s">
        <v>139</v>
      </c>
      <c r="DJ21" t="s">
        <v>162</v>
      </c>
      <c r="DK21" t="s">
        <v>164</v>
      </c>
      <c r="DL21" t="s">
        <v>106</v>
      </c>
      <c r="DM21" t="s">
        <v>105</v>
      </c>
      <c r="DN21" t="s">
        <v>130</v>
      </c>
      <c r="DO21" t="s">
        <v>126</v>
      </c>
      <c r="DP21" t="s">
        <v>127</v>
      </c>
      <c r="DQ21" t="s">
        <v>128</v>
      </c>
      <c r="DR21" t="s">
        <v>129</v>
      </c>
      <c r="DS21" t="s">
        <v>185</v>
      </c>
      <c r="DT21" t="s">
        <v>165</v>
      </c>
      <c r="DU21" t="s">
        <v>166</v>
      </c>
      <c r="DV21" t="s">
        <v>186</v>
      </c>
      <c r="DW21" t="s">
        <v>185</v>
      </c>
      <c r="DX21" t="s">
        <v>165</v>
      </c>
    </row>
    <row r="22" spans="1:128" x14ac:dyDescent="0.25">
      <c r="A22">
        <v>19</v>
      </c>
      <c r="B22" s="21"/>
      <c r="C22" t="str">
        <f t="shared" ca="1" si="0"/>
        <v/>
      </c>
      <c r="D22" s="17" t="str">
        <f t="shared" ca="1" si="6"/>
        <v/>
      </c>
      <c r="E22" t="str">
        <f t="shared" ca="1" si="7"/>
        <v/>
      </c>
      <c r="F22" t="str">
        <f t="shared" ca="1" si="1"/>
        <v/>
      </c>
      <c r="G22" t="str">
        <f t="shared" ca="1" si="1"/>
        <v/>
      </c>
      <c r="H22" t="str">
        <f t="shared" ca="1" si="1"/>
        <v/>
      </c>
      <c r="J22" t="str">
        <f t="shared" ca="1" si="9"/>
        <v/>
      </c>
      <c r="K22" t="str">
        <f t="shared" ca="1" si="9"/>
        <v/>
      </c>
      <c r="L22" t="str">
        <f t="shared" ca="1" si="9"/>
        <v/>
      </c>
      <c r="M22" t="str">
        <f t="shared" ca="1" si="9"/>
        <v/>
      </c>
      <c r="N22" t="str">
        <f t="shared" ca="1" si="9"/>
        <v/>
      </c>
      <c r="O22" t="str">
        <f t="shared" ca="1" si="9"/>
        <v/>
      </c>
      <c r="P22" t="str">
        <f t="shared" ca="1" si="9"/>
        <v/>
      </c>
      <c r="Q22" t="str">
        <f t="shared" ca="1" si="9"/>
        <v/>
      </c>
      <c r="R22" t="str">
        <f t="shared" ca="1" si="9"/>
        <v/>
      </c>
      <c r="S22" t="str">
        <f t="shared" ca="1" si="9"/>
        <v/>
      </c>
      <c r="T22" t="str">
        <f t="shared" ca="1" si="9"/>
        <v/>
      </c>
      <c r="U22" s="32" t="str">
        <f t="shared" ca="1" si="9"/>
        <v/>
      </c>
      <c r="V22" t="str">
        <f t="shared" ca="1" si="9"/>
        <v/>
      </c>
      <c r="W22" t="str">
        <f t="shared" ca="1" si="9"/>
        <v/>
      </c>
      <c r="X22" s="17" t="str">
        <f t="shared" ca="1" si="8"/>
        <v/>
      </c>
      <c r="Y22" t="str">
        <f t="shared" ca="1" si="10"/>
        <v/>
      </c>
      <c r="Z22" t="str">
        <f t="shared" ca="1" si="10"/>
        <v/>
      </c>
      <c r="AA22" t="str">
        <f t="shared" ca="1" si="10"/>
        <v/>
      </c>
      <c r="AB22" t="str">
        <f t="shared" ca="1" si="10"/>
        <v/>
      </c>
      <c r="AC22" t="str">
        <f t="shared" ca="1" si="10"/>
        <v/>
      </c>
      <c r="AD22" t="str">
        <f t="shared" ca="1" si="10"/>
        <v/>
      </c>
      <c r="AE22" t="str">
        <f t="shared" ca="1" si="10"/>
        <v/>
      </c>
      <c r="AF22" t="str">
        <f t="shared" ca="1" si="10"/>
        <v/>
      </c>
      <c r="AG22" t="str">
        <f t="shared" ca="1" si="10"/>
        <v/>
      </c>
      <c r="AH22" t="str">
        <f t="shared" ca="1" si="10"/>
        <v/>
      </c>
      <c r="AI22" t="str">
        <f t="shared" ca="1" si="11"/>
        <v/>
      </c>
      <c r="AJ22" t="str">
        <f t="shared" ca="1" si="11"/>
        <v/>
      </c>
      <c r="AK22" t="str">
        <f t="shared" ca="1" si="11"/>
        <v/>
      </c>
      <c r="AL22" t="str">
        <f t="shared" ca="1" si="11"/>
        <v/>
      </c>
      <c r="AM22" t="str">
        <f t="shared" ca="1" si="11"/>
        <v/>
      </c>
      <c r="AN22" t="str">
        <f t="shared" ca="1" si="11"/>
        <v/>
      </c>
      <c r="AO22" t="str">
        <f t="shared" ca="1" si="11"/>
        <v/>
      </c>
      <c r="AP22" t="str">
        <f t="shared" ca="1" si="11"/>
        <v/>
      </c>
      <c r="AQ22" t="str">
        <f t="shared" ca="1" si="11"/>
        <v/>
      </c>
      <c r="AR22" t="str">
        <f t="shared" ca="1" si="11"/>
        <v/>
      </c>
      <c r="AZ22" t="str">
        <f t="shared" ca="1" si="5"/>
        <v/>
      </c>
      <c r="BA22" t="str">
        <f t="shared" ca="1" si="5"/>
        <v/>
      </c>
      <c r="BB22" t="str">
        <f t="shared" ca="1" si="5"/>
        <v/>
      </c>
      <c r="BG22" t="s">
        <v>187</v>
      </c>
      <c r="BH22" t="s">
        <v>114</v>
      </c>
      <c r="BI22" t="s">
        <v>118</v>
      </c>
      <c r="BJ22" t="s">
        <v>194</v>
      </c>
      <c r="BK22" t="s">
        <v>107</v>
      </c>
      <c r="BL22" t="s">
        <v>116</v>
      </c>
      <c r="BM22">
        <v>1525464000</v>
      </c>
      <c r="BN22">
        <v>2.46</v>
      </c>
      <c r="BO22">
        <v>16.898969999999998</v>
      </c>
      <c r="BP22">
        <v>1.5097582E-2</v>
      </c>
      <c r="BQ22">
        <v>9.6999999999999993</v>
      </c>
      <c r="BR22">
        <v>13.07</v>
      </c>
      <c r="BS22">
        <v>5074010112</v>
      </c>
      <c r="BT22">
        <v>27.588999999999999</v>
      </c>
      <c r="BU22">
        <v>172.78458000000001</v>
      </c>
      <c r="BV22">
        <v>-8.8645779999999998</v>
      </c>
      <c r="BW22">
        <v>-5.1304219999999998E-2</v>
      </c>
      <c r="BX22">
        <v>170.38692</v>
      </c>
      <c r="BY22">
        <v>-6.4669189999999999</v>
      </c>
      <c r="BZ22">
        <v>-3.7954316000000002E-2</v>
      </c>
      <c r="CA22">
        <v>831731728384</v>
      </c>
      <c r="CB22">
        <v>12.541698</v>
      </c>
      <c r="CC22">
        <v>5.9414983000000001</v>
      </c>
      <c r="CD22">
        <v>15</v>
      </c>
      <c r="CE22" t="s">
        <v>110</v>
      </c>
      <c r="CF22" t="s">
        <v>111</v>
      </c>
      <c r="CG22">
        <v>-14400000</v>
      </c>
      <c r="CH22" t="s">
        <v>271</v>
      </c>
      <c r="CI22" t="s">
        <v>199</v>
      </c>
      <c r="CJ22">
        <v>0</v>
      </c>
      <c r="CK22" t="s">
        <v>195</v>
      </c>
      <c r="CL22">
        <v>2</v>
      </c>
      <c r="CM22" t="b">
        <v>0</v>
      </c>
      <c r="CN22" t="b">
        <v>1</v>
      </c>
      <c r="CO22">
        <v>0.60144573000000001</v>
      </c>
      <c r="CP22" t="s">
        <v>277</v>
      </c>
      <c r="CQ22">
        <v>162.94</v>
      </c>
      <c r="CR22">
        <v>164.54</v>
      </c>
      <c r="CS22">
        <v>164.55</v>
      </c>
      <c r="CT22">
        <v>6</v>
      </c>
      <c r="CU22">
        <v>1</v>
      </c>
      <c r="CV22" t="s">
        <v>196</v>
      </c>
      <c r="CW22" t="s">
        <v>197</v>
      </c>
      <c r="CX22" t="s">
        <v>195</v>
      </c>
      <c r="CY22" t="s">
        <v>107</v>
      </c>
      <c r="CZ22">
        <v>38436233</v>
      </c>
      <c r="DA22">
        <v>34186385</v>
      </c>
      <c r="DB22">
        <v>21.720001</v>
      </c>
      <c r="DC22">
        <v>0.15274262</v>
      </c>
      <c r="DD22" t="s">
        <v>198</v>
      </c>
      <c r="DE22">
        <v>-19.580002</v>
      </c>
      <c r="DF22">
        <v>-0.106703006</v>
      </c>
      <c r="DG22">
        <v>142.19999999999999</v>
      </c>
      <c r="DH22">
        <v>183.5</v>
      </c>
      <c r="DI22">
        <v>1518652800</v>
      </c>
      <c r="DJ22">
        <v>1525204800</v>
      </c>
      <c r="DK22">
        <v>1525118400</v>
      </c>
      <c r="DL22">
        <v>163.92</v>
      </c>
      <c r="DM22">
        <v>1524685275</v>
      </c>
      <c r="DN22">
        <v>0.97999570000000003</v>
      </c>
      <c r="DO22">
        <v>162.62</v>
      </c>
      <c r="DP22">
        <v>165.41499999999999</v>
      </c>
      <c r="DQ22">
        <v>162.41999999999999</v>
      </c>
      <c r="DR22">
        <v>23080663</v>
      </c>
      <c r="DS22" t="s">
        <v>79</v>
      </c>
      <c r="DT22" t="s">
        <v>108</v>
      </c>
      <c r="DU22" t="b">
        <v>0</v>
      </c>
      <c r="DV22" t="b">
        <v>1</v>
      </c>
      <c r="DW22" t="s">
        <v>79</v>
      </c>
      <c r="DX22" t="s">
        <v>108</v>
      </c>
    </row>
    <row r="23" spans="1:128" x14ac:dyDescent="0.25">
      <c r="A23">
        <v>20</v>
      </c>
      <c r="B23" s="21"/>
      <c r="C23" t="str">
        <f t="shared" ca="1" si="0"/>
        <v/>
      </c>
      <c r="D23" s="17" t="str">
        <f t="shared" ca="1" si="6"/>
        <v/>
      </c>
      <c r="E23" t="str">
        <f t="shared" ca="1" si="7"/>
        <v/>
      </c>
      <c r="F23" t="str">
        <f t="shared" ca="1" si="1"/>
        <v/>
      </c>
      <c r="G23" t="str">
        <f t="shared" ca="1" si="1"/>
        <v/>
      </c>
      <c r="H23" t="str">
        <f t="shared" ca="1" si="1"/>
        <v/>
      </c>
      <c r="J23" t="str">
        <f t="shared" ca="1" si="9"/>
        <v/>
      </c>
      <c r="K23" t="str">
        <f t="shared" ca="1" si="9"/>
        <v/>
      </c>
      <c r="L23" t="str">
        <f t="shared" ca="1" si="9"/>
        <v/>
      </c>
      <c r="M23" t="str">
        <f t="shared" ca="1" si="9"/>
        <v/>
      </c>
      <c r="N23" t="str">
        <f t="shared" ca="1" si="9"/>
        <v/>
      </c>
      <c r="O23" t="str">
        <f t="shared" ca="1" si="9"/>
        <v/>
      </c>
      <c r="P23" t="str">
        <f t="shared" ca="1" si="9"/>
        <v/>
      </c>
      <c r="Q23" t="str">
        <f t="shared" ca="1" si="9"/>
        <v/>
      </c>
      <c r="R23" t="str">
        <f t="shared" ca="1" si="9"/>
        <v/>
      </c>
      <c r="S23" t="str">
        <f t="shared" ca="1" si="9"/>
        <v/>
      </c>
      <c r="T23" t="str">
        <f t="shared" ca="1" si="9"/>
        <v/>
      </c>
      <c r="U23" s="32" t="str">
        <f t="shared" ca="1" si="9"/>
        <v/>
      </c>
      <c r="V23" t="str">
        <f t="shared" ca="1" si="9"/>
        <v/>
      </c>
      <c r="W23" t="str">
        <f t="shared" ca="1" si="9"/>
        <v/>
      </c>
      <c r="X23" s="17" t="str">
        <f t="shared" ca="1" si="8"/>
        <v/>
      </c>
      <c r="Y23" t="str">
        <f t="shared" ca="1" si="10"/>
        <v/>
      </c>
      <c r="Z23" t="str">
        <f t="shared" ca="1" si="10"/>
        <v/>
      </c>
      <c r="AA23" t="str">
        <f t="shared" ca="1" si="10"/>
        <v/>
      </c>
      <c r="AB23" t="str">
        <f t="shared" ca="1" si="10"/>
        <v/>
      </c>
      <c r="AC23" t="str">
        <f t="shared" ca="1" si="10"/>
        <v/>
      </c>
      <c r="AD23" t="str">
        <f t="shared" ca="1" si="10"/>
        <v/>
      </c>
      <c r="AE23" t="str">
        <f t="shared" ca="1" si="10"/>
        <v/>
      </c>
      <c r="AF23" t="str">
        <f t="shared" ca="1" si="10"/>
        <v/>
      </c>
      <c r="AG23" t="str">
        <f t="shared" ca="1" si="10"/>
        <v/>
      </c>
      <c r="AH23" t="str">
        <f t="shared" ca="1" si="10"/>
        <v/>
      </c>
      <c r="AI23" t="str">
        <f t="shared" ca="1" si="11"/>
        <v/>
      </c>
      <c r="AJ23" t="str">
        <f t="shared" ca="1" si="11"/>
        <v/>
      </c>
      <c r="AK23" t="str">
        <f t="shared" ca="1" si="11"/>
        <v/>
      </c>
      <c r="AL23" t="str">
        <f t="shared" ca="1" si="11"/>
        <v/>
      </c>
      <c r="AM23" t="str">
        <f t="shared" ca="1" si="11"/>
        <v/>
      </c>
      <c r="AN23" t="str">
        <f t="shared" ca="1" si="11"/>
        <v/>
      </c>
      <c r="AO23" t="str">
        <f t="shared" ca="1" si="11"/>
        <v/>
      </c>
      <c r="AP23" t="str">
        <f t="shared" ca="1" si="11"/>
        <v/>
      </c>
      <c r="AQ23" t="str">
        <f t="shared" ca="1" si="11"/>
        <v/>
      </c>
      <c r="AR23" t="str">
        <f t="shared" ca="1" si="11"/>
        <v/>
      </c>
      <c r="AZ23" t="str">
        <f t="shared" ca="1" si="5"/>
        <v/>
      </c>
      <c r="BA23" t="str">
        <f t="shared" ca="1" si="5"/>
        <v/>
      </c>
      <c r="BB23" t="str">
        <f t="shared" ca="1" si="5"/>
        <v/>
      </c>
      <c r="BG23" t="s">
        <v>181</v>
      </c>
      <c r="BH23" t="s">
        <v>175</v>
      </c>
      <c r="BI23" t="s">
        <v>182</v>
      </c>
      <c r="BJ23" t="s">
        <v>125</v>
      </c>
      <c r="BK23" t="s">
        <v>161</v>
      </c>
      <c r="BL23" t="s">
        <v>180</v>
      </c>
      <c r="BM23" t="s">
        <v>155</v>
      </c>
      <c r="BN23" t="s">
        <v>136</v>
      </c>
      <c r="BO23" t="s">
        <v>140</v>
      </c>
      <c r="BP23" t="s">
        <v>134</v>
      </c>
      <c r="BQ23" t="s">
        <v>184</v>
      </c>
      <c r="BR23" t="s">
        <v>168</v>
      </c>
      <c r="BS23" t="s">
        <v>169</v>
      </c>
      <c r="BT23" t="s">
        <v>160</v>
      </c>
      <c r="BU23" t="s">
        <v>166</v>
      </c>
      <c r="BV23" t="s">
        <v>186</v>
      </c>
      <c r="BW23" t="s">
        <v>106</v>
      </c>
      <c r="BX23" t="s">
        <v>105</v>
      </c>
      <c r="BY23" t="s">
        <v>130</v>
      </c>
      <c r="BZ23" t="s">
        <v>126</v>
      </c>
      <c r="CA23" t="s">
        <v>127</v>
      </c>
      <c r="CB23" t="s">
        <v>128</v>
      </c>
      <c r="CC23" t="s">
        <v>129</v>
      </c>
      <c r="CD23" t="s">
        <v>167</v>
      </c>
      <c r="CE23" t="s">
        <v>158</v>
      </c>
      <c r="CF23" t="s">
        <v>156</v>
      </c>
      <c r="CG23" t="s">
        <v>159</v>
      </c>
      <c r="CH23" t="s">
        <v>157</v>
      </c>
      <c r="CI23" t="s">
        <v>179</v>
      </c>
      <c r="CJ23" t="s">
        <v>162</v>
      </c>
      <c r="CK23" t="s">
        <v>164</v>
      </c>
      <c r="CL23" t="s">
        <v>163</v>
      </c>
      <c r="CM23" t="s">
        <v>137</v>
      </c>
      <c r="CN23" t="s">
        <v>138</v>
      </c>
      <c r="CO23" t="s">
        <v>174</v>
      </c>
      <c r="CP23" t="s">
        <v>176</v>
      </c>
      <c r="CQ23" t="s">
        <v>178</v>
      </c>
      <c r="CR23" t="s">
        <v>131</v>
      </c>
      <c r="CS23" t="s">
        <v>183</v>
      </c>
      <c r="CT23" t="s">
        <v>132</v>
      </c>
      <c r="CU23" t="s">
        <v>173</v>
      </c>
      <c r="CV23" t="s">
        <v>144</v>
      </c>
      <c r="CW23" t="s">
        <v>145</v>
      </c>
      <c r="CX23" t="s">
        <v>150</v>
      </c>
      <c r="CY23" t="s">
        <v>151</v>
      </c>
      <c r="CZ23" t="s">
        <v>152</v>
      </c>
      <c r="DA23" t="s">
        <v>147</v>
      </c>
      <c r="DB23" t="s">
        <v>148</v>
      </c>
      <c r="DC23" t="s">
        <v>149</v>
      </c>
      <c r="DD23" t="s">
        <v>146</v>
      </c>
      <c r="DE23" t="s">
        <v>139</v>
      </c>
      <c r="DF23" t="s">
        <v>124</v>
      </c>
      <c r="DG23" t="s">
        <v>177</v>
      </c>
      <c r="DH23" t="s">
        <v>143</v>
      </c>
      <c r="DI23" t="s">
        <v>142</v>
      </c>
      <c r="DJ23" t="s">
        <v>135</v>
      </c>
      <c r="DK23" t="s">
        <v>133</v>
      </c>
      <c r="DL23" t="s">
        <v>170</v>
      </c>
      <c r="DM23" t="s">
        <v>171</v>
      </c>
      <c r="DN23" t="s">
        <v>172</v>
      </c>
      <c r="DO23" t="s">
        <v>153</v>
      </c>
      <c r="DP23" t="s">
        <v>154</v>
      </c>
      <c r="DQ23" t="s">
        <v>123</v>
      </c>
      <c r="DR23" t="s">
        <v>185</v>
      </c>
      <c r="DS23" t="s">
        <v>165</v>
      </c>
      <c r="DT23" t="s">
        <v>126</v>
      </c>
      <c r="DU23" t="s">
        <v>127</v>
      </c>
      <c r="DV23" t="s">
        <v>185</v>
      </c>
      <c r="DW23" t="s">
        <v>165</v>
      </c>
    </row>
    <row r="24" spans="1:128" x14ac:dyDescent="0.25">
      <c r="A24">
        <v>21</v>
      </c>
      <c r="B24" s="21"/>
      <c r="C24" t="str">
        <f t="shared" ca="1" si="0"/>
        <v/>
      </c>
      <c r="D24" s="17" t="str">
        <f t="shared" ca="1" si="6"/>
        <v/>
      </c>
      <c r="E24" t="str">
        <f t="shared" ca="1" si="7"/>
        <v/>
      </c>
      <c r="F24" t="str">
        <f t="shared" ref="F24:H43" ca="1" si="12">IFERROR(HLOOKUP(F$3, OFFSET(JSONstart,2*$A24-2,0,2,75), 2,FALSE),  "")</f>
        <v/>
      </c>
      <c r="G24" t="str">
        <f t="shared" ca="1" si="12"/>
        <v/>
      </c>
      <c r="H24" t="str">
        <f t="shared" ca="1" si="12"/>
        <v/>
      </c>
      <c r="J24" t="str">
        <f t="shared" ref="J24:W33" ca="1" si="13">IFERROR(HLOOKUP(J$3, OFFSET(JSONstart,2*$A24-2,0,2,75), 2,FALSE),  "")</f>
        <v/>
      </c>
      <c r="K24" t="str">
        <f t="shared" ca="1" si="13"/>
        <v/>
      </c>
      <c r="L24" t="str">
        <f t="shared" ca="1" si="13"/>
        <v/>
      </c>
      <c r="M24" t="str">
        <f t="shared" ca="1" si="13"/>
        <v/>
      </c>
      <c r="N24" t="str">
        <f t="shared" ca="1" si="13"/>
        <v/>
      </c>
      <c r="O24" t="str">
        <f t="shared" ca="1" si="13"/>
        <v/>
      </c>
      <c r="P24" t="str">
        <f t="shared" ca="1" si="13"/>
        <v/>
      </c>
      <c r="Q24" t="str">
        <f t="shared" ca="1" si="13"/>
        <v/>
      </c>
      <c r="R24" t="str">
        <f t="shared" ca="1" si="13"/>
        <v/>
      </c>
      <c r="S24" t="str">
        <f t="shared" ca="1" si="13"/>
        <v/>
      </c>
      <c r="T24" t="str">
        <f t="shared" ca="1" si="13"/>
        <v/>
      </c>
      <c r="U24" s="32" t="str">
        <f t="shared" ca="1" si="13"/>
        <v/>
      </c>
      <c r="V24" t="str">
        <f t="shared" ca="1" si="13"/>
        <v/>
      </c>
      <c r="W24" t="str">
        <f t="shared" ca="1" si="13"/>
        <v/>
      </c>
      <c r="X24" s="17" t="str">
        <f t="shared" ca="1" si="8"/>
        <v/>
      </c>
      <c r="Y24" t="str">
        <f t="shared" ref="Y24:AH33" ca="1" si="14">IFERROR(HLOOKUP(Y$3, OFFSET(JSONstart,2*$A24-2,0,2,75), 2,FALSE),   "")</f>
        <v/>
      </c>
      <c r="Z24" t="str">
        <f t="shared" ca="1" si="14"/>
        <v/>
      </c>
      <c r="AA24" t="str">
        <f t="shared" ca="1" si="14"/>
        <v/>
      </c>
      <c r="AB24" t="str">
        <f t="shared" ca="1" si="14"/>
        <v/>
      </c>
      <c r="AC24" t="str">
        <f t="shared" ca="1" si="14"/>
        <v/>
      </c>
      <c r="AD24" t="str">
        <f t="shared" ca="1" si="14"/>
        <v/>
      </c>
      <c r="AE24" t="str">
        <f t="shared" ca="1" si="14"/>
        <v/>
      </c>
      <c r="AF24" t="str">
        <f t="shared" ca="1" si="14"/>
        <v/>
      </c>
      <c r="AG24" t="str">
        <f t="shared" ca="1" si="14"/>
        <v/>
      </c>
      <c r="AH24" t="str">
        <f t="shared" ca="1" si="14"/>
        <v/>
      </c>
      <c r="AI24" t="str">
        <f t="shared" ref="AI24:AR33" ca="1" si="15">IFERROR(HLOOKUP(AI$3, OFFSET(JSONstart,2*$A24-2,0,2,75), 2,FALSE),   "")</f>
        <v/>
      </c>
      <c r="AJ24" t="str">
        <f t="shared" ca="1" si="15"/>
        <v/>
      </c>
      <c r="AK24" t="str">
        <f t="shared" ca="1" si="15"/>
        <v/>
      </c>
      <c r="AL24" t="str">
        <f t="shared" ca="1" si="15"/>
        <v/>
      </c>
      <c r="AM24" t="str">
        <f t="shared" ca="1" si="15"/>
        <v/>
      </c>
      <c r="AN24" t="str">
        <f t="shared" ca="1" si="15"/>
        <v/>
      </c>
      <c r="AO24" t="str">
        <f t="shared" ca="1" si="15"/>
        <v/>
      </c>
      <c r="AP24" t="str">
        <f t="shared" ca="1" si="15"/>
        <v/>
      </c>
      <c r="AQ24" t="str">
        <f t="shared" ca="1" si="15"/>
        <v/>
      </c>
      <c r="AR24" t="str">
        <f t="shared" ca="1" si="15"/>
        <v/>
      </c>
      <c r="AZ24" t="str">
        <f t="shared" ref="AZ24:BB43" ca="1" si="16">IFERROR(HLOOKUP(AZ$3, OFFSET(JSONstart,2*$A24-2,0,2,70), 2,FALSE),  "")</f>
        <v/>
      </c>
      <c r="BA24" t="str">
        <f t="shared" ca="1" si="16"/>
        <v/>
      </c>
      <c r="BB24" t="str">
        <f t="shared" ca="1" si="16"/>
        <v/>
      </c>
      <c r="BG24" t="s">
        <v>187</v>
      </c>
      <c r="BH24" t="s">
        <v>114</v>
      </c>
      <c r="BI24" t="s">
        <v>118</v>
      </c>
      <c r="BJ24" t="s">
        <v>194</v>
      </c>
      <c r="BK24" t="s">
        <v>107</v>
      </c>
      <c r="BL24">
        <v>2</v>
      </c>
      <c r="BM24">
        <v>-0.17412730000000001</v>
      </c>
      <c r="BN24">
        <v>121569132544</v>
      </c>
      <c r="BO24">
        <v>13.207547999999999</v>
      </c>
      <c r="BP24">
        <v>1.8913807</v>
      </c>
      <c r="BQ24">
        <v>15</v>
      </c>
      <c r="BR24" t="s">
        <v>110</v>
      </c>
      <c r="BS24" t="s">
        <v>111</v>
      </c>
      <c r="BT24">
        <v>-14400000</v>
      </c>
      <c r="BU24" t="b">
        <v>0</v>
      </c>
      <c r="BV24" t="b">
        <v>1</v>
      </c>
      <c r="BW24">
        <v>14</v>
      </c>
      <c r="BX24">
        <v>1524685282</v>
      </c>
      <c r="BY24">
        <v>-0.6800003</v>
      </c>
      <c r="BZ24">
        <v>14.72</v>
      </c>
      <c r="CA24">
        <v>14.72</v>
      </c>
      <c r="CB24">
        <v>13.91</v>
      </c>
      <c r="CC24">
        <v>84501052</v>
      </c>
      <c r="CD24">
        <v>0</v>
      </c>
      <c r="CE24">
        <v>14.02</v>
      </c>
      <c r="CF24">
        <v>14.03</v>
      </c>
      <c r="CG24">
        <v>177</v>
      </c>
      <c r="CH24">
        <v>471</v>
      </c>
      <c r="CI24" t="s">
        <v>200</v>
      </c>
      <c r="CJ24">
        <v>1524227400</v>
      </c>
      <c r="CK24">
        <v>1532003400</v>
      </c>
      <c r="CL24">
        <v>1532349000</v>
      </c>
      <c r="CM24">
        <v>0.84</v>
      </c>
      <c r="CN24">
        <v>5.7220704999999997E-2</v>
      </c>
      <c r="CO24" t="s">
        <v>113</v>
      </c>
      <c r="CP24" t="s">
        <v>201</v>
      </c>
      <c r="CQ24" t="s">
        <v>271</v>
      </c>
      <c r="CR24">
        <v>-4.6321545000000004</v>
      </c>
      <c r="CS24" t="s">
        <v>278</v>
      </c>
      <c r="CT24">
        <v>14.68</v>
      </c>
      <c r="CU24" t="s">
        <v>107</v>
      </c>
      <c r="CV24">
        <v>82051320</v>
      </c>
      <c r="CW24">
        <v>85321785</v>
      </c>
      <c r="CX24">
        <v>1.2700005000000001</v>
      </c>
      <c r="CY24">
        <v>9.976438E-2</v>
      </c>
      <c r="CZ24" t="s">
        <v>202</v>
      </c>
      <c r="DA24">
        <v>-15.549999</v>
      </c>
      <c r="DB24">
        <v>-0.52622670000000005</v>
      </c>
      <c r="DC24">
        <v>12.73</v>
      </c>
      <c r="DD24">
        <v>29.55</v>
      </c>
      <c r="DE24">
        <v>1524614400</v>
      </c>
      <c r="DF24" t="s">
        <v>109</v>
      </c>
      <c r="DG24" t="s">
        <v>116</v>
      </c>
      <c r="DH24">
        <v>-0.71899999999999997</v>
      </c>
      <c r="DI24">
        <v>1.06</v>
      </c>
      <c r="DJ24">
        <v>8683509760</v>
      </c>
      <c r="DK24">
        <v>7.4020000000000001</v>
      </c>
      <c r="DL24">
        <v>13.789429</v>
      </c>
      <c r="DM24">
        <v>0.21057128999999999</v>
      </c>
      <c r="DN24">
        <v>1.52704865E-2</v>
      </c>
      <c r="DO24">
        <v>16.951765000000002</v>
      </c>
      <c r="DP24">
        <v>-2.951765</v>
      </c>
      <c r="DQ24" t="s">
        <v>201</v>
      </c>
      <c r="DR24" t="s">
        <v>80</v>
      </c>
      <c r="DS24" t="s">
        <v>108</v>
      </c>
      <c r="DT24">
        <v>14.66</v>
      </c>
      <c r="DU24">
        <v>14.77</v>
      </c>
      <c r="DV24" t="s">
        <v>80</v>
      </c>
      <c r="DW24" t="s">
        <v>108</v>
      </c>
    </row>
    <row r="25" spans="1:128" x14ac:dyDescent="0.25">
      <c r="A25">
        <v>22</v>
      </c>
      <c r="B25" s="21"/>
      <c r="C25" t="str">
        <f t="shared" ca="1" si="0"/>
        <v/>
      </c>
      <c r="D25" s="17" t="str">
        <f t="shared" ca="1" si="6"/>
        <v/>
      </c>
      <c r="E25" t="str">
        <f t="shared" ca="1" si="7"/>
        <v/>
      </c>
      <c r="F25" t="str">
        <f t="shared" ca="1" si="12"/>
        <v/>
      </c>
      <c r="G25" t="str">
        <f t="shared" ca="1" si="12"/>
        <v/>
      </c>
      <c r="H25" t="str">
        <f t="shared" ca="1" si="12"/>
        <v/>
      </c>
      <c r="J25" t="str">
        <f t="shared" ca="1" si="13"/>
        <v/>
      </c>
      <c r="K25" t="str">
        <f t="shared" ca="1" si="13"/>
        <v/>
      </c>
      <c r="L25" t="str">
        <f t="shared" ca="1" si="13"/>
        <v/>
      </c>
      <c r="M25" t="str">
        <f t="shared" ca="1" si="13"/>
        <v/>
      </c>
      <c r="N25" t="str">
        <f t="shared" ca="1" si="13"/>
        <v/>
      </c>
      <c r="O25" t="str">
        <f t="shared" ca="1" si="13"/>
        <v/>
      </c>
      <c r="P25" t="str">
        <f t="shared" ca="1" si="13"/>
        <v/>
      </c>
      <c r="Q25" t="str">
        <f t="shared" ca="1" si="13"/>
        <v/>
      </c>
      <c r="R25" t="str">
        <f t="shared" ca="1" si="13"/>
        <v/>
      </c>
      <c r="S25" t="str">
        <f t="shared" ca="1" si="13"/>
        <v/>
      </c>
      <c r="T25" t="str">
        <f t="shared" ca="1" si="13"/>
        <v/>
      </c>
      <c r="U25" s="32" t="str">
        <f t="shared" ca="1" si="13"/>
        <v/>
      </c>
      <c r="V25" t="str">
        <f t="shared" ca="1" si="13"/>
        <v/>
      </c>
      <c r="W25" t="str">
        <f t="shared" ca="1" si="13"/>
        <v/>
      </c>
      <c r="X25" s="17" t="str">
        <f t="shared" ca="1" si="8"/>
        <v/>
      </c>
      <c r="Y25" t="str">
        <f t="shared" ca="1" si="14"/>
        <v/>
      </c>
      <c r="Z25" t="str">
        <f t="shared" ca="1" si="14"/>
        <v/>
      </c>
      <c r="AA25" t="str">
        <f t="shared" ca="1" si="14"/>
        <v/>
      </c>
      <c r="AB25" t="str">
        <f t="shared" ca="1" si="14"/>
        <v/>
      </c>
      <c r="AC25" t="str">
        <f t="shared" ca="1" si="14"/>
        <v/>
      </c>
      <c r="AD25" t="str">
        <f t="shared" ca="1" si="14"/>
        <v/>
      </c>
      <c r="AE25" t="str">
        <f t="shared" ca="1" si="14"/>
        <v/>
      </c>
      <c r="AF25" t="str">
        <f t="shared" ca="1" si="14"/>
        <v/>
      </c>
      <c r="AG25" t="str">
        <f t="shared" ca="1" si="14"/>
        <v/>
      </c>
      <c r="AH25" t="str">
        <f t="shared" ca="1" si="14"/>
        <v/>
      </c>
      <c r="AI25" t="str">
        <f t="shared" ca="1" si="15"/>
        <v/>
      </c>
      <c r="AJ25" t="str">
        <f t="shared" ca="1" si="15"/>
        <v/>
      </c>
      <c r="AK25" t="str">
        <f t="shared" ca="1" si="15"/>
        <v/>
      </c>
      <c r="AL25" t="str">
        <f t="shared" ca="1" si="15"/>
        <v/>
      </c>
      <c r="AM25" t="str">
        <f t="shared" ca="1" si="15"/>
        <v/>
      </c>
      <c r="AN25" t="str">
        <f t="shared" ca="1" si="15"/>
        <v/>
      </c>
      <c r="AO25" t="str">
        <f t="shared" ca="1" si="15"/>
        <v/>
      </c>
      <c r="AP25" t="str">
        <f t="shared" ca="1" si="15"/>
        <v/>
      </c>
      <c r="AQ25" t="str">
        <f t="shared" ca="1" si="15"/>
        <v/>
      </c>
      <c r="AR25" t="str">
        <f t="shared" ca="1" si="15"/>
        <v/>
      </c>
      <c r="AZ25" t="str">
        <f t="shared" ca="1" si="16"/>
        <v/>
      </c>
      <c r="BA25" t="str">
        <f t="shared" ca="1" si="16"/>
        <v/>
      </c>
      <c r="BB25" t="str">
        <f t="shared" ca="1" si="16"/>
        <v/>
      </c>
      <c r="BG25" t="s">
        <v>181</v>
      </c>
      <c r="BH25" t="s">
        <v>175</v>
      </c>
      <c r="BI25" t="s">
        <v>182</v>
      </c>
      <c r="BJ25" t="s">
        <v>125</v>
      </c>
      <c r="BK25" t="s">
        <v>161</v>
      </c>
      <c r="BL25" t="s">
        <v>123</v>
      </c>
      <c r="BM25" t="s">
        <v>167</v>
      </c>
      <c r="BN25" t="s">
        <v>135</v>
      </c>
      <c r="BO25" t="s">
        <v>133</v>
      </c>
      <c r="BP25" t="s">
        <v>170</v>
      </c>
      <c r="BQ25" t="s">
        <v>171</v>
      </c>
      <c r="BR25" t="s">
        <v>172</v>
      </c>
      <c r="BS25" t="s">
        <v>153</v>
      </c>
      <c r="BT25" t="s">
        <v>154</v>
      </c>
      <c r="BU25" t="s">
        <v>155</v>
      </c>
      <c r="BV25" t="s">
        <v>136</v>
      </c>
      <c r="BW25" t="s">
        <v>140</v>
      </c>
      <c r="BX25" t="s">
        <v>134</v>
      </c>
      <c r="BY25" t="s">
        <v>184</v>
      </c>
      <c r="BZ25" t="s">
        <v>168</v>
      </c>
      <c r="CA25" t="s">
        <v>169</v>
      </c>
      <c r="CB25" t="s">
        <v>160</v>
      </c>
      <c r="CC25" t="s">
        <v>106</v>
      </c>
      <c r="CD25" t="s">
        <v>105</v>
      </c>
      <c r="CE25" t="s">
        <v>130</v>
      </c>
      <c r="CF25" t="s">
        <v>126</v>
      </c>
      <c r="CG25" t="s">
        <v>127</v>
      </c>
      <c r="CH25" t="s">
        <v>128</v>
      </c>
      <c r="CI25" t="s">
        <v>129</v>
      </c>
      <c r="CJ25" t="s">
        <v>166</v>
      </c>
      <c r="CK25" t="s">
        <v>186</v>
      </c>
      <c r="CL25" t="s">
        <v>183</v>
      </c>
      <c r="CM25" t="s">
        <v>132</v>
      </c>
      <c r="CN25" t="s">
        <v>158</v>
      </c>
      <c r="CO25" t="s">
        <v>156</v>
      </c>
      <c r="CP25" t="s">
        <v>159</v>
      </c>
      <c r="CQ25" t="s">
        <v>157</v>
      </c>
      <c r="CR25" t="s">
        <v>179</v>
      </c>
      <c r="CS25" t="s">
        <v>174</v>
      </c>
      <c r="CT25" t="s">
        <v>176</v>
      </c>
      <c r="CU25" t="s">
        <v>173</v>
      </c>
      <c r="CV25" t="s">
        <v>144</v>
      </c>
      <c r="CW25" t="s">
        <v>145</v>
      </c>
      <c r="CX25" t="s">
        <v>150</v>
      </c>
      <c r="CY25" t="s">
        <v>151</v>
      </c>
      <c r="CZ25" t="s">
        <v>152</v>
      </c>
      <c r="DA25" t="s">
        <v>147</v>
      </c>
      <c r="DB25" t="s">
        <v>148</v>
      </c>
      <c r="DC25" t="s">
        <v>149</v>
      </c>
      <c r="DD25" t="s">
        <v>146</v>
      </c>
      <c r="DE25" t="s">
        <v>139</v>
      </c>
      <c r="DF25" t="s">
        <v>162</v>
      </c>
      <c r="DG25" t="s">
        <v>164</v>
      </c>
      <c r="DH25" t="s">
        <v>163</v>
      </c>
      <c r="DI25" t="s">
        <v>137</v>
      </c>
      <c r="DJ25" t="s">
        <v>141</v>
      </c>
      <c r="DK25" t="s">
        <v>138</v>
      </c>
      <c r="DL25" t="s">
        <v>143</v>
      </c>
      <c r="DM25" t="s">
        <v>142</v>
      </c>
      <c r="DN25" t="s">
        <v>180</v>
      </c>
      <c r="DO25" t="s">
        <v>131</v>
      </c>
      <c r="DP25" t="s">
        <v>124</v>
      </c>
      <c r="DQ25" t="s">
        <v>177</v>
      </c>
      <c r="DR25" t="s">
        <v>178</v>
      </c>
      <c r="DS25" t="s">
        <v>185</v>
      </c>
      <c r="DT25" t="s">
        <v>165</v>
      </c>
      <c r="DU25" t="s">
        <v>217</v>
      </c>
      <c r="DV25" t="s">
        <v>123</v>
      </c>
      <c r="DW25" t="s">
        <v>185</v>
      </c>
      <c r="DX25" t="s">
        <v>165</v>
      </c>
    </row>
    <row r="26" spans="1:128" x14ac:dyDescent="0.25">
      <c r="A26">
        <v>23</v>
      </c>
      <c r="B26" s="21"/>
      <c r="C26" t="str">
        <f t="shared" ca="1" si="0"/>
        <v/>
      </c>
      <c r="D26" s="17" t="str">
        <f t="shared" ca="1" si="6"/>
        <v/>
      </c>
      <c r="E26" t="str">
        <f t="shared" ca="1" si="7"/>
        <v/>
      </c>
      <c r="F26" t="str">
        <f t="shared" ca="1" si="12"/>
        <v/>
      </c>
      <c r="G26" t="str">
        <f t="shared" ca="1" si="12"/>
        <v/>
      </c>
      <c r="H26" t="str">
        <f t="shared" ca="1" si="12"/>
        <v/>
      </c>
      <c r="J26" t="str">
        <f t="shared" ca="1" si="13"/>
        <v/>
      </c>
      <c r="K26" t="str">
        <f t="shared" ca="1" si="13"/>
        <v/>
      </c>
      <c r="L26" t="str">
        <f t="shared" ca="1" si="13"/>
        <v/>
      </c>
      <c r="M26" t="str">
        <f t="shared" ca="1" si="13"/>
        <v/>
      </c>
      <c r="N26" t="str">
        <f t="shared" ca="1" si="13"/>
        <v/>
      </c>
      <c r="O26" t="str">
        <f t="shared" ca="1" si="13"/>
        <v/>
      </c>
      <c r="P26" t="str">
        <f t="shared" ca="1" si="13"/>
        <v/>
      </c>
      <c r="Q26" t="str">
        <f t="shared" ca="1" si="13"/>
        <v/>
      </c>
      <c r="R26" t="str">
        <f t="shared" ca="1" si="13"/>
        <v/>
      </c>
      <c r="S26" t="str">
        <f t="shared" ca="1" si="13"/>
        <v/>
      </c>
      <c r="T26" t="str">
        <f t="shared" ca="1" si="13"/>
        <v/>
      </c>
      <c r="U26" s="32" t="str">
        <f t="shared" ca="1" si="13"/>
        <v/>
      </c>
      <c r="V26" t="str">
        <f t="shared" ca="1" si="13"/>
        <v/>
      </c>
      <c r="W26" t="str">
        <f t="shared" ca="1" si="13"/>
        <v/>
      </c>
      <c r="X26" s="17" t="str">
        <f t="shared" ca="1" si="8"/>
        <v/>
      </c>
      <c r="Y26" t="str">
        <f t="shared" ca="1" si="14"/>
        <v/>
      </c>
      <c r="Z26" t="str">
        <f t="shared" ca="1" si="14"/>
        <v/>
      </c>
      <c r="AA26" t="str">
        <f t="shared" ca="1" si="14"/>
        <v/>
      </c>
      <c r="AB26" t="str">
        <f t="shared" ca="1" si="14"/>
        <v/>
      </c>
      <c r="AC26" t="str">
        <f t="shared" ca="1" si="14"/>
        <v/>
      </c>
      <c r="AD26" t="str">
        <f t="shared" ca="1" si="14"/>
        <v/>
      </c>
      <c r="AE26" t="str">
        <f t="shared" ca="1" si="14"/>
        <v/>
      </c>
      <c r="AF26" t="str">
        <f t="shared" ca="1" si="14"/>
        <v/>
      </c>
      <c r="AG26" t="str">
        <f t="shared" ca="1" si="14"/>
        <v/>
      </c>
      <c r="AH26" t="str">
        <f t="shared" ca="1" si="14"/>
        <v/>
      </c>
      <c r="AI26" t="str">
        <f t="shared" ca="1" si="15"/>
        <v/>
      </c>
      <c r="AJ26" t="str">
        <f t="shared" ca="1" si="15"/>
        <v/>
      </c>
      <c r="AK26" t="str">
        <f t="shared" ca="1" si="15"/>
        <v/>
      </c>
      <c r="AL26" t="str">
        <f t="shared" ca="1" si="15"/>
        <v/>
      </c>
      <c r="AM26" t="str">
        <f t="shared" ca="1" si="15"/>
        <v/>
      </c>
      <c r="AN26" t="str">
        <f t="shared" ca="1" si="15"/>
        <v/>
      </c>
      <c r="AO26" t="str">
        <f t="shared" ca="1" si="15"/>
        <v/>
      </c>
      <c r="AP26" t="str">
        <f t="shared" ca="1" si="15"/>
        <v/>
      </c>
      <c r="AQ26" t="str">
        <f t="shared" ca="1" si="15"/>
        <v/>
      </c>
      <c r="AR26" t="str">
        <f t="shared" ca="1" si="15"/>
        <v/>
      </c>
      <c r="AZ26" t="str">
        <f t="shared" ca="1" si="16"/>
        <v/>
      </c>
      <c r="BA26" t="str">
        <f t="shared" ca="1" si="16"/>
        <v/>
      </c>
      <c r="BB26" t="str">
        <f t="shared" ca="1" si="16"/>
        <v/>
      </c>
      <c r="BG26" t="s">
        <v>187</v>
      </c>
      <c r="BH26" t="s">
        <v>114</v>
      </c>
      <c r="BI26" t="s">
        <v>118</v>
      </c>
      <c r="BJ26" t="s">
        <v>194</v>
      </c>
      <c r="BK26" t="s">
        <v>107</v>
      </c>
      <c r="BL26" t="s">
        <v>119</v>
      </c>
      <c r="BM26">
        <v>0</v>
      </c>
      <c r="BN26">
        <v>921168000</v>
      </c>
      <c r="BO26">
        <v>19.079000000000001</v>
      </c>
      <c r="BP26">
        <v>154.22999999999999</v>
      </c>
      <c r="BQ26">
        <v>-8.6374969999999998</v>
      </c>
      <c r="BR26">
        <v>-5.6004002999999997E-2</v>
      </c>
      <c r="BS26">
        <v>155.08602999999999</v>
      </c>
      <c r="BT26">
        <v>-9.4935299999999998</v>
      </c>
      <c r="BU26">
        <v>-6.1214606999999997E-2</v>
      </c>
      <c r="BV26">
        <v>134115147776</v>
      </c>
      <c r="BW26">
        <v>10.303786000000001</v>
      </c>
      <c r="BX26">
        <v>7.6310339999999997</v>
      </c>
      <c r="BY26">
        <v>15</v>
      </c>
      <c r="BZ26" t="s">
        <v>110</v>
      </c>
      <c r="CA26" t="s">
        <v>111</v>
      </c>
      <c r="CB26">
        <v>-14400000</v>
      </c>
      <c r="CC26">
        <v>145.5925</v>
      </c>
      <c r="CD26">
        <v>1524685280</v>
      </c>
      <c r="CE26">
        <v>3.2501219999999997E-2</v>
      </c>
      <c r="CF26">
        <v>145.79</v>
      </c>
      <c r="CG26">
        <v>146</v>
      </c>
      <c r="CH26">
        <v>144.12</v>
      </c>
      <c r="CI26">
        <v>3476833</v>
      </c>
      <c r="CJ26" t="b">
        <v>0</v>
      </c>
      <c r="CK26" t="b">
        <v>1</v>
      </c>
      <c r="CL26" t="s">
        <v>279</v>
      </c>
      <c r="CM26">
        <v>145.56</v>
      </c>
      <c r="CN26">
        <v>145.87</v>
      </c>
      <c r="CO26">
        <v>145.88</v>
      </c>
      <c r="CP26">
        <v>1</v>
      </c>
      <c r="CQ26">
        <v>3</v>
      </c>
      <c r="CR26" t="s">
        <v>117</v>
      </c>
      <c r="CS26" t="s">
        <v>113</v>
      </c>
      <c r="CT26" t="s">
        <v>115</v>
      </c>
      <c r="CU26" t="s">
        <v>107</v>
      </c>
      <c r="CV26">
        <v>5157587</v>
      </c>
      <c r="CW26">
        <v>8761971</v>
      </c>
      <c r="CX26">
        <v>6.4624940000000004</v>
      </c>
      <c r="CY26">
        <v>4.6449320000000002E-2</v>
      </c>
      <c r="CZ26" t="s">
        <v>112</v>
      </c>
      <c r="DA26">
        <v>-25.537506</v>
      </c>
      <c r="DB26">
        <v>-0.14922869</v>
      </c>
      <c r="DC26">
        <v>139.13</v>
      </c>
      <c r="DD26">
        <v>171.13</v>
      </c>
      <c r="DE26">
        <v>1520640000</v>
      </c>
      <c r="DF26">
        <v>1531944000</v>
      </c>
      <c r="DG26">
        <v>1531771200</v>
      </c>
      <c r="DH26">
        <v>1532116800</v>
      </c>
      <c r="DI26">
        <v>5.9</v>
      </c>
      <c r="DJ26">
        <v>23.731459000000001</v>
      </c>
      <c r="DK26">
        <v>4.0533114000000002E-2</v>
      </c>
      <c r="DL26">
        <v>6.1349999999999998</v>
      </c>
      <c r="DM26">
        <v>14.13</v>
      </c>
      <c r="DN26">
        <v>2</v>
      </c>
      <c r="DO26">
        <v>2.2328403E-2</v>
      </c>
      <c r="DP26" t="s">
        <v>109</v>
      </c>
      <c r="DQ26" t="s">
        <v>116</v>
      </c>
      <c r="DR26" t="s">
        <v>271</v>
      </c>
      <c r="DS26" t="s">
        <v>81</v>
      </c>
      <c r="DT26" t="s">
        <v>108</v>
      </c>
      <c r="DU26">
        <v>1524645838</v>
      </c>
      <c r="DV26" t="s">
        <v>119</v>
      </c>
      <c r="DW26" t="s">
        <v>81</v>
      </c>
      <c r="DX26" t="s">
        <v>108</v>
      </c>
    </row>
    <row r="27" spans="1:128" x14ac:dyDescent="0.25">
      <c r="A27">
        <v>24</v>
      </c>
      <c r="B27" s="21"/>
      <c r="C27" t="str">
        <f t="shared" ca="1" si="0"/>
        <v/>
      </c>
      <c r="D27" s="17" t="str">
        <f t="shared" ca="1" si="6"/>
        <v/>
      </c>
      <c r="E27" t="str">
        <f t="shared" ca="1" si="7"/>
        <v/>
      </c>
      <c r="F27" t="str">
        <f t="shared" ca="1" si="12"/>
        <v/>
      </c>
      <c r="G27" t="str">
        <f t="shared" ca="1" si="12"/>
        <v/>
      </c>
      <c r="H27" t="str">
        <f t="shared" ca="1" si="12"/>
        <v/>
      </c>
      <c r="J27" t="str">
        <f t="shared" ca="1" si="13"/>
        <v/>
      </c>
      <c r="K27" t="str">
        <f t="shared" ca="1" si="13"/>
        <v/>
      </c>
      <c r="L27" t="str">
        <f t="shared" ca="1" si="13"/>
        <v/>
      </c>
      <c r="M27" t="str">
        <f t="shared" ca="1" si="13"/>
        <v/>
      </c>
      <c r="N27" t="str">
        <f t="shared" ca="1" si="13"/>
        <v/>
      </c>
      <c r="O27" t="str">
        <f t="shared" ca="1" si="13"/>
        <v/>
      </c>
      <c r="P27" t="str">
        <f t="shared" ca="1" si="13"/>
        <v/>
      </c>
      <c r="Q27" t="str">
        <f t="shared" ca="1" si="13"/>
        <v/>
      </c>
      <c r="R27" t="str">
        <f t="shared" ca="1" si="13"/>
        <v/>
      </c>
      <c r="S27" t="str">
        <f t="shared" ca="1" si="13"/>
        <v/>
      </c>
      <c r="T27" t="str">
        <f t="shared" ca="1" si="13"/>
        <v/>
      </c>
      <c r="U27" s="32" t="str">
        <f t="shared" ca="1" si="13"/>
        <v/>
      </c>
      <c r="V27" t="str">
        <f t="shared" ca="1" si="13"/>
        <v/>
      </c>
      <c r="W27" t="str">
        <f t="shared" ca="1" si="13"/>
        <v/>
      </c>
      <c r="X27" s="17" t="str">
        <f t="shared" ca="1" si="8"/>
        <v/>
      </c>
      <c r="Y27" t="str">
        <f t="shared" ca="1" si="14"/>
        <v/>
      </c>
      <c r="Z27" t="str">
        <f t="shared" ca="1" si="14"/>
        <v/>
      </c>
      <c r="AA27" t="str">
        <f t="shared" ca="1" si="14"/>
        <v/>
      </c>
      <c r="AB27" t="str">
        <f t="shared" ca="1" si="14"/>
        <v/>
      </c>
      <c r="AC27" t="str">
        <f t="shared" ca="1" si="14"/>
        <v/>
      </c>
      <c r="AD27" t="str">
        <f t="shared" ca="1" si="14"/>
        <v/>
      </c>
      <c r="AE27" t="str">
        <f t="shared" ca="1" si="14"/>
        <v/>
      </c>
      <c r="AF27" t="str">
        <f t="shared" ca="1" si="14"/>
        <v/>
      </c>
      <c r="AG27" t="str">
        <f t="shared" ca="1" si="14"/>
        <v/>
      </c>
      <c r="AH27" t="str">
        <f t="shared" ca="1" si="14"/>
        <v/>
      </c>
      <c r="AI27" t="str">
        <f t="shared" ca="1" si="15"/>
        <v/>
      </c>
      <c r="AJ27" t="str">
        <f t="shared" ca="1" si="15"/>
        <v/>
      </c>
      <c r="AK27" t="str">
        <f t="shared" ca="1" si="15"/>
        <v/>
      </c>
      <c r="AL27" t="str">
        <f t="shared" ca="1" si="15"/>
        <v/>
      </c>
      <c r="AM27" t="str">
        <f t="shared" ca="1" si="15"/>
        <v/>
      </c>
      <c r="AN27" t="str">
        <f t="shared" ca="1" si="15"/>
        <v/>
      </c>
      <c r="AO27" t="str">
        <f t="shared" ca="1" si="15"/>
        <v/>
      </c>
      <c r="AP27" t="str">
        <f t="shared" ca="1" si="15"/>
        <v/>
      </c>
      <c r="AQ27" t="str">
        <f t="shared" ca="1" si="15"/>
        <v/>
      </c>
      <c r="AR27" t="str">
        <f t="shared" ca="1" si="15"/>
        <v/>
      </c>
      <c r="AZ27" t="str">
        <f t="shared" ca="1" si="16"/>
        <v/>
      </c>
      <c r="BA27" t="str">
        <f t="shared" ca="1" si="16"/>
        <v/>
      </c>
      <c r="BB27" t="str">
        <f t="shared" ca="1" si="16"/>
        <v/>
      </c>
      <c r="BG27" t="s">
        <v>181</v>
      </c>
      <c r="BH27" t="s">
        <v>175</v>
      </c>
      <c r="BI27" t="s">
        <v>182</v>
      </c>
      <c r="BJ27" t="s">
        <v>125</v>
      </c>
      <c r="BK27" t="s">
        <v>161</v>
      </c>
      <c r="BL27" t="s">
        <v>136</v>
      </c>
      <c r="BM27" t="s">
        <v>180</v>
      </c>
      <c r="BN27" t="s">
        <v>131</v>
      </c>
      <c r="BO27" t="s">
        <v>183</v>
      </c>
      <c r="BP27" t="s">
        <v>132</v>
      </c>
      <c r="BQ27" t="s">
        <v>158</v>
      </c>
      <c r="BR27" t="s">
        <v>156</v>
      </c>
      <c r="BS27" t="s">
        <v>159</v>
      </c>
      <c r="BT27" t="s">
        <v>157</v>
      </c>
      <c r="BU27" t="s">
        <v>179</v>
      </c>
      <c r="BV27" t="s">
        <v>174</v>
      </c>
      <c r="BW27" t="s">
        <v>176</v>
      </c>
      <c r="BX27" t="s">
        <v>173</v>
      </c>
      <c r="BY27" t="s">
        <v>144</v>
      </c>
      <c r="BZ27" t="s">
        <v>145</v>
      </c>
      <c r="CA27" t="s">
        <v>150</v>
      </c>
      <c r="CB27" t="s">
        <v>151</v>
      </c>
      <c r="CC27" t="s">
        <v>152</v>
      </c>
      <c r="CD27" t="s">
        <v>147</v>
      </c>
      <c r="CE27" t="s">
        <v>148</v>
      </c>
      <c r="CF27" t="s">
        <v>149</v>
      </c>
      <c r="CG27" t="s">
        <v>146</v>
      </c>
      <c r="CH27" t="s">
        <v>139</v>
      </c>
      <c r="CI27" t="s">
        <v>162</v>
      </c>
      <c r="CJ27" t="s">
        <v>164</v>
      </c>
      <c r="CK27" t="s">
        <v>163</v>
      </c>
      <c r="CL27" t="s">
        <v>137</v>
      </c>
      <c r="CM27" t="s">
        <v>141</v>
      </c>
      <c r="CN27" t="s">
        <v>124</v>
      </c>
      <c r="CO27" t="s">
        <v>106</v>
      </c>
      <c r="CP27" t="s">
        <v>105</v>
      </c>
      <c r="CQ27" t="s">
        <v>130</v>
      </c>
      <c r="CR27" t="s">
        <v>126</v>
      </c>
      <c r="CS27" t="s">
        <v>127</v>
      </c>
      <c r="CT27" t="s">
        <v>128</v>
      </c>
      <c r="CU27" t="s">
        <v>129</v>
      </c>
      <c r="CV27" t="s">
        <v>168</v>
      </c>
      <c r="CW27" t="s">
        <v>169</v>
      </c>
      <c r="CX27" t="s">
        <v>160</v>
      </c>
      <c r="CY27" t="s">
        <v>138</v>
      </c>
      <c r="CZ27" t="s">
        <v>143</v>
      </c>
      <c r="DA27" t="s">
        <v>142</v>
      </c>
      <c r="DB27" t="s">
        <v>135</v>
      </c>
      <c r="DC27" t="s">
        <v>133</v>
      </c>
      <c r="DD27" t="s">
        <v>170</v>
      </c>
      <c r="DE27" t="s">
        <v>123</v>
      </c>
      <c r="DF27" t="s">
        <v>177</v>
      </c>
      <c r="DG27" t="s">
        <v>167</v>
      </c>
      <c r="DH27" t="s">
        <v>154</v>
      </c>
      <c r="DI27" t="s">
        <v>155</v>
      </c>
      <c r="DJ27" t="s">
        <v>140</v>
      </c>
      <c r="DK27" t="s">
        <v>134</v>
      </c>
      <c r="DL27" t="s">
        <v>184</v>
      </c>
      <c r="DM27" t="s">
        <v>171</v>
      </c>
      <c r="DN27" t="s">
        <v>166</v>
      </c>
      <c r="DO27" t="s">
        <v>186</v>
      </c>
      <c r="DP27" t="s">
        <v>172</v>
      </c>
      <c r="DQ27" t="s">
        <v>153</v>
      </c>
      <c r="DR27" t="s">
        <v>178</v>
      </c>
      <c r="DS27" t="s">
        <v>185</v>
      </c>
      <c r="DT27" t="s">
        <v>165</v>
      </c>
      <c r="DU27" t="s">
        <v>217</v>
      </c>
      <c r="DV27" t="s">
        <v>123</v>
      </c>
      <c r="DW27" t="s">
        <v>185</v>
      </c>
      <c r="DX27" t="s">
        <v>165</v>
      </c>
    </row>
    <row r="28" spans="1:128" x14ac:dyDescent="0.25">
      <c r="A28">
        <v>25</v>
      </c>
      <c r="B28" s="21"/>
      <c r="C28" t="str">
        <f t="shared" ca="1" si="0"/>
        <v/>
      </c>
      <c r="D28" s="17" t="str">
        <f t="shared" ca="1" si="6"/>
        <v/>
      </c>
      <c r="E28" t="str">
        <f t="shared" ca="1" si="7"/>
        <v/>
      </c>
      <c r="F28" t="str">
        <f t="shared" ca="1" si="12"/>
        <v/>
      </c>
      <c r="G28" t="str">
        <f t="shared" ca="1" si="12"/>
        <v/>
      </c>
      <c r="H28" t="str">
        <f t="shared" ca="1" si="12"/>
        <v/>
      </c>
      <c r="J28" t="str">
        <f t="shared" ca="1" si="13"/>
        <v/>
      </c>
      <c r="K28" t="str">
        <f t="shared" ca="1" si="13"/>
        <v/>
      </c>
      <c r="L28" t="str">
        <f t="shared" ca="1" si="13"/>
        <v/>
      </c>
      <c r="M28" t="str">
        <f t="shared" ca="1" si="13"/>
        <v/>
      </c>
      <c r="N28" t="str">
        <f t="shared" ca="1" si="13"/>
        <v/>
      </c>
      <c r="O28" t="str">
        <f t="shared" ca="1" si="13"/>
        <v/>
      </c>
      <c r="P28" t="str">
        <f t="shared" ca="1" si="13"/>
        <v/>
      </c>
      <c r="Q28" t="str">
        <f t="shared" ca="1" si="13"/>
        <v/>
      </c>
      <c r="R28" t="str">
        <f t="shared" ca="1" si="13"/>
        <v/>
      </c>
      <c r="S28" t="str">
        <f t="shared" ca="1" si="13"/>
        <v/>
      </c>
      <c r="T28" t="str">
        <f t="shared" ca="1" si="13"/>
        <v/>
      </c>
      <c r="U28" s="32" t="str">
        <f t="shared" ca="1" si="13"/>
        <v/>
      </c>
      <c r="V28" t="str">
        <f t="shared" ca="1" si="13"/>
        <v/>
      </c>
      <c r="W28" t="str">
        <f t="shared" ca="1" si="13"/>
        <v/>
      </c>
      <c r="X28" s="17" t="str">
        <f t="shared" ca="1" si="8"/>
        <v/>
      </c>
      <c r="Y28" t="str">
        <f t="shared" ca="1" si="14"/>
        <v/>
      </c>
      <c r="Z28" t="str">
        <f t="shared" ca="1" si="14"/>
        <v/>
      </c>
      <c r="AA28" t="str">
        <f t="shared" ca="1" si="14"/>
        <v/>
      </c>
      <c r="AB28" t="str">
        <f t="shared" ca="1" si="14"/>
        <v/>
      </c>
      <c r="AC28" t="str">
        <f t="shared" ca="1" si="14"/>
        <v/>
      </c>
      <c r="AD28" t="str">
        <f t="shared" ca="1" si="14"/>
        <v/>
      </c>
      <c r="AE28" t="str">
        <f t="shared" ca="1" si="14"/>
        <v/>
      </c>
      <c r="AF28" t="str">
        <f t="shared" ca="1" si="14"/>
        <v/>
      </c>
      <c r="AG28" t="str">
        <f t="shared" ca="1" si="14"/>
        <v/>
      </c>
      <c r="AH28" t="str">
        <f t="shared" ca="1" si="14"/>
        <v/>
      </c>
      <c r="AI28" t="str">
        <f t="shared" ca="1" si="15"/>
        <v/>
      </c>
      <c r="AJ28" t="str">
        <f t="shared" ca="1" si="15"/>
        <v/>
      </c>
      <c r="AK28" t="str">
        <f t="shared" ca="1" si="15"/>
        <v/>
      </c>
      <c r="AL28" t="str">
        <f t="shared" ca="1" si="15"/>
        <v/>
      </c>
      <c r="AM28" t="str">
        <f t="shared" ca="1" si="15"/>
        <v/>
      </c>
      <c r="AN28" t="str">
        <f t="shared" ca="1" si="15"/>
        <v/>
      </c>
      <c r="AO28" t="str">
        <f t="shared" ca="1" si="15"/>
        <v/>
      </c>
      <c r="AP28" t="str">
        <f t="shared" ca="1" si="15"/>
        <v/>
      </c>
      <c r="AQ28" t="str">
        <f t="shared" ca="1" si="15"/>
        <v/>
      </c>
      <c r="AR28" t="str">
        <f t="shared" ca="1" si="15"/>
        <v/>
      </c>
      <c r="AZ28" t="str">
        <f t="shared" ca="1" si="16"/>
        <v/>
      </c>
      <c r="BA28" t="str">
        <f t="shared" ca="1" si="16"/>
        <v/>
      </c>
      <c r="BB28" t="str">
        <f t="shared" ca="1" si="16"/>
        <v/>
      </c>
      <c r="BG28" t="s">
        <v>187</v>
      </c>
      <c r="BH28" t="s">
        <v>114</v>
      </c>
      <c r="BI28" t="s">
        <v>118</v>
      </c>
      <c r="BJ28" t="s">
        <v>194</v>
      </c>
      <c r="BK28" t="s">
        <v>107</v>
      </c>
      <c r="BL28">
        <v>151939350528</v>
      </c>
      <c r="BM28">
        <v>2</v>
      </c>
      <c r="BN28">
        <v>1.5936044</v>
      </c>
      <c r="BO28" t="s">
        <v>280</v>
      </c>
      <c r="BP28">
        <v>99.46</v>
      </c>
      <c r="BQ28">
        <v>101.19</v>
      </c>
      <c r="BR28">
        <v>101.21</v>
      </c>
      <c r="BS28">
        <v>4</v>
      </c>
      <c r="BT28">
        <v>8</v>
      </c>
      <c r="BU28" t="s">
        <v>203</v>
      </c>
      <c r="BV28" t="s">
        <v>113</v>
      </c>
      <c r="BW28" t="s">
        <v>204</v>
      </c>
      <c r="BX28" t="s">
        <v>107</v>
      </c>
      <c r="BY28">
        <v>8174806</v>
      </c>
      <c r="BZ28">
        <v>7337571</v>
      </c>
      <c r="CA28">
        <v>4.8450009999999999</v>
      </c>
      <c r="CB28">
        <v>5.036384E-2</v>
      </c>
      <c r="CC28" t="s">
        <v>205</v>
      </c>
      <c r="CD28">
        <v>-15.055</v>
      </c>
      <c r="CE28">
        <v>-0.1296727</v>
      </c>
      <c r="CF28">
        <v>96.2</v>
      </c>
      <c r="CG28">
        <v>116.1</v>
      </c>
      <c r="CH28">
        <v>1515628800</v>
      </c>
      <c r="CI28">
        <v>1525809600</v>
      </c>
      <c r="CJ28">
        <v>1525723200</v>
      </c>
      <c r="CK28">
        <v>1526068800</v>
      </c>
      <c r="CL28">
        <v>1.62</v>
      </c>
      <c r="CM28">
        <v>14.412352</v>
      </c>
      <c r="CN28" t="s">
        <v>109</v>
      </c>
      <c r="CO28">
        <v>101.045</v>
      </c>
      <c r="CP28">
        <v>1524685268</v>
      </c>
      <c r="CQ28">
        <v>1.5849991000000001</v>
      </c>
      <c r="CR28">
        <v>99.5</v>
      </c>
      <c r="CS28">
        <v>101.49</v>
      </c>
      <c r="CT28">
        <v>99.05</v>
      </c>
      <c r="CU28">
        <v>6283714</v>
      </c>
      <c r="CV28" t="s">
        <v>110</v>
      </c>
      <c r="CW28" t="s">
        <v>111</v>
      </c>
      <c r="CX28">
        <v>-14400000</v>
      </c>
      <c r="CY28">
        <v>1.6287955E-2</v>
      </c>
      <c r="CZ28">
        <v>7.0110000000000001</v>
      </c>
      <c r="DA28">
        <v>7.47</v>
      </c>
      <c r="DB28">
        <v>1503680000</v>
      </c>
      <c r="DC28">
        <v>28.859000000000002</v>
      </c>
      <c r="DD28">
        <v>101.35543</v>
      </c>
      <c r="DE28" t="s">
        <v>206</v>
      </c>
      <c r="DF28" t="s">
        <v>116</v>
      </c>
      <c r="DG28">
        <v>0</v>
      </c>
      <c r="DH28">
        <v>-3.2136765</v>
      </c>
      <c r="DI28">
        <v>-3.0824067E-2</v>
      </c>
      <c r="DJ28">
        <v>13.526773</v>
      </c>
      <c r="DK28">
        <v>3.5013342000000001</v>
      </c>
      <c r="DL28">
        <v>15</v>
      </c>
      <c r="DM28">
        <v>-0.31043242999999998</v>
      </c>
      <c r="DN28" t="b">
        <v>0</v>
      </c>
      <c r="DO28" t="b">
        <v>1</v>
      </c>
      <c r="DP28">
        <v>-3.06281E-3</v>
      </c>
      <c r="DQ28">
        <v>104.258675</v>
      </c>
      <c r="DR28" t="s">
        <v>271</v>
      </c>
      <c r="DS28" t="s">
        <v>83</v>
      </c>
      <c r="DT28" t="s">
        <v>108</v>
      </c>
      <c r="DU28">
        <v>1524644480</v>
      </c>
      <c r="DV28" t="s">
        <v>206</v>
      </c>
      <c r="DW28" t="s">
        <v>83</v>
      </c>
      <c r="DX28" t="s">
        <v>108</v>
      </c>
    </row>
    <row r="29" spans="1:128" x14ac:dyDescent="0.25">
      <c r="A29">
        <v>26</v>
      </c>
      <c r="B29" s="21"/>
      <c r="C29" t="str">
        <f t="shared" ca="1" si="0"/>
        <v/>
      </c>
      <c r="D29" s="17" t="str">
        <f t="shared" ca="1" si="6"/>
        <v/>
      </c>
      <c r="E29" t="str">
        <f t="shared" ca="1" si="7"/>
        <v/>
      </c>
      <c r="F29" t="str">
        <f t="shared" ca="1" si="12"/>
        <v/>
      </c>
      <c r="G29" t="str">
        <f t="shared" ca="1" si="12"/>
        <v/>
      </c>
      <c r="H29" t="str">
        <f t="shared" ca="1" si="12"/>
        <v/>
      </c>
      <c r="J29" t="str">
        <f t="shared" ca="1" si="13"/>
        <v/>
      </c>
      <c r="K29" t="str">
        <f t="shared" ca="1" si="13"/>
        <v/>
      </c>
      <c r="L29" t="str">
        <f t="shared" ca="1" si="13"/>
        <v/>
      </c>
      <c r="M29" t="str">
        <f t="shared" ca="1" si="13"/>
        <v/>
      </c>
      <c r="N29" t="str">
        <f t="shared" ca="1" si="13"/>
        <v/>
      </c>
      <c r="O29" t="str">
        <f t="shared" ca="1" si="13"/>
        <v/>
      </c>
      <c r="P29" t="str">
        <f t="shared" ca="1" si="13"/>
        <v/>
      </c>
      <c r="Q29" t="str">
        <f t="shared" ca="1" si="13"/>
        <v/>
      </c>
      <c r="R29" t="str">
        <f t="shared" ca="1" si="13"/>
        <v/>
      </c>
      <c r="S29" t="str">
        <f t="shared" ca="1" si="13"/>
        <v/>
      </c>
      <c r="T29" t="str">
        <f t="shared" ca="1" si="13"/>
        <v/>
      </c>
      <c r="U29" s="32" t="str">
        <f t="shared" ca="1" si="13"/>
        <v/>
      </c>
      <c r="V29" t="str">
        <f t="shared" ca="1" si="13"/>
        <v/>
      </c>
      <c r="W29" t="str">
        <f t="shared" ca="1" si="13"/>
        <v/>
      </c>
      <c r="X29" s="17" t="str">
        <f t="shared" ca="1" si="8"/>
        <v/>
      </c>
      <c r="Y29" t="str">
        <f t="shared" ca="1" si="14"/>
        <v/>
      </c>
      <c r="Z29" t="str">
        <f t="shared" ca="1" si="14"/>
        <v/>
      </c>
      <c r="AA29" t="str">
        <f t="shared" ca="1" si="14"/>
        <v/>
      </c>
      <c r="AB29" t="str">
        <f t="shared" ca="1" si="14"/>
        <v/>
      </c>
      <c r="AC29" t="str">
        <f t="shared" ca="1" si="14"/>
        <v/>
      </c>
      <c r="AD29" t="str">
        <f t="shared" ca="1" si="14"/>
        <v/>
      </c>
      <c r="AE29" t="str">
        <f t="shared" ca="1" si="14"/>
        <v/>
      </c>
      <c r="AF29" t="str">
        <f t="shared" ca="1" si="14"/>
        <v/>
      </c>
      <c r="AG29" t="str">
        <f t="shared" ca="1" si="14"/>
        <v/>
      </c>
      <c r="AH29" t="str">
        <f t="shared" ca="1" si="14"/>
        <v/>
      </c>
      <c r="AI29" t="str">
        <f t="shared" ca="1" si="15"/>
        <v/>
      </c>
      <c r="AJ29" t="str">
        <f t="shared" ca="1" si="15"/>
        <v/>
      </c>
      <c r="AK29" t="str">
        <f t="shared" ca="1" si="15"/>
        <v/>
      </c>
      <c r="AL29" t="str">
        <f t="shared" ca="1" si="15"/>
        <v/>
      </c>
      <c r="AM29" t="str">
        <f t="shared" ca="1" si="15"/>
        <v/>
      </c>
      <c r="AN29" t="str">
        <f t="shared" ca="1" si="15"/>
        <v/>
      </c>
      <c r="AO29" t="str">
        <f t="shared" ca="1" si="15"/>
        <v/>
      </c>
      <c r="AP29" t="str">
        <f t="shared" ca="1" si="15"/>
        <v/>
      </c>
      <c r="AQ29" t="str">
        <f t="shared" ca="1" si="15"/>
        <v/>
      </c>
      <c r="AR29" t="str">
        <f t="shared" ca="1" si="15"/>
        <v/>
      </c>
      <c r="AZ29" t="str">
        <f t="shared" ca="1" si="16"/>
        <v/>
      </c>
      <c r="BA29" t="str">
        <f t="shared" ca="1" si="16"/>
        <v/>
      </c>
      <c r="BB29" t="str">
        <f t="shared" ca="1" si="16"/>
        <v/>
      </c>
      <c r="BG29" t="s">
        <v>181</v>
      </c>
      <c r="BH29" t="s">
        <v>175</v>
      </c>
      <c r="BI29" t="s">
        <v>182</v>
      </c>
      <c r="BJ29" t="s">
        <v>125</v>
      </c>
      <c r="BK29" t="s">
        <v>161</v>
      </c>
      <c r="BL29" t="s">
        <v>177</v>
      </c>
      <c r="BM29" t="s">
        <v>124</v>
      </c>
      <c r="BN29" t="s">
        <v>178</v>
      </c>
      <c r="BO29" t="s">
        <v>123</v>
      </c>
      <c r="BP29" t="s">
        <v>208</v>
      </c>
      <c r="BQ29">
        <v>2</v>
      </c>
      <c r="BR29">
        <v>-0.63105429999999996</v>
      </c>
      <c r="BS29" t="s">
        <v>281</v>
      </c>
      <c r="BT29">
        <v>44.37</v>
      </c>
      <c r="BU29">
        <v>44.19</v>
      </c>
      <c r="BV29">
        <v>44.2</v>
      </c>
      <c r="BW29">
        <v>10</v>
      </c>
      <c r="BX29">
        <v>5</v>
      </c>
      <c r="BY29" t="s">
        <v>209</v>
      </c>
      <c r="BZ29" t="s">
        <v>113</v>
      </c>
      <c r="CA29" t="s">
        <v>207</v>
      </c>
      <c r="CB29" t="s">
        <v>173</v>
      </c>
      <c r="CC29" t="s">
        <v>144</v>
      </c>
      <c r="CD29" t="s">
        <v>145</v>
      </c>
      <c r="CE29" t="s">
        <v>150</v>
      </c>
      <c r="CF29" t="s">
        <v>151</v>
      </c>
      <c r="CG29" t="s">
        <v>152</v>
      </c>
      <c r="CH29" t="s">
        <v>147</v>
      </c>
      <c r="CI29" t="s">
        <v>148</v>
      </c>
      <c r="CJ29" t="s">
        <v>149</v>
      </c>
      <c r="CK29" t="s">
        <v>146</v>
      </c>
      <c r="CL29" t="s">
        <v>139</v>
      </c>
      <c r="CM29" t="s">
        <v>162</v>
      </c>
      <c r="CN29" t="s">
        <v>164</v>
      </c>
      <c r="CO29" t="s">
        <v>163</v>
      </c>
      <c r="CP29" t="s">
        <v>167</v>
      </c>
      <c r="CQ29" t="s">
        <v>137</v>
      </c>
      <c r="CR29" t="s">
        <v>141</v>
      </c>
      <c r="CS29" t="s">
        <v>138</v>
      </c>
      <c r="CT29" t="s">
        <v>143</v>
      </c>
      <c r="CU29" t="s">
        <v>142</v>
      </c>
      <c r="CV29" t="s">
        <v>135</v>
      </c>
      <c r="CW29" t="s">
        <v>133</v>
      </c>
      <c r="CX29" t="s">
        <v>170</v>
      </c>
      <c r="CY29" t="s">
        <v>171</v>
      </c>
      <c r="CZ29" t="s">
        <v>172</v>
      </c>
      <c r="DA29" t="s">
        <v>106</v>
      </c>
      <c r="DB29" t="s">
        <v>105</v>
      </c>
      <c r="DC29" t="s">
        <v>130</v>
      </c>
      <c r="DD29" t="s">
        <v>126</v>
      </c>
      <c r="DE29" t="s">
        <v>127</v>
      </c>
      <c r="DF29" t="s">
        <v>128</v>
      </c>
      <c r="DG29" t="s">
        <v>129</v>
      </c>
      <c r="DH29" t="s">
        <v>153</v>
      </c>
      <c r="DI29" t="s">
        <v>154</v>
      </c>
      <c r="DJ29" t="s">
        <v>155</v>
      </c>
      <c r="DK29" t="s">
        <v>136</v>
      </c>
      <c r="DL29" t="s">
        <v>140</v>
      </c>
      <c r="DM29" t="s">
        <v>134</v>
      </c>
      <c r="DN29" t="s">
        <v>184</v>
      </c>
      <c r="DO29" t="s">
        <v>168</v>
      </c>
      <c r="DP29" t="s">
        <v>169</v>
      </c>
      <c r="DQ29" t="s">
        <v>160</v>
      </c>
      <c r="DR29" t="s">
        <v>166</v>
      </c>
      <c r="DS29" t="s">
        <v>186</v>
      </c>
      <c r="DT29" t="s">
        <v>185</v>
      </c>
      <c r="DU29" t="s">
        <v>165</v>
      </c>
    </row>
    <row r="30" spans="1:128" x14ac:dyDescent="0.25">
      <c r="A30">
        <v>27</v>
      </c>
      <c r="B30" s="21"/>
      <c r="C30" t="str">
        <f t="shared" ca="1" si="0"/>
        <v/>
      </c>
      <c r="D30" s="17" t="str">
        <f t="shared" ca="1" si="6"/>
        <v/>
      </c>
      <c r="E30" t="str">
        <f t="shared" ca="1" si="7"/>
        <v/>
      </c>
      <c r="F30" t="str">
        <f t="shared" ca="1" si="12"/>
        <v/>
      </c>
      <c r="G30" t="str">
        <f t="shared" ca="1" si="12"/>
        <v/>
      </c>
      <c r="H30" t="str">
        <f t="shared" ca="1" si="12"/>
        <v/>
      </c>
      <c r="J30" t="str">
        <f t="shared" ca="1" si="13"/>
        <v/>
      </c>
      <c r="K30" t="str">
        <f t="shared" ca="1" si="13"/>
        <v/>
      </c>
      <c r="L30" t="str">
        <f t="shared" ca="1" si="13"/>
        <v/>
      </c>
      <c r="M30" t="str">
        <f t="shared" ca="1" si="13"/>
        <v/>
      </c>
      <c r="N30" t="str">
        <f t="shared" ca="1" si="13"/>
        <v/>
      </c>
      <c r="O30" t="str">
        <f t="shared" ca="1" si="13"/>
        <v/>
      </c>
      <c r="P30" t="str">
        <f t="shared" ca="1" si="13"/>
        <v/>
      </c>
      <c r="Q30" t="str">
        <f t="shared" ca="1" si="13"/>
        <v/>
      </c>
      <c r="R30" t="str">
        <f t="shared" ca="1" si="13"/>
        <v/>
      </c>
      <c r="S30" t="str">
        <f t="shared" ca="1" si="13"/>
        <v/>
      </c>
      <c r="T30" t="str">
        <f t="shared" ca="1" si="13"/>
        <v/>
      </c>
      <c r="U30" s="32" t="str">
        <f t="shared" ca="1" si="13"/>
        <v/>
      </c>
      <c r="V30" t="str">
        <f t="shared" ca="1" si="13"/>
        <v/>
      </c>
      <c r="W30" t="str">
        <f t="shared" ca="1" si="13"/>
        <v/>
      </c>
      <c r="X30" s="17" t="str">
        <f t="shared" ca="1" si="8"/>
        <v/>
      </c>
      <c r="Y30" t="str">
        <f t="shared" ca="1" si="14"/>
        <v/>
      </c>
      <c r="Z30" t="str">
        <f t="shared" ca="1" si="14"/>
        <v/>
      </c>
      <c r="AA30" t="str">
        <f t="shared" ca="1" si="14"/>
        <v/>
      </c>
      <c r="AB30" t="str">
        <f t="shared" ca="1" si="14"/>
        <v/>
      </c>
      <c r="AC30" t="str">
        <f t="shared" ca="1" si="14"/>
        <v/>
      </c>
      <c r="AD30" t="str">
        <f t="shared" ca="1" si="14"/>
        <v/>
      </c>
      <c r="AE30" t="str">
        <f t="shared" ca="1" si="14"/>
        <v/>
      </c>
      <c r="AF30" t="str">
        <f t="shared" ca="1" si="14"/>
        <v/>
      </c>
      <c r="AG30" t="str">
        <f t="shared" ca="1" si="14"/>
        <v/>
      </c>
      <c r="AH30" t="str">
        <f t="shared" ca="1" si="14"/>
        <v/>
      </c>
      <c r="AI30" t="str">
        <f t="shared" ca="1" si="15"/>
        <v/>
      </c>
      <c r="AJ30" t="str">
        <f t="shared" ca="1" si="15"/>
        <v/>
      </c>
      <c r="AK30" t="str">
        <f t="shared" ca="1" si="15"/>
        <v/>
      </c>
      <c r="AL30" t="str">
        <f t="shared" ca="1" si="15"/>
        <v/>
      </c>
      <c r="AM30" t="str">
        <f t="shared" ca="1" si="15"/>
        <v/>
      </c>
      <c r="AN30" t="str">
        <f t="shared" ca="1" si="15"/>
        <v/>
      </c>
      <c r="AO30" t="str">
        <f t="shared" ca="1" si="15"/>
        <v/>
      </c>
      <c r="AP30" t="str">
        <f t="shared" ca="1" si="15"/>
        <v/>
      </c>
      <c r="AQ30" t="str">
        <f t="shared" ca="1" si="15"/>
        <v/>
      </c>
      <c r="AR30" t="str">
        <f t="shared" ca="1" si="15"/>
        <v/>
      </c>
      <c r="AZ30" t="str">
        <f t="shared" ca="1" si="16"/>
        <v/>
      </c>
      <c r="BA30" t="str">
        <f t="shared" ca="1" si="16"/>
        <v/>
      </c>
      <c r="BB30" t="str">
        <f t="shared" ca="1" si="16"/>
        <v/>
      </c>
      <c r="BG30" t="s">
        <v>187</v>
      </c>
      <c r="BH30" t="s">
        <v>114</v>
      </c>
      <c r="BI30" t="s">
        <v>118</v>
      </c>
      <c r="BJ30" t="s">
        <v>194</v>
      </c>
      <c r="BK30" t="s">
        <v>107</v>
      </c>
      <c r="BL30" t="s">
        <v>116</v>
      </c>
      <c r="BM30" t="s">
        <v>109</v>
      </c>
      <c r="BN30" t="s">
        <v>271</v>
      </c>
      <c r="BO30" t="s">
        <v>207</v>
      </c>
      <c r="BP30" t="s">
        <v>180</v>
      </c>
      <c r="BQ30" t="s">
        <v>131</v>
      </c>
      <c r="BR30" t="s">
        <v>183</v>
      </c>
      <c r="BS30" t="s">
        <v>132</v>
      </c>
      <c r="BT30" t="s">
        <v>158</v>
      </c>
      <c r="BU30" t="s">
        <v>156</v>
      </c>
      <c r="BV30" t="s">
        <v>159</v>
      </c>
      <c r="BW30" t="s">
        <v>157</v>
      </c>
      <c r="BX30" t="s">
        <v>179</v>
      </c>
      <c r="BY30" t="s">
        <v>174</v>
      </c>
      <c r="BZ30" t="s">
        <v>176</v>
      </c>
      <c r="CA30" t="s">
        <v>208</v>
      </c>
      <c r="CB30" t="s">
        <v>107</v>
      </c>
      <c r="CC30">
        <v>6083624</v>
      </c>
      <c r="CD30">
        <v>5217157</v>
      </c>
      <c r="CE30">
        <v>0.90999985000000005</v>
      </c>
      <c r="CF30">
        <v>2.1074566999999999E-2</v>
      </c>
      <c r="CG30" t="s">
        <v>210</v>
      </c>
      <c r="CH30">
        <v>-16.599997999999999</v>
      </c>
      <c r="CI30">
        <v>-0.27352115999999999</v>
      </c>
      <c r="CJ30">
        <v>43.18</v>
      </c>
      <c r="CK30">
        <v>60.69</v>
      </c>
      <c r="CL30">
        <v>1525132800</v>
      </c>
      <c r="CM30">
        <v>1521635400</v>
      </c>
      <c r="CN30">
        <v>1530016200</v>
      </c>
      <c r="CO30">
        <v>1530534600</v>
      </c>
      <c r="CP30">
        <v>0</v>
      </c>
      <c r="CQ30">
        <v>1.95</v>
      </c>
      <c r="CR30">
        <v>11.795078</v>
      </c>
      <c r="CS30">
        <v>4.3948617000000002E-2</v>
      </c>
      <c r="CT30">
        <v>3.738</v>
      </c>
      <c r="CU30">
        <v>3.18</v>
      </c>
      <c r="CV30">
        <v>592889984</v>
      </c>
      <c r="CW30">
        <v>8.7100000000000009</v>
      </c>
      <c r="CX30">
        <v>46.764572000000001</v>
      </c>
      <c r="CY30">
        <v>-2.6745719999999999</v>
      </c>
      <c r="CZ30">
        <v>-5.7192270000000003E-2</v>
      </c>
      <c r="DA30">
        <v>44.09</v>
      </c>
      <c r="DB30">
        <v>1524685283</v>
      </c>
      <c r="DC30">
        <v>-0.27999878</v>
      </c>
      <c r="DD30">
        <v>44.34</v>
      </c>
      <c r="DE30">
        <v>44.73</v>
      </c>
      <c r="DF30">
        <v>43.895000000000003</v>
      </c>
      <c r="DG30">
        <v>4155965</v>
      </c>
      <c r="DH30">
        <v>53.070219999999999</v>
      </c>
      <c r="DI30">
        <v>-8.9802210000000002</v>
      </c>
      <c r="DJ30">
        <v>-0.16921394000000001</v>
      </c>
      <c r="DK30">
        <v>26140520448</v>
      </c>
      <c r="DL30">
        <v>13.864779</v>
      </c>
      <c r="DM30">
        <v>5.061998</v>
      </c>
      <c r="DN30">
        <v>15</v>
      </c>
      <c r="DO30" t="s">
        <v>110</v>
      </c>
      <c r="DP30" t="s">
        <v>111</v>
      </c>
      <c r="DQ30">
        <v>-14400000</v>
      </c>
      <c r="DR30" t="b">
        <v>0</v>
      </c>
      <c r="DS30" t="b">
        <v>1</v>
      </c>
      <c r="DT30" t="s">
        <v>84</v>
      </c>
      <c r="DU30" t="s">
        <v>108</v>
      </c>
    </row>
    <row r="31" spans="1:128" x14ac:dyDescent="0.25">
      <c r="A31">
        <v>28</v>
      </c>
      <c r="B31" s="21"/>
      <c r="C31" t="str">
        <f t="shared" ca="1" si="0"/>
        <v/>
      </c>
      <c r="D31" s="17" t="str">
        <f t="shared" ca="1" si="6"/>
        <v/>
      </c>
      <c r="E31" t="str">
        <f t="shared" ca="1" si="7"/>
        <v/>
      </c>
      <c r="F31" t="str">
        <f t="shared" ca="1" si="12"/>
        <v/>
      </c>
      <c r="G31" t="str">
        <f t="shared" ca="1" si="12"/>
        <v/>
      </c>
      <c r="H31" t="str">
        <f t="shared" ca="1" si="12"/>
        <v/>
      </c>
      <c r="J31" t="str">
        <f t="shared" ca="1" si="13"/>
        <v/>
      </c>
      <c r="K31" t="str">
        <f t="shared" ca="1" si="13"/>
        <v/>
      </c>
      <c r="L31" t="str">
        <f t="shared" ca="1" si="13"/>
        <v/>
      </c>
      <c r="M31" t="str">
        <f t="shared" ca="1" si="13"/>
        <v/>
      </c>
      <c r="N31" t="str">
        <f t="shared" ca="1" si="13"/>
        <v/>
      </c>
      <c r="O31" t="str">
        <f t="shared" ca="1" si="13"/>
        <v/>
      </c>
      <c r="P31" t="str">
        <f t="shared" ca="1" si="13"/>
        <v/>
      </c>
      <c r="Q31" t="str">
        <f t="shared" ca="1" si="13"/>
        <v/>
      </c>
      <c r="R31" t="str">
        <f t="shared" ca="1" si="13"/>
        <v/>
      </c>
      <c r="S31" t="str">
        <f t="shared" ca="1" si="13"/>
        <v/>
      </c>
      <c r="T31" t="str">
        <f t="shared" ca="1" si="13"/>
        <v/>
      </c>
      <c r="U31" s="32" t="str">
        <f t="shared" ca="1" si="13"/>
        <v/>
      </c>
      <c r="V31" t="str">
        <f t="shared" ca="1" si="13"/>
        <v/>
      </c>
      <c r="W31" t="str">
        <f t="shared" ca="1" si="13"/>
        <v/>
      </c>
      <c r="X31" s="17" t="str">
        <f t="shared" ca="1" si="8"/>
        <v/>
      </c>
      <c r="Y31" t="str">
        <f t="shared" ca="1" si="14"/>
        <v/>
      </c>
      <c r="Z31" t="str">
        <f t="shared" ca="1" si="14"/>
        <v/>
      </c>
      <c r="AA31" t="str">
        <f t="shared" ca="1" si="14"/>
        <v/>
      </c>
      <c r="AB31" t="str">
        <f t="shared" ca="1" si="14"/>
        <v/>
      </c>
      <c r="AC31" t="str">
        <f t="shared" ca="1" si="14"/>
        <v/>
      </c>
      <c r="AD31" t="str">
        <f t="shared" ca="1" si="14"/>
        <v/>
      </c>
      <c r="AE31" t="str">
        <f t="shared" ca="1" si="14"/>
        <v/>
      </c>
      <c r="AF31" t="str">
        <f t="shared" ca="1" si="14"/>
        <v/>
      </c>
      <c r="AG31" t="str">
        <f t="shared" ca="1" si="14"/>
        <v/>
      </c>
      <c r="AH31" t="str">
        <f t="shared" ca="1" si="14"/>
        <v/>
      </c>
      <c r="AI31" t="str">
        <f t="shared" ca="1" si="15"/>
        <v/>
      </c>
      <c r="AJ31" t="str">
        <f t="shared" ca="1" si="15"/>
        <v/>
      </c>
      <c r="AK31" t="str">
        <f t="shared" ca="1" si="15"/>
        <v/>
      </c>
      <c r="AL31" t="str">
        <f t="shared" ca="1" si="15"/>
        <v/>
      </c>
      <c r="AM31" t="str">
        <f t="shared" ca="1" si="15"/>
        <v/>
      </c>
      <c r="AN31" t="str">
        <f t="shared" ca="1" si="15"/>
        <v/>
      </c>
      <c r="AO31" t="str">
        <f t="shared" ca="1" si="15"/>
        <v/>
      </c>
      <c r="AP31" t="str">
        <f t="shared" ca="1" si="15"/>
        <v/>
      </c>
      <c r="AQ31" t="str">
        <f t="shared" ca="1" si="15"/>
        <v/>
      </c>
      <c r="AR31" t="str">
        <f t="shared" ca="1" si="15"/>
        <v/>
      </c>
      <c r="AZ31" t="str">
        <f t="shared" ca="1" si="16"/>
        <v/>
      </c>
      <c r="BA31" t="str">
        <f t="shared" ca="1" si="16"/>
        <v/>
      </c>
      <c r="BB31" t="str">
        <f t="shared" ca="1" si="16"/>
        <v/>
      </c>
      <c r="BG31" t="s">
        <v>181</v>
      </c>
      <c r="BH31" t="s">
        <v>175</v>
      </c>
      <c r="BI31" t="s">
        <v>182</v>
      </c>
      <c r="BJ31" t="s">
        <v>125</v>
      </c>
      <c r="BK31" t="s">
        <v>161</v>
      </c>
      <c r="BL31" t="s">
        <v>123</v>
      </c>
      <c r="BM31" t="s">
        <v>146</v>
      </c>
      <c r="BN31" t="s">
        <v>162</v>
      </c>
      <c r="BO31" t="s">
        <v>137</v>
      </c>
      <c r="BP31" t="s">
        <v>141</v>
      </c>
      <c r="BQ31" t="s">
        <v>138</v>
      </c>
      <c r="BR31" t="s">
        <v>143</v>
      </c>
      <c r="BS31" t="s">
        <v>142</v>
      </c>
      <c r="BT31" t="s">
        <v>135</v>
      </c>
      <c r="BU31" t="s">
        <v>133</v>
      </c>
      <c r="BV31" t="s">
        <v>170</v>
      </c>
      <c r="BW31" t="s">
        <v>171</v>
      </c>
      <c r="BX31" t="s">
        <v>172</v>
      </c>
      <c r="BY31" t="s">
        <v>153</v>
      </c>
      <c r="BZ31" t="s">
        <v>154</v>
      </c>
      <c r="CA31" t="s">
        <v>155</v>
      </c>
      <c r="CB31" t="s">
        <v>136</v>
      </c>
      <c r="CC31" t="s">
        <v>140</v>
      </c>
      <c r="CD31" t="s">
        <v>134</v>
      </c>
      <c r="CE31" t="s">
        <v>184</v>
      </c>
      <c r="CF31" t="s">
        <v>168</v>
      </c>
      <c r="CG31" t="s">
        <v>169</v>
      </c>
      <c r="CH31" t="s">
        <v>160</v>
      </c>
      <c r="CI31" t="s">
        <v>177</v>
      </c>
      <c r="CJ31" t="s">
        <v>124</v>
      </c>
      <c r="CK31" t="s">
        <v>166</v>
      </c>
      <c r="CL31" t="s">
        <v>186</v>
      </c>
      <c r="CM31" t="s">
        <v>131</v>
      </c>
      <c r="CN31" t="s">
        <v>183</v>
      </c>
      <c r="CO31" t="s">
        <v>132</v>
      </c>
      <c r="CP31" t="s">
        <v>158</v>
      </c>
      <c r="CQ31" t="s">
        <v>156</v>
      </c>
      <c r="CR31" t="s">
        <v>159</v>
      </c>
      <c r="CS31" t="s">
        <v>157</v>
      </c>
      <c r="CT31" t="s">
        <v>179</v>
      </c>
      <c r="CU31" t="s">
        <v>174</v>
      </c>
      <c r="CV31" t="s">
        <v>176</v>
      </c>
      <c r="CW31" t="s">
        <v>173</v>
      </c>
      <c r="CX31" t="s">
        <v>144</v>
      </c>
      <c r="CY31" t="s">
        <v>145</v>
      </c>
      <c r="CZ31" t="s">
        <v>150</v>
      </c>
      <c r="DA31" t="s">
        <v>151</v>
      </c>
      <c r="DB31" t="s">
        <v>152</v>
      </c>
      <c r="DC31" t="s">
        <v>147</v>
      </c>
      <c r="DD31" t="s">
        <v>148</v>
      </c>
      <c r="DE31" t="s">
        <v>149</v>
      </c>
      <c r="DF31" t="s">
        <v>139</v>
      </c>
      <c r="DG31" t="s">
        <v>106</v>
      </c>
      <c r="DH31" t="s">
        <v>105</v>
      </c>
      <c r="DI31" t="s">
        <v>130</v>
      </c>
      <c r="DJ31" t="s">
        <v>126</v>
      </c>
      <c r="DK31" t="s">
        <v>127</v>
      </c>
      <c r="DL31" t="s">
        <v>128</v>
      </c>
      <c r="DM31" t="s">
        <v>129</v>
      </c>
      <c r="DN31" t="s">
        <v>167</v>
      </c>
      <c r="DO31" t="s">
        <v>180</v>
      </c>
      <c r="DP31" t="s">
        <v>178</v>
      </c>
      <c r="DQ31" t="s">
        <v>185</v>
      </c>
      <c r="DR31" t="s">
        <v>165</v>
      </c>
    </row>
    <row r="32" spans="1:128" x14ac:dyDescent="0.25">
      <c r="A32">
        <v>29</v>
      </c>
      <c r="B32" s="21"/>
      <c r="C32" t="str">
        <f t="shared" ca="1" si="0"/>
        <v/>
      </c>
      <c r="D32" s="17" t="str">
        <f t="shared" ca="1" si="6"/>
        <v/>
      </c>
      <c r="E32" t="str">
        <f t="shared" ca="1" si="7"/>
        <v/>
      </c>
      <c r="F32" t="str">
        <f t="shared" ca="1" si="12"/>
        <v/>
      </c>
      <c r="G32" t="str">
        <f t="shared" ca="1" si="12"/>
        <v/>
      </c>
      <c r="H32" t="str">
        <f t="shared" ca="1" si="12"/>
        <v/>
      </c>
      <c r="J32" t="str">
        <f t="shared" ca="1" si="13"/>
        <v/>
      </c>
      <c r="K32" t="str">
        <f t="shared" ca="1" si="13"/>
        <v/>
      </c>
      <c r="L32" t="str">
        <f t="shared" ca="1" si="13"/>
        <v/>
      </c>
      <c r="M32" t="str">
        <f t="shared" ca="1" si="13"/>
        <v/>
      </c>
      <c r="N32" t="str">
        <f t="shared" ca="1" si="13"/>
        <v/>
      </c>
      <c r="O32" t="str">
        <f t="shared" ca="1" si="13"/>
        <v/>
      </c>
      <c r="P32" t="str">
        <f t="shared" ca="1" si="13"/>
        <v/>
      </c>
      <c r="Q32" t="str">
        <f t="shared" ca="1" si="13"/>
        <v/>
      </c>
      <c r="R32" t="str">
        <f t="shared" ca="1" si="13"/>
        <v/>
      </c>
      <c r="S32" t="str">
        <f t="shared" ca="1" si="13"/>
        <v/>
      </c>
      <c r="T32" t="str">
        <f t="shared" ca="1" si="13"/>
        <v/>
      </c>
      <c r="U32" s="32" t="str">
        <f t="shared" ca="1" si="13"/>
        <v/>
      </c>
      <c r="V32" t="str">
        <f t="shared" ca="1" si="13"/>
        <v/>
      </c>
      <c r="W32" t="str">
        <f t="shared" ca="1" si="13"/>
        <v/>
      </c>
      <c r="X32" s="17" t="str">
        <f t="shared" ca="1" si="8"/>
        <v/>
      </c>
      <c r="Y32" t="str">
        <f t="shared" ca="1" si="14"/>
        <v/>
      </c>
      <c r="Z32" t="str">
        <f t="shared" ca="1" si="14"/>
        <v/>
      </c>
      <c r="AA32" t="str">
        <f t="shared" ca="1" si="14"/>
        <v/>
      </c>
      <c r="AB32" t="str">
        <f t="shared" ca="1" si="14"/>
        <v/>
      </c>
      <c r="AC32" t="str">
        <f t="shared" ca="1" si="14"/>
        <v/>
      </c>
      <c r="AD32" t="str">
        <f t="shared" ca="1" si="14"/>
        <v/>
      </c>
      <c r="AE32" t="str">
        <f t="shared" ca="1" si="14"/>
        <v/>
      </c>
      <c r="AF32" t="str">
        <f t="shared" ca="1" si="14"/>
        <v/>
      </c>
      <c r="AG32" t="str">
        <f t="shared" ca="1" si="14"/>
        <v/>
      </c>
      <c r="AH32" t="str">
        <f t="shared" ca="1" si="14"/>
        <v/>
      </c>
      <c r="AI32" t="str">
        <f t="shared" ca="1" si="15"/>
        <v/>
      </c>
      <c r="AJ32" t="str">
        <f t="shared" ca="1" si="15"/>
        <v/>
      </c>
      <c r="AK32" t="str">
        <f t="shared" ca="1" si="15"/>
        <v/>
      </c>
      <c r="AL32" t="str">
        <f t="shared" ca="1" si="15"/>
        <v/>
      </c>
      <c r="AM32" t="str">
        <f t="shared" ca="1" si="15"/>
        <v/>
      </c>
      <c r="AN32" t="str">
        <f t="shared" ca="1" si="15"/>
        <v/>
      </c>
      <c r="AO32" t="str">
        <f t="shared" ca="1" si="15"/>
        <v/>
      </c>
      <c r="AP32" t="str">
        <f t="shared" ca="1" si="15"/>
        <v/>
      </c>
      <c r="AQ32" t="str">
        <f t="shared" ca="1" si="15"/>
        <v/>
      </c>
      <c r="AR32" t="str">
        <f t="shared" ca="1" si="15"/>
        <v/>
      </c>
      <c r="AZ32" t="str">
        <f t="shared" ca="1" si="16"/>
        <v/>
      </c>
      <c r="BA32" t="str">
        <f t="shared" ca="1" si="16"/>
        <v/>
      </c>
      <c r="BB32" t="str">
        <f t="shared" ca="1" si="16"/>
        <v/>
      </c>
      <c r="BG32" t="s">
        <v>187</v>
      </c>
      <c r="BH32" t="s">
        <v>114</v>
      </c>
      <c r="BI32" t="s">
        <v>118</v>
      </c>
      <c r="BJ32" t="s">
        <v>194</v>
      </c>
      <c r="BK32" t="s">
        <v>107</v>
      </c>
      <c r="BL32" t="s">
        <v>213</v>
      </c>
      <c r="BM32">
        <v>109.98</v>
      </c>
      <c r="BN32">
        <v>1526560200</v>
      </c>
      <c r="BO32">
        <v>2.04</v>
      </c>
      <c r="BP32">
        <v>26.594512999999999</v>
      </c>
      <c r="BQ32">
        <v>2.3693379000000001E-2</v>
      </c>
      <c r="BR32">
        <v>3.28</v>
      </c>
      <c r="BS32">
        <v>5.25</v>
      </c>
      <c r="BT32">
        <v>2950700032</v>
      </c>
      <c r="BU32">
        <v>26.378</v>
      </c>
      <c r="BV32">
        <v>87.273139999999998</v>
      </c>
      <c r="BW32">
        <v>-4.3136596999999999E-2</v>
      </c>
      <c r="BX32" s="38">
        <v>-4.9427116999999998E-4</v>
      </c>
      <c r="BY32">
        <v>93.734480000000005</v>
      </c>
      <c r="BZ32">
        <v>-6.5044785000000003</v>
      </c>
      <c r="CA32">
        <v>-6.9392590000000004E-2</v>
      </c>
      <c r="CB32" s="38">
        <v>257389576192</v>
      </c>
      <c r="CC32">
        <v>16.615238000000002</v>
      </c>
      <c r="CD32">
        <v>3.3069223999999999</v>
      </c>
      <c r="CE32">
        <v>15</v>
      </c>
      <c r="CF32" t="s">
        <v>110</v>
      </c>
      <c r="CG32" t="s">
        <v>111</v>
      </c>
      <c r="CH32">
        <v>-14400000</v>
      </c>
      <c r="CI32" t="s">
        <v>116</v>
      </c>
      <c r="CJ32" t="s">
        <v>109</v>
      </c>
      <c r="CK32" t="b">
        <v>0</v>
      </c>
      <c r="CL32" t="b">
        <v>1</v>
      </c>
      <c r="CM32">
        <v>0.80897330000000001</v>
      </c>
      <c r="CN32" t="s">
        <v>282</v>
      </c>
      <c r="CO32">
        <v>86.1</v>
      </c>
      <c r="CP32">
        <v>87.33</v>
      </c>
      <c r="CQ32">
        <v>87.34</v>
      </c>
      <c r="CR32">
        <v>1</v>
      </c>
      <c r="CS32">
        <v>4</v>
      </c>
      <c r="CT32" t="s">
        <v>212</v>
      </c>
      <c r="CU32" t="s">
        <v>113</v>
      </c>
      <c r="CV32" t="s">
        <v>213</v>
      </c>
      <c r="CW32" t="s">
        <v>107</v>
      </c>
      <c r="CX32">
        <v>11938896</v>
      </c>
      <c r="CY32" s="38">
        <v>7200300</v>
      </c>
      <c r="CZ32">
        <v>14.100006</v>
      </c>
      <c r="DA32">
        <v>0.19280742000000001</v>
      </c>
      <c r="DB32" t="s">
        <v>211</v>
      </c>
      <c r="DC32">
        <v>-22.75</v>
      </c>
      <c r="DD32">
        <v>-0.20685579000000001</v>
      </c>
      <c r="DE32">
        <v>73.13</v>
      </c>
      <c r="DF32">
        <v>1528070400</v>
      </c>
      <c r="DG32">
        <v>87.23</v>
      </c>
      <c r="DH32">
        <v>1524685277</v>
      </c>
      <c r="DI32">
        <v>0.70000459999999998</v>
      </c>
      <c r="DJ32">
        <v>86.32</v>
      </c>
      <c r="DK32">
        <v>87.7</v>
      </c>
      <c r="DL32">
        <v>85.9</v>
      </c>
      <c r="DM32">
        <v>4824395</v>
      </c>
      <c r="DN32">
        <v>0</v>
      </c>
      <c r="DO32">
        <v>2</v>
      </c>
      <c r="DP32" t="s">
        <v>271</v>
      </c>
      <c r="DQ32" t="s">
        <v>85</v>
      </c>
      <c r="DR32" t="s">
        <v>108</v>
      </c>
    </row>
    <row r="33" spans="1:54" x14ac:dyDescent="0.25">
      <c r="A33">
        <v>30</v>
      </c>
      <c r="B33" s="21"/>
      <c r="C33" t="str">
        <f t="shared" ca="1" si="0"/>
        <v/>
      </c>
      <c r="D33" s="17" t="str">
        <f t="shared" ca="1" si="6"/>
        <v/>
      </c>
      <c r="E33" t="str">
        <f t="shared" ca="1" si="7"/>
        <v/>
      </c>
      <c r="F33" t="str">
        <f t="shared" ca="1" si="12"/>
        <v/>
      </c>
      <c r="G33" t="str">
        <f t="shared" ca="1" si="12"/>
        <v/>
      </c>
      <c r="H33" t="str">
        <f t="shared" ca="1" si="12"/>
        <v/>
      </c>
      <c r="J33" t="str">
        <f t="shared" ca="1" si="13"/>
        <v/>
      </c>
      <c r="K33" t="str">
        <f t="shared" ca="1" si="13"/>
        <v/>
      </c>
      <c r="L33" t="str">
        <f t="shared" ca="1" si="13"/>
        <v/>
      </c>
      <c r="M33" t="str">
        <f t="shared" ca="1" si="13"/>
        <v/>
      </c>
      <c r="N33" t="str">
        <f t="shared" ca="1" si="13"/>
        <v/>
      </c>
      <c r="O33" t="str">
        <f t="shared" ca="1" si="13"/>
        <v/>
      </c>
      <c r="P33" t="str">
        <f t="shared" ca="1" si="13"/>
        <v/>
      </c>
      <c r="Q33" t="str">
        <f t="shared" ca="1" si="13"/>
        <v/>
      </c>
      <c r="R33" t="str">
        <f t="shared" ca="1" si="13"/>
        <v/>
      </c>
      <c r="S33" t="str">
        <f t="shared" ca="1" si="13"/>
        <v/>
      </c>
      <c r="T33" t="str">
        <f t="shared" ca="1" si="13"/>
        <v/>
      </c>
      <c r="U33" s="32" t="str">
        <f t="shared" ca="1" si="13"/>
        <v/>
      </c>
      <c r="V33" t="str">
        <f t="shared" ca="1" si="13"/>
        <v/>
      </c>
      <c r="W33" t="str">
        <f t="shared" ca="1" si="13"/>
        <v/>
      </c>
      <c r="X33" s="17" t="str">
        <f t="shared" ca="1" si="8"/>
        <v/>
      </c>
      <c r="Y33" t="str">
        <f t="shared" ca="1" si="14"/>
        <v/>
      </c>
      <c r="Z33" t="str">
        <f t="shared" ca="1" si="14"/>
        <v/>
      </c>
      <c r="AA33" t="str">
        <f t="shared" ca="1" si="14"/>
        <v/>
      </c>
      <c r="AB33" t="str">
        <f t="shared" ca="1" si="14"/>
        <v/>
      </c>
      <c r="AC33" t="str">
        <f t="shared" ca="1" si="14"/>
        <v/>
      </c>
      <c r="AD33" t="str">
        <f t="shared" ca="1" si="14"/>
        <v/>
      </c>
      <c r="AE33" t="str">
        <f t="shared" ca="1" si="14"/>
        <v/>
      </c>
      <c r="AF33" t="str">
        <f t="shared" ca="1" si="14"/>
        <v/>
      </c>
      <c r="AG33" t="str">
        <f t="shared" ca="1" si="14"/>
        <v/>
      </c>
      <c r="AH33" t="str">
        <f t="shared" ca="1" si="14"/>
        <v/>
      </c>
      <c r="AI33" t="str">
        <f t="shared" ca="1" si="15"/>
        <v/>
      </c>
      <c r="AJ33" t="str">
        <f t="shared" ca="1" si="15"/>
        <v/>
      </c>
      <c r="AK33" t="str">
        <f t="shared" ca="1" si="15"/>
        <v/>
      </c>
      <c r="AL33" t="str">
        <f t="shared" ca="1" si="15"/>
        <v/>
      </c>
      <c r="AM33" t="str">
        <f t="shared" ca="1" si="15"/>
        <v/>
      </c>
      <c r="AN33" t="str">
        <f t="shared" ca="1" si="15"/>
        <v/>
      </c>
      <c r="AO33" t="str">
        <f t="shared" ca="1" si="15"/>
        <v/>
      </c>
      <c r="AP33" t="str">
        <f t="shared" ca="1" si="15"/>
        <v/>
      </c>
      <c r="AQ33" t="str">
        <f t="shared" ca="1" si="15"/>
        <v/>
      </c>
      <c r="AR33" t="str">
        <f t="shared" ca="1" si="15"/>
        <v/>
      </c>
      <c r="AZ33" t="str">
        <f t="shared" ca="1" si="16"/>
        <v/>
      </c>
      <c r="BA33" t="str">
        <f t="shared" ca="1" si="16"/>
        <v/>
      </c>
      <c r="BB33" t="str">
        <f t="shared" ca="1" si="16"/>
        <v/>
      </c>
    </row>
    <row r="34" spans="1:54" x14ac:dyDescent="0.25">
      <c r="A34">
        <v>31</v>
      </c>
      <c r="B34" s="21"/>
      <c r="C34" t="str">
        <f t="shared" ca="1" si="0"/>
        <v/>
      </c>
      <c r="D34" s="17" t="str">
        <f t="shared" ca="1" si="6"/>
        <v/>
      </c>
      <c r="E34" t="str">
        <f t="shared" ca="1" si="7"/>
        <v/>
      </c>
      <c r="F34" t="str">
        <f t="shared" ca="1" si="12"/>
        <v/>
      </c>
      <c r="G34" t="str">
        <f t="shared" ca="1" si="12"/>
        <v/>
      </c>
      <c r="H34" t="str">
        <f t="shared" ca="1" si="12"/>
        <v/>
      </c>
      <c r="J34" t="str">
        <f t="shared" ref="J34:W43" ca="1" si="17">IFERROR(HLOOKUP(J$3, OFFSET(JSONstart,2*$A34-2,0,2,75), 2,FALSE),  "")</f>
        <v/>
      </c>
      <c r="K34" t="str">
        <f t="shared" ca="1" si="17"/>
        <v/>
      </c>
      <c r="L34" t="str">
        <f t="shared" ca="1" si="17"/>
        <v/>
      </c>
      <c r="M34" t="str">
        <f t="shared" ca="1" si="17"/>
        <v/>
      </c>
      <c r="N34" t="str">
        <f t="shared" ca="1" si="17"/>
        <v/>
      </c>
      <c r="O34" t="str">
        <f t="shared" ca="1" si="17"/>
        <v/>
      </c>
      <c r="P34" t="str">
        <f t="shared" ca="1" si="17"/>
        <v/>
      </c>
      <c r="Q34" t="str">
        <f t="shared" ca="1" si="17"/>
        <v/>
      </c>
      <c r="R34" t="str">
        <f t="shared" ca="1" si="17"/>
        <v/>
      </c>
      <c r="S34" t="str">
        <f t="shared" ca="1" si="17"/>
        <v/>
      </c>
      <c r="T34" t="str">
        <f t="shared" ca="1" si="17"/>
        <v/>
      </c>
      <c r="U34" s="32" t="str">
        <f t="shared" ca="1" si="17"/>
        <v/>
      </c>
      <c r="V34" t="str">
        <f t="shared" ca="1" si="17"/>
        <v/>
      </c>
      <c r="W34" t="str">
        <f t="shared" ca="1" si="17"/>
        <v/>
      </c>
      <c r="X34" s="17" t="str">
        <f t="shared" ca="1" si="8"/>
        <v/>
      </c>
      <c r="Y34" t="str">
        <f t="shared" ref="Y34:AH43" ca="1" si="18">IFERROR(HLOOKUP(Y$3, OFFSET(JSONstart,2*$A34-2,0,2,75), 2,FALSE),   "")</f>
        <v/>
      </c>
      <c r="Z34" t="str">
        <f t="shared" ca="1" si="18"/>
        <v/>
      </c>
      <c r="AA34" t="str">
        <f t="shared" ca="1" si="18"/>
        <v/>
      </c>
      <c r="AB34" t="str">
        <f t="shared" ca="1" si="18"/>
        <v/>
      </c>
      <c r="AC34" t="str">
        <f t="shared" ca="1" si="18"/>
        <v/>
      </c>
      <c r="AD34" t="str">
        <f t="shared" ca="1" si="18"/>
        <v/>
      </c>
      <c r="AE34" t="str">
        <f t="shared" ca="1" si="18"/>
        <v/>
      </c>
      <c r="AF34" t="str">
        <f t="shared" ca="1" si="18"/>
        <v/>
      </c>
      <c r="AG34" t="str">
        <f t="shared" ca="1" si="18"/>
        <v/>
      </c>
      <c r="AH34" t="str">
        <f t="shared" ca="1" si="18"/>
        <v/>
      </c>
      <c r="AI34" t="str">
        <f t="shared" ref="AI34:AR43" ca="1" si="19">IFERROR(HLOOKUP(AI$3, OFFSET(JSONstart,2*$A34-2,0,2,75), 2,FALSE),   "")</f>
        <v/>
      </c>
      <c r="AJ34" t="str">
        <f t="shared" ca="1" si="19"/>
        <v/>
      </c>
      <c r="AK34" t="str">
        <f t="shared" ca="1" si="19"/>
        <v/>
      </c>
      <c r="AL34" t="str">
        <f t="shared" ca="1" si="19"/>
        <v/>
      </c>
      <c r="AM34" t="str">
        <f t="shared" ca="1" si="19"/>
        <v/>
      </c>
      <c r="AN34" t="str">
        <f t="shared" ca="1" si="19"/>
        <v/>
      </c>
      <c r="AO34" t="str">
        <f t="shared" ca="1" si="19"/>
        <v/>
      </c>
      <c r="AP34" t="str">
        <f t="shared" ca="1" si="19"/>
        <v/>
      </c>
      <c r="AQ34" t="str">
        <f t="shared" ca="1" si="19"/>
        <v/>
      </c>
      <c r="AR34" t="str">
        <f t="shared" ca="1" si="19"/>
        <v/>
      </c>
      <c r="AZ34" t="str">
        <f t="shared" ca="1" si="16"/>
        <v/>
      </c>
      <c r="BA34" t="str">
        <f t="shared" ca="1" si="16"/>
        <v/>
      </c>
      <c r="BB34" t="str">
        <f t="shared" ca="1" si="16"/>
        <v/>
      </c>
    </row>
    <row r="35" spans="1:54" x14ac:dyDescent="0.25">
      <c r="A35">
        <v>32</v>
      </c>
      <c r="B35" s="21"/>
      <c r="C35" t="str">
        <f t="shared" ca="1" si="0"/>
        <v/>
      </c>
      <c r="D35" s="17" t="str">
        <f t="shared" ca="1" si="6"/>
        <v/>
      </c>
      <c r="E35" t="str">
        <f t="shared" ca="1" si="7"/>
        <v/>
      </c>
      <c r="F35" t="str">
        <f t="shared" ca="1" si="12"/>
        <v/>
      </c>
      <c r="G35" t="str">
        <f t="shared" ca="1" si="12"/>
        <v/>
      </c>
      <c r="H35" t="str">
        <f t="shared" ca="1" si="12"/>
        <v/>
      </c>
      <c r="J35" t="str">
        <f t="shared" ca="1" si="17"/>
        <v/>
      </c>
      <c r="K35" t="str">
        <f t="shared" ca="1" si="17"/>
        <v/>
      </c>
      <c r="L35" t="str">
        <f t="shared" ca="1" si="17"/>
        <v/>
      </c>
      <c r="M35" t="str">
        <f t="shared" ca="1" si="17"/>
        <v/>
      </c>
      <c r="N35" t="str">
        <f t="shared" ca="1" si="17"/>
        <v/>
      </c>
      <c r="O35" t="str">
        <f t="shared" ca="1" si="17"/>
        <v/>
      </c>
      <c r="P35" t="str">
        <f t="shared" ca="1" si="17"/>
        <v/>
      </c>
      <c r="Q35" t="str">
        <f t="shared" ca="1" si="17"/>
        <v/>
      </c>
      <c r="R35" t="str">
        <f t="shared" ca="1" si="17"/>
        <v/>
      </c>
      <c r="S35" t="str">
        <f t="shared" ca="1" si="17"/>
        <v/>
      </c>
      <c r="T35" t="str">
        <f t="shared" ca="1" si="17"/>
        <v/>
      </c>
      <c r="U35" s="32" t="str">
        <f t="shared" ca="1" si="17"/>
        <v/>
      </c>
      <c r="V35" t="str">
        <f t="shared" ca="1" si="17"/>
        <v/>
      </c>
      <c r="W35" t="str">
        <f t="shared" ca="1" si="17"/>
        <v/>
      </c>
      <c r="X35" s="17" t="str">
        <f t="shared" ca="1" si="8"/>
        <v/>
      </c>
      <c r="Y35" t="str">
        <f t="shared" ca="1" si="18"/>
        <v/>
      </c>
      <c r="Z35" t="str">
        <f t="shared" ca="1" si="18"/>
        <v/>
      </c>
      <c r="AA35" t="str">
        <f t="shared" ca="1" si="18"/>
        <v/>
      </c>
      <c r="AB35" t="str">
        <f t="shared" ca="1" si="18"/>
        <v/>
      </c>
      <c r="AC35" t="str">
        <f t="shared" ca="1" si="18"/>
        <v/>
      </c>
      <c r="AD35" t="str">
        <f t="shared" ca="1" si="18"/>
        <v/>
      </c>
      <c r="AE35" t="str">
        <f t="shared" ca="1" si="18"/>
        <v/>
      </c>
      <c r="AF35" t="str">
        <f t="shared" ca="1" si="18"/>
        <v/>
      </c>
      <c r="AG35" t="str">
        <f t="shared" ca="1" si="18"/>
        <v/>
      </c>
      <c r="AH35" t="str">
        <f t="shared" ca="1" si="18"/>
        <v/>
      </c>
      <c r="AI35" t="str">
        <f t="shared" ca="1" si="19"/>
        <v/>
      </c>
      <c r="AJ35" t="str">
        <f t="shared" ca="1" si="19"/>
        <v/>
      </c>
      <c r="AK35" t="str">
        <f t="shared" ca="1" si="19"/>
        <v/>
      </c>
      <c r="AL35" t="str">
        <f t="shared" ca="1" si="19"/>
        <v/>
      </c>
      <c r="AM35" t="str">
        <f t="shared" ca="1" si="19"/>
        <v/>
      </c>
      <c r="AN35" t="str">
        <f t="shared" ca="1" si="19"/>
        <v/>
      </c>
      <c r="AO35" t="str">
        <f t="shared" ca="1" si="19"/>
        <v/>
      </c>
      <c r="AP35" t="str">
        <f t="shared" ca="1" si="19"/>
        <v/>
      </c>
      <c r="AQ35" t="str">
        <f t="shared" ca="1" si="19"/>
        <v/>
      </c>
      <c r="AR35" t="str">
        <f t="shared" ca="1" si="19"/>
        <v/>
      </c>
      <c r="AZ35" t="str">
        <f t="shared" ca="1" si="16"/>
        <v/>
      </c>
      <c r="BA35" t="str">
        <f t="shared" ca="1" si="16"/>
        <v/>
      </c>
      <c r="BB35" t="str">
        <f t="shared" ca="1" si="16"/>
        <v/>
      </c>
    </row>
    <row r="36" spans="1:54" x14ac:dyDescent="0.25">
      <c r="A36">
        <v>33</v>
      </c>
      <c r="B36" s="21"/>
      <c r="C36" t="str">
        <f t="shared" ref="C36:C67" ca="1" si="20">IFERROR(HLOOKUP(C$3, OFFSET(JSONstart,2*$A36-2,0,2,75), 2,FALSE),   "")</f>
        <v/>
      </c>
      <c r="D36" s="17" t="str">
        <f t="shared" ca="1" si="6"/>
        <v/>
      </c>
      <c r="E36" t="str">
        <f t="shared" ca="1" si="7"/>
        <v/>
      </c>
      <c r="F36" t="str">
        <f t="shared" ca="1" si="12"/>
        <v/>
      </c>
      <c r="G36" t="str">
        <f t="shared" ca="1" si="12"/>
        <v/>
      </c>
      <c r="H36" t="str">
        <f t="shared" ca="1" si="12"/>
        <v/>
      </c>
      <c r="J36" t="str">
        <f t="shared" ca="1" si="17"/>
        <v/>
      </c>
      <c r="K36" t="str">
        <f t="shared" ca="1" si="17"/>
        <v/>
      </c>
      <c r="L36" t="str">
        <f t="shared" ca="1" si="17"/>
        <v/>
      </c>
      <c r="M36" t="str">
        <f t="shared" ca="1" si="17"/>
        <v/>
      </c>
      <c r="N36" t="str">
        <f t="shared" ca="1" si="17"/>
        <v/>
      </c>
      <c r="O36" t="str">
        <f t="shared" ca="1" si="17"/>
        <v/>
      </c>
      <c r="P36" t="str">
        <f t="shared" ca="1" si="17"/>
        <v/>
      </c>
      <c r="Q36" t="str">
        <f t="shared" ca="1" si="17"/>
        <v/>
      </c>
      <c r="R36" t="str">
        <f t="shared" ca="1" si="17"/>
        <v/>
      </c>
      <c r="S36" t="str">
        <f t="shared" ca="1" si="17"/>
        <v/>
      </c>
      <c r="T36" t="str">
        <f t="shared" ca="1" si="17"/>
        <v/>
      </c>
      <c r="U36" s="32" t="str">
        <f t="shared" ca="1" si="17"/>
        <v/>
      </c>
      <c r="V36" t="str">
        <f t="shared" ca="1" si="17"/>
        <v/>
      </c>
      <c r="W36" t="str">
        <f t="shared" ca="1" si="17"/>
        <v/>
      </c>
      <c r="X36" s="17" t="str">
        <f t="shared" ca="1" si="8"/>
        <v/>
      </c>
      <c r="Y36" t="str">
        <f t="shared" ca="1" si="18"/>
        <v/>
      </c>
      <c r="Z36" t="str">
        <f t="shared" ca="1" si="18"/>
        <v/>
      </c>
      <c r="AA36" t="str">
        <f t="shared" ca="1" si="18"/>
        <v/>
      </c>
      <c r="AB36" t="str">
        <f t="shared" ca="1" si="18"/>
        <v/>
      </c>
      <c r="AC36" t="str">
        <f t="shared" ca="1" si="18"/>
        <v/>
      </c>
      <c r="AD36" t="str">
        <f t="shared" ca="1" si="18"/>
        <v/>
      </c>
      <c r="AE36" t="str">
        <f t="shared" ca="1" si="18"/>
        <v/>
      </c>
      <c r="AF36" t="str">
        <f t="shared" ca="1" si="18"/>
        <v/>
      </c>
      <c r="AG36" t="str">
        <f t="shared" ca="1" si="18"/>
        <v/>
      </c>
      <c r="AH36" t="str">
        <f t="shared" ca="1" si="18"/>
        <v/>
      </c>
      <c r="AI36" t="str">
        <f t="shared" ca="1" si="19"/>
        <v/>
      </c>
      <c r="AJ36" t="str">
        <f t="shared" ca="1" si="19"/>
        <v/>
      </c>
      <c r="AK36" t="str">
        <f t="shared" ca="1" si="19"/>
        <v/>
      </c>
      <c r="AL36" t="str">
        <f t="shared" ca="1" si="19"/>
        <v/>
      </c>
      <c r="AM36" t="str">
        <f t="shared" ca="1" si="19"/>
        <v/>
      </c>
      <c r="AN36" t="str">
        <f t="shared" ca="1" si="19"/>
        <v/>
      </c>
      <c r="AO36" t="str">
        <f t="shared" ca="1" si="19"/>
        <v/>
      </c>
      <c r="AP36" t="str">
        <f t="shared" ca="1" si="19"/>
        <v/>
      </c>
      <c r="AQ36" t="str">
        <f t="shared" ca="1" si="19"/>
        <v/>
      </c>
      <c r="AR36" t="str">
        <f t="shared" ca="1" si="19"/>
        <v/>
      </c>
      <c r="AZ36" t="str">
        <f t="shared" ca="1" si="16"/>
        <v/>
      </c>
      <c r="BA36" t="str">
        <f t="shared" ca="1" si="16"/>
        <v/>
      </c>
      <c r="BB36" t="str">
        <f t="shared" ca="1" si="16"/>
        <v/>
      </c>
    </row>
    <row r="37" spans="1:54" x14ac:dyDescent="0.25">
      <c r="A37">
        <v>34</v>
      </c>
      <c r="B37" s="21"/>
      <c r="C37" t="str">
        <f t="shared" ca="1" si="20"/>
        <v/>
      </c>
      <c r="D37" s="17" t="str">
        <f t="shared" ca="1" si="6"/>
        <v/>
      </c>
      <c r="E37" t="str">
        <f t="shared" ca="1" si="7"/>
        <v/>
      </c>
      <c r="F37" t="str">
        <f t="shared" ca="1" si="12"/>
        <v/>
      </c>
      <c r="G37" t="str">
        <f t="shared" ca="1" si="12"/>
        <v/>
      </c>
      <c r="H37" t="str">
        <f t="shared" ca="1" si="12"/>
        <v/>
      </c>
      <c r="J37" t="str">
        <f t="shared" ca="1" si="17"/>
        <v/>
      </c>
      <c r="K37" t="str">
        <f t="shared" ca="1" si="17"/>
        <v/>
      </c>
      <c r="L37" t="str">
        <f t="shared" ca="1" si="17"/>
        <v/>
      </c>
      <c r="M37" t="str">
        <f t="shared" ca="1" si="17"/>
        <v/>
      </c>
      <c r="N37" t="str">
        <f t="shared" ca="1" si="17"/>
        <v/>
      </c>
      <c r="O37" t="str">
        <f t="shared" ca="1" si="17"/>
        <v/>
      </c>
      <c r="P37" t="str">
        <f t="shared" ca="1" si="17"/>
        <v/>
      </c>
      <c r="Q37" t="str">
        <f t="shared" ca="1" si="17"/>
        <v/>
      </c>
      <c r="R37" t="str">
        <f t="shared" ca="1" si="17"/>
        <v/>
      </c>
      <c r="S37" t="str">
        <f t="shared" ca="1" si="17"/>
        <v/>
      </c>
      <c r="T37" t="str">
        <f t="shared" ca="1" si="17"/>
        <v/>
      </c>
      <c r="U37" s="32" t="str">
        <f t="shared" ca="1" si="17"/>
        <v/>
      </c>
      <c r="V37" t="str">
        <f t="shared" ca="1" si="17"/>
        <v/>
      </c>
      <c r="W37" t="str">
        <f t="shared" ca="1" si="17"/>
        <v/>
      </c>
      <c r="X37" s="17" t="str">
        <f t="shared" ca="1" si="8"/>
        <v/>
      </c>
      <c r="Y37" t="str">
        <f t="shared" ca="1" si="18"/>
        <v/>
      </c>
      <c r="Z37" t="str">
        <f t="shared" ca="1" si="18"/>
        <v/>
      </c>
      <c r="AA37" t="str">
        <f t="shared" ca="1" si="18"/>
        <v/>
      </c>
      <c r="AB37" t="str">
        <f t="shared" ca="1" si="18"/>
        <v/>
      </c>
      <c r="AC37" t="str">
        <f t="shared" ca="1" si="18"/>
        <v/>
      </c>
      <c r="AD37" t="str">
        <f t="shared" ca="1" si="18"/>
        <v/>
      </c>
      <c r="AE37" t="str">
        <f t="shared" ca="1" si="18"/>
        <v/>
      </c>
      <c r="AF37" t="str">
        <f t="shared" ca="1" si="18"/>
        <v/>
      </c>
      <c r="AG37" t="str">
        <f t="shared" ca="1" si="18"/>
        <v/>
      </c>
      <c r="AH37" t="str">
        <f t="shared" ca="1" si="18"/>
        <v/>
      </c>
      <c r="AI37" t="str">
        <f t="shared" ca="1" si="19"/>
        <v/>
      </c>
      <c r="AJ37" t="str">
        <f t="shared" ca="1" si="19"/>
        <v/>
      </c>
      <c r="AK37" t="str">
        <f t="shared" ca="1" si="19"/>
        <v/>
      </c>
      <c r="AL37" t="str">
        <f t="shared" ca="1" si="19"/>
        <v/>
      </c>
      <c r="AM37" t="str">
        <f t="shared" ca="1" si="19"/>
        <v/>
      </c>
      <c r="AN37" t="str">
        <f t="shared" ca="1" si="19"/>
        <v/>
      </c>
      <c r="AO37" t="str">
        <f t="shared" ca="1" si="19"/>
        <v/>
      </c>
      <c r="AP37" t="str">
        <f t="shared" ca="1" si="19"/>
        <v/>
      </c>
      <c r="AQ37" t="str">
        <f t="shared" ca="1" si="19"/>
        <v/>
      </c>
      <c r="AR37" t="str">
        <f t="shared" ca="1" si="19"/>
        <v/>
      </c>
      <c r="AZ37" t="str">
        <f t="shared" ca="1" si="16"/>
        <v/>
      </c>
      <c r="BA37" t="str">
        <f t="shared" ca="1" si="16"/>
        <v/>
      </c>
      <c r="BB37" t="str">
        <f t="shared" ca="1" si="16"/>
        <v/>
      </c>
    </row>
    <row r="38" spans="1:54" x14ac:dyDescent="0.25">
      <c r="A38">
        <v>35</v>
      </c>
      <c r="B38" s="21"/>
      <c r="C38" t="str">
        <f t="shared" ca="1" si="20"/>
        <v/>
      </c>
      <c r="D38" s="17" t="str">
        <f t="shared" ca="1" si="6"/>
        <v/>
      </c>
      <c r="E38" t="str">
        <f t="shared" ca="1" si="7"/>
        <v/>
      </c>
      <c r="F38" t="str">
        <f t="shared" ca="1" si="12"/>
        <v/>
      </c>
      <c r="G38" t="str">
        <f t="shared" ca="1" si="12"/>
        <v/>
      </c>
      <c r="H38" t="str">
        <f t="shared" ca="1" si="12"/>
        <v/>
      </c>
      <c r="J38" t="str">
        <f t="shared" ca="1" si="17"/>
        <v/>
      </c>
      <c r="K38" t="str">
        <f t="shared" ca="1" si="17"/>
        <v/>
      </c>
      <c r="L38" t="str">
        <f t="shared" ca="1" si="17"/>
        <v/>
      </c>
      <c r="M38" t="str">
        <f t="shared" ca="1" si="17"/>
        <v/>
      </c>
      <c r="N38" t="str">
        <f t="shared" ca="1" si="17"/>
        <v/>
      </c>
      <c r="O38" t="str">
        <f t="shared" ca="1" si="17"/>
        <v/>
      </c>
      <c r="P38" t="str">
        <f t="shared" ca="1" si="17"/>
        <v/>
      </c>
      <c r="Q38" t="str">
        <f t="shared" ca="1" si="17"/>
        <v/>
      </c>
      <c r="R38" t="str">
        <f t="shared" ca="1" si="17"/>
        <v/>
      </c>
      <c r="S38" t="str">
        <f t="shared" ca="1" si="17"/>
        <v/>
      </c>
      <c r="T38" t="str">
        <f t="shared" ca="1" si="17"/>
        <v/>
      </c>
      <c r="U38" s="32" t="str">
        <f t="shared" ca="1" si="17"/>
        <v/>
      </c>
      <c r="V38" t="str">
        <f t="shared" ca="1" si="17"/>
        <v/>
      </c>
      <c r="W38" t="str">
        <f t="shared" ca="1" si="17"/>
        <v/>
      </c>
      <c r="X38" s="17" t="str">
        <f t="shared" ca="1" si="8"/>
        <v/>
      </c>
      <c r="Y38" t="str">
        <f t="shared" ca="1" si="18"/>
        <v/>
      </c>
      <c r="Z38" t="str">
        <f t="shared" ca="1" si="18"/>
        <v/>
      </c>
      <c r="AA38" t="str">
        <f t="shared" ca="1" si="18"/>
        <v/>
      </c>
      <c r="AB38" t="str">
        <f t="shared" ca="1" si="18"/>
        <v/>
      </c>
      <c r="AC38" t="str">
        <f t="shared" ca="1" si="18"/>
        <v/>
      </c>
      <c r="AD38" t="str">
        <f t="shared" ca="1" si="18"/>
        <v/>
      </c>
      <c r="AE38" t="str">
        <f t="shared" ca="1" si="18"/>
        <v/>
      </c>
      <c r="AF38" t="str">
        <f t="shared" ca="1" si="18"/>
        <v/>
      </c>
      <c r="AG38" t="str">
        <f t="shared" ca="1" si="18"/>
        <v/>
      </c>
      <c r="AH38" t="str">
        <f t="shared" ca="1" si="18"/>
        <v/>
      </c>
      <c r="AI38" t="str">
        <f t="shared" ca="1" si="19"/>
        <v/>
      </c>
      <c r="AJ38" t="str">
        <f t="shared" ca="1" si="19"/>
        <v/>
      </c>
      <c r="AK38" t="str">
        <f t="shared" ca="1" si="19"/>
        <v/>
      </c>
      <c r="AL38" t="str">
        <f t="shared" ca="1" si="19"/>
        <v/>
      </c>
      <c r="AM38" t="str">
        <f t="shared" ca="1" si="19"/>
        <v/>
      </c>
      <c r="AN38" t="str">
        <f t="shared" ca="1" si="19"/>
        <v/>
      </c>
      <c r="AO38" t="str">
        <f t="shared" ca="1" si="19"/>
        <v/>
      </c>
      <c r="AP38" t="str">
        <f t="shared" ca="1" si="19"/>
        <v/>
      </c>
      <c r="AQ38" t="str">
        <f t="shared" ca="1" si="19"/>
        <v/>
      </c>
      <c r="AR38" t="str">
        <f t="shared" ca="1" si="19"/>
        <v/>
      </c>
      <c r="AZ38" t="str">
        <f t="shared" ca="1" si="16"/>
        <v/>
      </c>
      <c r="BA38" t="str">
        <f t="shared" ca="1" si="16"/>
        <v/>
      </c>
      <c r="BB38" t="str">
        <f t="shared" ca="1" si="16"/>
        <v/>
      </c>
    </row>
    <row r="39" spans="1:54" x14ac:dyDescent="0.25">
      <c r="A39">
        <v>36</v>
      </c>
      <c r="B39" s="21"/>
      <c r="C39" t="str">
        <f t="shared" ca="1" si="20"/>
        <v/>
      </c>
      <c r="D39" s="17" t="str">
        <f t="shared" ca="1" si="6"/>
        <v/>
      </c>
      <c r="E39" t="str">
        <f t="shared" ca="1" si="7"/>
        <v/>
      </c>
      <c r="F39" t="str">
        <f t="shared" ca="1" si="12"/>
        <v/>
      </c>
      <c r="G39" t="str">
        <f t="shared" ca="1" si="12"/>
        <v/>
      </c>
      <c r="H39" t="str">
        <f t="shared" ca="1" si="12"/>
        <v/>
      </c>
      <c r="J39" t="str">
        <f t="shared" ca="1" si="17"/>
        <v/>
      </c>
      <c r="K39" t="str">
        <f t="shared" ca="1" si="17"/>
        <v/>
      </c>
      <c r="L39" t="str">
        <f t="shared" ca="1" si="17"/>
        <v/>
      </c>
      <c r="M39" t="str">
        <f t="shared" ca="1" si="17"/>
        <v/>
      </c>
      <c r="N39" t="str">
        <f t="shared" ca="1" si="17"/>
        <v/>
      </c>
      <c r="O39" t="str">
        <f t="shared" ca="1" si="17"/>
        <v/>
      </c>
      <c r="P39" t="str">
        <f t="shared" ca="1" si="17"/>
        <v/>
      </c>
      <c r="Q39" t="str">
        <f t="shared" ca="1" si="17"/>
        <v/>
      </c>
      <c r="R39" t="str">
        <f t="shared" ca="1" si="17"/>
        <v/>
      </c>
      <c r="S39" t="str">
        <f t="shared" ca="1" si="17"/>
        <v/>
      </c>
      <c r="T39" t="str">
        <f t="shared" ca="1" si="17"/>
        <v/>
      </c>
      <c r="U39" s="32" t="str">
        <f t="shared" ca="1" si="17"/>
        <v/>
      </c>
      <c r="V39" t="str">
        <f t="shared" ca="1" si="17"/>
        <v/>
      </c>
      <c r="W39" t="str">
        <f t="shared" ca="1" si="17"/>
        <v/>
      </c>
      <c r="X39" s="17" t="str">
        <f t="shared" ca="1" si="8"/>
        <v/>
      </c>
      <c r="Y39" t="str">
        <f t="shared" ca="1" si="18"/>
        <v/>
      </c>
      <c r="Z39" t="str">
        <f t="shared" ca="1" si="18"/>
        <v/>
      </c>
      <c r="AA39" t="str">
        <f t="shared" ca="1" si="18"/>
        <v/>
      </c>
      <c r="AB39" t="str">
        <f t="shared" ca="1" si="18"/>
        <v/>
      </c>
      <c r="AC39" t="str">
        <f t="shared" ca="1" si="18"/>
        <v/>
      </c>
      <c r="AD39" t="str">
        <f t="shared" ca="1" si="18"/>
        <v/>
      </c>
      <c r="AE39" t="str">
        <f t="shared" ca="1" si="18"/>
        <v/>
      </c>
      <c r="AF39" t="str">
        <f t="shared" ca="1" si="18"/>
        <v/>
      </c>
      <c r="AG39" t="str">
        <f t="shared" ca="1" si="18"/>
        <v/>
      </c>
      <c r="AH39" t="str">
        <f t="shared" ca="1" si="18"/>
        <v/>
      </c>
      <c r="AI39" t="str">
        <f t="shared" ca="1" si="19"/>
        <v/>
      </c>
      <c r="AJ39" t="str">
        <f t="shared" ca="1" si="19"/>
        <v/>
      </c>
      <c r="AK39" t="str">
        <f t="shared" ca="1" si="19"/>
        <v/>
      </c>
      <c r="AL39" t="str">
        <f t="shared" ca="1" si="19"/>
        <v/>
      </c>
      <c r="AM39" t="str">
        <f t="shared" ca="1" si="19"/>
        <v/>
      </c>
      <c r="AN39" t="str">
        <f t="shared" ca="1" si="19"/>
        <v/>
      </c>
      <c r="AO39" t="str">
        <f t="shared" ca="1" si="19"/>
        <v/>
      </c>
      <c r="AP39" t="str">
        <f t="shared" ca="1" si="19"/>
        <v/>
      </c>
      <c r="AQ39" t="str">
        <f t="shared" ca="1" si="19"/>
        <v/>
      </c>
      <c r="AR39" t="str">
        <f t="shared" ca="1" si="19"/>
        <v/>
      </c>
      <c r="AZ39" t="str">
        <f t="shared" ca="1" si="16"/>
        <v/>
      </c>
      <c r="BA39" t="str">
        <f t="shared" ca="1" si="16"/>
        <v/>
      </c>
      <c r="BB39" t="str">
        <f t="shared" ca="1" si="16"/>
        <v/>
      </c>
    </row>
    <row r="40" spans="1:54" x14ac:dyDescent="0.25">
      <c r="A40">
        <v>37</v>
      </c>
      <c r="B40" s="21"/>
      <c r="C40" t="str">
        <f t="shared" ca="1" si="20"/>
        <v/>
      </c>
      <c r="D40" s="17" t="str">
        <f t="shared" ca="1" si="6"/>
        <v/>
      </c>
      <c r="E40" t="str">
        <f t="shared" ca="1" si="7"/>
        <v/>
      </c>
      <c r="F40" t="str">
        <f t="shared" ca="1" si="12"/>
        <v/>
      </c>
      <c r="G40" t="str">
        <f t="shared" ca="1" si="12"/>
        <v/>
      </c>
      <c r="H40" t="str">
        <f t="shared" ca="1" si="12"/>
        <v/>
      </c>
      <c r="J40" t="str">
        <f t="shared" ca="1" si="17"/>
        <v/>
      </c>
      <c r="K40" t="str">
        <f t="shared" ca="1" si="17"/>
        <v/>
      </c>
      <c r="L40" t="str">
        <f t="shared" ca="1" si="17"/>
        <v/>
      </c>
      <c r="M40" t="str">
        <f t="shared" ca="1" si="17"/>
        <v/>
      </c>
      <c r="N40" t="str">
        <f t="shared" ca="1" si="17"/>
        <v/>
      </c>
      <c r="O40" t="str">
        <f t="shared" ca="1" si="17"/>
        <v/>
      </c>
      <c r="P40" t="str">
        <f t="shared" ca="1" si="17"/>
        <v/>
      </c>
      <c r="Q40" t="str">
        <f t="shared" ca="1" si="17"/>
        <v/>
      </c>
      <c r="R40" t="str">
        <f t="shared" ca="1" si="17"/>
        <v/>
      </c>
      <c r="S40" t="str">
        <f t="shared" ca="1" si="17"/>
        <v/>
      </c>
      <c r="T40" t="str">
        <f t="shared" ca="1" si="17"/>
        <v/>
      </c>
      <c r="U40" s="32" t="str">
        <f t="shared" ca="1" si="17"/>
        <v/>
      </c>
      <c r="V40" t="str">
        <f t="shared" ca="1" si="17"/>
        <v/>
      </c>
      <c r="W40" t="str">
        <f t="shared" ca="1" si="17"/>
        <v/>
      </c>
      <c r="X40" s="17" t="str">
        <f t="shared" ca="1" si="8"/>
        <v/>
      </c>
      <c r="Y40" t="str">
        <f t="shared" ca="1" si="18"/>
        <v/>
      </c>
      <c r="Z40" t="str">
        <f t="shared" ca="1" si="18"/>
        <v/>
      </c>
      <c r="AA40" t="str">
        <f t="shared" ca="1" si="18"/>
        <v/>
      </c>
      <c r="AB40" t="str">
        <f t="shared" ca="1" si="18"/>
        <v/>
      </c>
      <c r="AC40" t="str">
        <f t="shared" ca="1" si="18"/>
        <v/>
      </c>
      <c r="AD40" t="str">
        <f t="shared" ca="1" si="18"/>
        <v/>
      </c>
      <c r="AE40" t="str">
        <f t="shared" ca="1" si="18"/>
        <v/>
      </c>
      <c r="AF40" t="str">
        <f t="shared" ca="1" si="18"/>
        <v/>
      </c>
      <c r="AG40" t="str">
        <f t="shared" ca="1" si="18"/>
        <v/>
      </c>
      <c r="AH40" t="str">
        <f t="shared" ca="1" si="18"/>
        <v/>
      </c>
      <c r="AI40" t="str">
        <f t="shared" ca="1" si="19"/>
        <v/>
      </c>
      <c r="AJ40" t="str">
        <f t="shared" ca="1" si="19"/>
        <v/>
      </c>
      <c r="AK40" t="str">
        <f t="shared" ca="1" si="19"/>
        <v/>
      </c>
      <c r="AL40" t="str">
        <f t="shared" ca="1" si="19"/>
        <v/>
      </c>
      <c r="AM40" t="str">
        <f t="shared" ca="1" si="19"/>
        <v/>
      </c>
      <c r="AN40" t="str">
        <f t="shared" ca="1" si="19"/>
        <v/>
      </c>
      <c r="AO40" t="str">
        <f t="shared" ca="1" si="19"/>
        <v/>
      </c>
      <c r="AP40" t="str">
        <f t="shared" ca="1" si="19"/>
        <v/>
      </c>
      <c r="AQ40" t="str">
        <f t="shared" ca="1" si="19"/>
        <v/>
      </c>
      <c r="AR40" t="str">
        <f t="shared" ca="1" si="19"/>
        <v/>
      </c>
      <c r="AZ40" t="str">
        <f t="shared" ca="1" si="16"/>
        <v/>
      </c>
      <c r="BA40" t="str">
        <f t="shared" ca="1" si="16"/>
        <v/>
      </c>
      <c r="BB40" t="str">
        <f t="shared" ca="1" si="16"/>
        <v/>
      </c>
    </row>
    <row r="41" spans="1:54" x14ac:dyDescent="0.25">
      <c r="A41">
        <v>38</v>
      </c>
      <c r="B41" s="21"/>
      <c r="C41" t="str">
        <f t="shared" ca="1" si="20"/>
        <v/>
      </c>
      <c r="D41" s="17" t="str">
        <f t="shared" ca="1" si="6"/>
        <v/>
      </c>
      <c r="E41" t="str">
        <f t="shared" ca="1" si="7"/>
        <v/>
      </c>
      <c r="F41" t="str">
        <f t="shared" ca="1" si="12"/>
        <v/>
      </c>
      <c r="G41" t="str">
        <f t="shared" ca="1" si="12"/>
        <v/>
      </c>
      <c r="H41" t="str">
        <f t="shared" ca="1" si="12"/>
        <v/>
      </c>
      <c r="J41" t="str">
        <f t="shared" ca="1" si="17"/>
        <v/>
      </c>
      <c r="K41" t="str">
        <f t="shared" ca="1" si="17"/>
        <v/>
      </c>
      <c r="L41" t="str">
        <f t="shared" ca="1" si="17"/>
        <v/>
      </c>
      <c r="M41" t="str">
        <f t="shared" ca="1" si="17"/>
        <v/>
      </c>
      <c r="N41" t="str">
        <f t="shared" ca="1" si="17"/>
        <v/>
      </c>
      <c r="O41" t="str">
        <f t="shared" ca="1" si="17"/>
        <v/>
      </c>
      <c r="P41" t="str">
        <f t="shared" ca="1" si="17"/>
        <v/>
      </c>
      <c r="Q41" t="str">
        <f t="shared" ca="1" si="17"/>
        <v/>
      </c>
      <c r="R41" t="str">
        <f t="shared" ca="1" si="17"/>
        <v/>
      </c>
      <c r="S41" t="str">
        <f t="shared" ca="1" si="17"/>
        <v/>
      </c>
      <c r="T41" t="str">
        <f t="shared" ca="1" si="17"/>
        <v/>
      </c>
      <c r="U41" s="32" t="str">
        <f t="shared" ca="1" si="17"/>
        <v/>
      </c>
      <c r="V41" t="str">
        <f t="shared" ca="1" si="17"/>
        <v/>
      </c>
      <c r="W41" t="str">
        <f t="shared" ca="1" si="17"/>
        <v/>
      </c>
      <c r="X41" s="17" t="str">
        <f t="shared" ca="1" si="8"/>
        <v/>
      </c>
      <c r="Y41" t="str">
        <f t="shared" ca="1" si="18"/>
        <v/>
      </c>
      <c r="Z41" t="str">
        <f t="shared" ca="1" si="18"/>
        <v/>
      </c>
      <c r="AA41" t="str">
        <f t="shared" ca="1" si="18"/>
        <v/>
      </c>
      <c r="AB41" t="str">
        <f t="shared" ca="1" si="18"/>
        <v/>
      </c>
      <c r="AC41" t="str">
        <f t="shared" ca="1" si="18"/>
        <v/>
      </c>
      <c r="AD41" t="str">
        <f t="shared" ca="1" si="18"/>
        <v/>
      </c>
      <c r="AE41" t="str">
        <f t="shared" ca="1" si="18"/>
        <v/>
      </c>
      <c r="AF41" t="str">
        <f t="shared" ca="1" si="18"/>
        <v/>
      </c>
      <c r="AG41" t="str">
        <f t="shared" ca="1" si="18"/>
        <v/>
      </c>
      <c r="AH41" t="str">
        <f t="shared" ca="1" si="18"/>
        <v/>
      </c>
      <c r="AI41" t="str">
        <f t="shared" ca="1" si="19"/>
        <v/>
      </c>
      <c r="AJ41" t="str">
        <f t="shared" ca="1" si="19"/>
        <v/>
      </c>
      <c r="AK41" t="str">
        <f t="shared" ca="1" si="19"/>
        <v/>
      </c>
      <c r="AL41" t="str">
        <f t="shared" ca="1" si="19"/>
        <v/>
      </c>
      <c r="AM41" t="str">
        <f t="shared" ca="1" si="19"/>
        <v/>
      </c>
      <c r="AN41" t="str">
        <f t="shared" ca="1" si="19"/>
        <v/>
      </c>
      <c r="AO41" t="str">
        <f t="shared" ca="1" si="19"/>
        <v/>
      </c>
      <c r="AP41" t="str">
        <f t="shared" ca="1" si="19"/>
        <v/>
      </c>
      <c r="AQ41" t="str">
        <f t="shared" ca="1" si="19"/>
        <v/>
      </c>
      <c r="AR41" t="str">
        <f t="shared" ca="1" si="19"/>
        <v/>
      </c>
      <c r="AZ41" t="str">
        <f t="shared" ca="1" si="16"/>
        <v/>
      </c>
      <c r="BA41" t="str">
        <f t="shared" ca="1" si="16"/>
        <v/>
      </c>
      <c r="BB41" t="str">
        <f t="shared" ca="1" si="16"/>
        <v/>
      </c>
    </row>
    <row r="42" spans="1:54" x14ac:dyDescent="0.25">
      <c r="A42">
        <v>39</v>
      </c>
      <c r="B42" s="21"/>
      <c r="C42" t="str">
        <f t="shared" ca="1" si="20"/>
        <v/>
      </c>
      <c r="D42" s="17" t="str">
        <f t="shared" ca="1" si="6"/>
        <v/>
      </c>
      <c r="E42" t="str">
        <f t="shared" ca="1" si="7"/>
        <v/>
      </c>
      <c r="F42" t="str">
        <f t="shared" ca="1" si="12"/>
        <v/>
      </c>
      <c r="G42" t="str">
        <f t="shared" ca="1" si="12"/>
        <v/>
      </c>
      <c r="H42" t="str">
        <f t="shared" ca="1" si="12"/>
        <v/>
      </c>
      <c r="J42" t="str">
        <f t="shared" ca="1" si="17"/>
        <v/>
      </c>
      <c r="K42" t="str">
        <f t="shared" ca="1" si="17"/>
        <v/>
      </c>
      <c r="L42" t="str">
        <f t="shared" ca="1" si="17"/>
        <v/>
      </c>
      <c r="M42" t="str">
        <f t="shared" ca="1" si="17"/>
        <v/>
      </c>
      <c r="N42" t="str">
        <f t="shared" ca="1" si="17"/>
        <v/>
      </c>
      <c r="O42" t="str">
        <f t="shared" ca="1" si="17"/>
        <v/>
      </c>
      <c r="P42" t="str">
        <f t="shared" ca="1" si="17"/>
        <v/>
      </c>
      <c r="Q42" t="str">
        <f t="shared" ca="1" si="17"/>
        <v/>
      </c>
      <c r="R42" t="str">
        <f t="shared" ca="1" si="17"/>
        <v/>
      </c>
      <c r="S42" t="str">
        <f t="shared" ca="1" si="17"/>
        <v/>
      </c>
      <c r="T42" t="str">
        <f t="shared" ca="1" si="17"/>
        <v/>
      </c>
      <c r="U42" s="32" t="str">
        <f t="shared" ca="1" si="17"/>
        <v/>
      </c>
      <c r="V42" t="str">
        <f t="shared" ca="1" si="17"/>
        <v/>
      </c>
      <c r="W42" t="str">
        <f t="shared" ca="1" si="17"/>
        <v/>
      </c>
      <c r="X42" s="17" t="str">
        <f t="shared" ca="1" si="8"/>
        <v/>
      </c>
      <c r="Y42" t="str">
        <f t="shared" ca="1" si="18"/>
        <v/>
      </c>
      <c r="Z42" t="str">
        <f t="shared" ca="1" si="18"/>
        <v/>
      </c>
      <c r="AA42" t="str">
        <f t="shared" ca="1" si="18"/>
        <v/>
      </c>
      <c r="AB42" t="str">
        <f t="shared" ca="1" si="18"/>
        <v/>
      </c>
      <c r="AC42" t="str">
        <f t="shared" ca="1" si="18"/>
        <v/>
      </c>
      <c r="AD42" t="str">
        <f t="shared" ca="1" si="18"/>
        <v/>
      </c>
      <c r="AE42" t="str">
        <f t="shared" ca="1" si="18"/>
        <v/>
      </c>
      <c r="AF42" t="str">
        <f t="shared" ca="1" si="18"/>
        <v/>
      </c>
      <c r="AG42" t="str">
        <f t="shared" ca="1" si="18"/>
        <v/>
      </c>
      <c r="AH42" t="str">
        <f t="shared" ca="1" si="18"/>
        <v/>
      </c>
      <c r="AI42" t="str">
        <f t="shared" ca="1" si="19"/>
        <v/>
      </c>
      <c r="AJ42" t="str">
        <f t="shared" ca="1" si="19"/>
        <v/>
      </c>
      <c r="AK42" t="str">
        <f t="shared" ca="1" si="19"/>
        <v/>
      </c>
      <c r="AL42" t="str">
        <f t="shared" ca="1" si="19"/>
        <v/>
      </c>
      <c r="AM42" t="str">
        <f t="shared" ca="1" si="19"/>
        <v/>
      </c>
      <c r="AN42" t="str">
        <f t="shared" ca="1" si="19"/>
        <v/>
      </c>
      <c r="AO42" t="str">
        <f t="shared" ca="1" si="19"/>
        <v/>
      </c>
      <c r="AP42" t="str">
        <f t="shared" ca="1" si="19"/>
        <v/>
      </c>
      <c r="AQ42" t="str">
        <f t="shared" ca="1" si="19"/>
        <v/>
      </c>
      <c r="AR42" t="str">
        <f t="shared" ca="1" si="19"/>
        <v/>
      </c>
      <c r="AZ42" t="str">
        <f t="shared" ca="1" si="16"/>
        <v/>
      </c>
      <c r="BA42" t="str">
        <f t="shared" ca="1" si="16"/>
        <v/>
      </c>
      <c r="BB42" t="str">
        <f t="shared" ca="1" si="16"/>
        <v/>
      </c>
    </row>
    <row r="43" spans="1:54" x14ac:dyDescent="0.25">
      <c r="A43">
        <v>40</v>
      </c>
      <c r="B43" s="21"/>
      <c r="C43" t="str">
        <f t="shared" ca="1" si="20"/>
        <v/>
      </c>
      <c r="D43" s="17" t="str">
        <f t="shared" ca="1" si="6"/>
        <v/>
      </c>
      <c r="E43" t="str">
        <f t="shared" ca="1" si="7"/>
        <v/>
      </c>
      <c r="F43" t="str">
        <f t="shared" ca="1" si="12"/>
        <v/>
      </c>
      <c r="G43" t="str">
        <f t="shared" ca="1" si="12"/>
        <v/>
      </c>
      <c r="H43" t="str">
        <f t="shared" ca="1" si="12"/>
        <v/>
      </c>
      <c r="J43" t="str">
        <f t="shared" ca="1" si="17"/>
        <v/>
      </c>
      <c r="K43" t="str">
        <f t="shared" ca="1" si="17"/>
        <v/>
      </c>
      <c r="L43" t="str">
        <f t="shared" ca="1" si="17"/>
        <v/>
      </c>
      <c r="M43" t="str">
        <f t="shared" ca="1" si="17"/>
        <v/>
      </c>
      <c r="N43" t="str">
        <f t="shared" ca="1" si="17"/>
        <v/>
      </c>
      <c r="O43" t="str">
        <f t="shared" ca="1" si="17"/>
        <v/>
      </c>
      <c r="P43" t="str">
        <f t="shared" ca="1" si="17"/>
        <v/>
      </c>
      <c r="Q43" t="str">
        <f t="shared" ca="1" si="17"/>
        <v/>
      </c>
      <c r="R43" t="str">
        <f t="shared" ca="1" si="17"/>
        <v/>
      </c>
      <c r="S43" t="str">
        <f t="shared" ca="1" si="17"/>
        <v/>
      </c>
      <c r="T43" t="str">
        <f t="shared" ca="1" si="17"/>
        <v/>
      </c>
      <c r="U43" s="32" t="str">
        <f t="shared" ca="1" si="17"/>
        <v/>
      </c>
      <c r="V43" t="str">
        <f t="shared" ca="1" si="17"/>
        <v/>
      </c>
      <c r="W43" t="str">
        <f t="shared" ca="1" si="17"/>
        <v/>
      </c>
      <c r="X43" s="17" t="str">
        <f t="shared" ca="1" si="8"/>
        <v/>
      </c>
      <c r="Y43" t="str">
        <f t="shared" ca="1" si="18"/>
        <v/>
      </c>
      <c r="Z43" t="str">
        <f t="shared" ca="1" si="18"/>
        <v/>
      </c>
      <c r="AA43" t="str">
        <f t="shared" ca="1" si="18"/>
        <v/>
      </c>
      <c r="AB43" t="str">
        <f t="shared" ca="1" si="18"/>
        <v/>
      </c>
      <c r="AC43" t="str">
        <f t="shared" ca="1" si="18"/>
        <v/>
      </c>
      <c r="AD43" t="str">
        <f t="shared" ca="1" si="18"/>
        <v/>
      </c>
      <c r="AE43" t="str">
        <f t="shared" ca="1" si="18"/>
        <v/>
      </c>
      <c r="AF43" t="str">
        <f t="shared" ca="1" si="18"/>
        <v/>
      </c>
      <c r="AG43" t="str">
        <f t="shared" ca="1" si="18"/>
        <v/>
      </c>
      <c r="AH43" t="str">
        <f t="shared" ca="1" si="18"/>
        <v/>
      </c>
      <c r="AI43" t="str">
        <f t="shared" ca="1" si="19"/>
        <v/>
      </c>
      <c r="AJ43" t="str">
        <f t="shared" ca="1" si="19"/>
        <v/>
      </c>
      <c r="AK43" t="str">
        <f t="shared" ca="1" si="19"/>
        <v/>
      </c>
      <c r="AL43" t="str">
        <f t="shared" ca="1" si="19"/>
        <v/>
      </c>
      <c r="AM43" t="str">
        <f t="shared" ca="1" si="19"/>
        <v/>
      </c>
      <c r="AN43" t="str">
        <f t="shared" ca="1" si="19"/>
        <v/>
      </c>
      <c r="AO43" t="str">
        <f t="shared" ca="1" si="19"/>
        <v/>
      </c>
      <c r="AP43" t="str">
        <f t="shared" ca="1" si="19"/>
        <v/>
      </c>
      <c r="AQ43" t="str">
        <f t="shared" ca="1" si="19"/>
        <v/>
      </c>
      <c r="AR43" t="str">
        <f t="shared" ca="1" si="19"/>
        <v/>
      </c>
      <c r="AZ43" t="str">
        <f t="shared" ca="1" si="16"/>
        <v/>
      </c>
      <c r="BA43" t="str">
        <f t="shared" ca="1" si="16"/>
        <v/>
      </c>
      <c r="BB43" t="str">
        <f t="shared" ca="1" si="16"/>
        <v/>
      </c>
    </row>
    <row r="44" spans="1:54" x14ac:dyDescent="0.25">
      <c r="A44">
        <v>41</v>
      </c>
      <c r="B44" s="21"/>
      <c r="C44" t="str">
        <f t="shared" ca="1" si="20"/>
        <v/>
      </c>
      <c r="D44" s="17" t="str">
        <f t="shared" ca="1" si="6"/>
        <v/>
      </c>
      <c r="E44" t="str">
        <f t="shared" ca="1" si="7"/>
        <v/>
      </c>
      <c r="F44" t="str">
        <f t="shared" ref="F44:H63" ca="1" si="21">IFERROR(HLOOKUP(F$3, OFFSET(JSONstart,2*$A44-2,0,2,75), 2,FALSE),  "")</f>
        <v/>
      </c>
      <c r="G44" t="str">
        <f t="shared" ca="1" si="21"/>
        <v/>
      </c>
      <c r="H44" t="str">
        <f t="shared" ca="1" si="21"/>
        <v/>
      </c>
      <c r="J44" t="str">
        <f t="shared" ref="J44:W53" ca="1" si="22">IFERROR(HLOOKUP(J$3, OFFSET(JSONstart,2*$A44-2,0,2,75), 2,FALSE),  "")</f>
        <v/>
      </c>
      <c r="K44" t="str">
        <f t="shared" ca="1" si="22"/>
        <v/>
      </c>
      <c r="L44" t="str">
        <f t="shared" ca="1" si="22"/>
        <v/>
      </c>
      <c r="M44" t="str">
        <f t="shared" ca="1" si="22"/>
        <v/>
      </c>
      <c r="N44" t="str">
        <f t="shared" ca="1" si="22"/>
        <v/>
      </c>
      <c r="O44" t="str">
        <f t="shared" ca="1" si="22"/>
        <v/>
      </c>
      <c r="P44" t="str">
        <f t="shared" ca="1" si="22"/>
        <v/>
      </c>
      <c r="Q44" t="str">
        <f t="shared" ca="1" si="22"/>
        <v/>
      </c>
      <c r="R44" t="str">
        <f t="shared" ca="1" si="22"/>
        <v/>
      </c>
      <c r="S44" t="str">
        <f t="shared" ca="1" si="22"/>
        <v/>
      </c>
      <c r="T44" t="str">
        <f t="shared" ca="1" si="22"/>
        <v/>
      </c>
      <c r="U44" s="32" t="str">
        <f t="shared" ca="1" si="22"/>
        <v/>
      </c>
      <c r="V44" t="str">
        <f t="shared" ca="1" si="22"/>
        <v/>
      </c>
      <c r="W44" t="str">
        <f t="shared" ca="1" si="22"/>
        <v/>
      </c>
      <c r="X44" s="17" t="str">
        <f t="shared" ca="1" si="8"/>
        <v/>
      </c>
      <c r="Y44" t="str">
        <f t="shared" ref="Y44:AH53" ca="1" si="23">IFERROR(HLOOKUP(Y$3, OFFSET(JSONstart,2*$A44-2,0,2,75), 2,FALSE),   "")</f>
        <v/>
      </c>
      <c r="Z44" t="str">
        <f t="shared" ca="1" si="23"/>
        <v/>
      </c>
      <c r="AA44" t="str">
        <f t="shared" ca="1" si="23"/>
        <v/>
      </c>
      <c r="AB44" t="str">
        <f t="shared" ca="1" si="23"/>
        <v/>
      </c>
      <c r="AC44" t="str">
        <f t="shared" ca="1" si="23"/>
        <v/>
      </c>
      <c r="AD44" t="str">
        <f t="shared" ca="1" si="23"/>
        <v/>
      </c>
      <c r="AE44" t="str">
        <f t="shared" ca="1" si="23"/>
        <v/>
      </c>
      <c r="AF44" t="str">
        <f t="shared" ca="1" si="23"/>
        <v/>
      </c>
      <c r="AG44" t="str">
        <f t="shared" ca="1" si="23"/>
        <v/>
      </c>
      <c r="AH44" t="str">
        <f t="shared" ca="1" si="23"/>
        <v/>
      </c>
      <c r="AI44" t="str">
        <f t="shared" ref="AI44:AR53" ca="1" si="24">IFERROR(HLOOKUP(AI$3, OFFSET(JSONstart,2*$A44-2,0,2,75), 2,FALSE),   "")</f>
        <v/>
      </c>
      <c r="AJ44" t="str">
        <f t="shared" ca="1" si="24"/>
        <v/>
      </c>
      <c r="AK44" t="str">
        <f t="shared" ca="1" si="24"/>
        <v/>
      </c>
      <c r="AL44" t="str">
        <f t="shared" ca="1" si="24"/>
        <v/>
      </c>
      <c r="AM44" t="str">
        <f t="shared" ca="1" si="24"/>
        <v/>
      </c>
      <c r="AN44" t="str">
        <f t="shared" ca="1" si="24"/>
        <v/>
      </c>
      <c r="AO44" t="str">
        <f t="shared" ca="1" si="24"/>
        <v/>
      </c>
      <c r="AP44" t="str">
        <f t="shared" ca="1" si="24"/>
        <v/>
      </c>
      <c r="AQ44" t="str">
        <f t="shared" ca="1" si="24"/>
        <v/>
      </c>
      <c r="AR44" t="str">
        <f t="shared" ca="1" si="24"/>
        <v/>
      </c>
      <c r="AZ44" t="str">
        <f t="shared" ref="AZ44:BB63" ca="1" si="25">IFERROR(HLOOKUP(AZ$3, OFFSET(JSONstart,2*$A44-2,0,2,70), 2,FALSE),  "")</f>
        <v/>
      </c>
      <c r="BA44" t="str">
        <f t="shared" ca="1" si="25"/>
        <v/>
      </c>
      <c r="BB44" t="str">
        <f t="shared" ca="1" si="25"/>
        <v/>
      </c>
    </row>
    <row r="45" spans="1:54" x14ac:dyDescent="0.25">
      <c r="A45">
        <v>42</v>
      </c>
      <c r="B45" s="21"/>
      <c r="C45" t="str">
        <f t="shared" ca="1" si="20"/>
        <v/>
      </c>
      <c r="D45" s="17" t="str">
        <f t="shared" ca="1" si="6"/>
        <v/>
      </c>
      <c r="E45" t="str">
        <f t="shared" ca="1" si="7"/>
        <v/>
      </c>
      <c r="F45" t="str">
        <f t="shared" ca="1" si="21"/>
        <v/>
      </c>
      <c r="G45" t="str">
        <f t="shared" ca="1" si="21"/>
        <v/>
      </c>
      <c r="H45" t="str">
        <f t="shared" ca="1" si="21"/>
        <v/>
      </c>
      <c r="J45" t="str">
        <f t="shared" ca="1" si="22"/>
        <v/>
      </c>
      <c r="K45" t="str">
        <f t="shared" ca="1" si="22"/>
        <v/>
      </c>
      <c r="L45" t="str">
        <f t="shared" ca="1" si="22"/>
        <v/>
      </c>
      <c r="M45" t="str">
        <f t="shared" ca="1" si="22"/>
        <v/>
      </c>
      <c r="N45" t="str">
        <f t="shared" ca="1" si="22"/>
        <v/>
      </c>
      <c r="O45" t="str">
        <f t="shared" ca="1" si="22"/>
        <v/>
      </c>
      <c r="P45" t="str">
        <f t="shared" ca="1" si="22"/>
        <v/>
      </c>
      <c r="Q45" t="str">
        <f t="shared" ca="1" si="22"/>
        <v/>
      </c>
      <c r="R45" t="str">
        <f t="shared" ca="1" si="22"/>
        <v/>
      </c>
      <c r="S45" t="str">
        <f t="shared" ca="1" si="22"/>
        <v/>
      </c>
      <c r="T45" t="str">
        <f t="shared" ca="1" si="22"/>
        <v/>
      </c>
      <c r="U45" s="32" t="str">
        <f t="shared" ca="1" si="22"/>
        <v/>
      </c>
      <c r="V45" t="str">
        <f t="shared" ca="1" si="22"/>
        <v/>
      </c>
      <c r="W45" t="str">
        <f t="shared" ca="1" si="22"/>
        <v/>
      </c>
      <c r="X45" s="17" t="str">
        <f t="shared" ca="1" si="8"/>
        <v/>
      </c>
      <c r="Y45" t="str">
        <f t="shared" ca="1" si="23"/>
        <v/>
      </c>
      <c r="Z45" t="str">
        <f t="shared" ca="1" si="23"/>
        <v/>
      </c>
      <c r="AA45" t="str">
        <f t="shared" ca="1" si="23"/>
        <v/>
      </c>
      <c r="AB45" t="str">
        <f t="shared" ca="1" si="23"/>
        <v/>
      </c>
      <c r="AC45" t="str">
        <f t="shared" ca="1" si="23"/>
        <v/>
      </c>
      <c r="AD45" t="str">
        <f t="shared" ca="1" si="23"/>
        <v/>
      </c>
      <c r="AE45" t="str">
        <f t="shared" ca="1" si="23"/>
        <v/>
      </c>
      <c r="AF45" t="str">
        <f t="shared" ca="1" si="23"/>
        <v/>
      </c>
      <c r="AG45" t="str">
        <f t="shared" ca="1" si="23"/>
        <v/>
      </c>
      <c r="AH45" t="str">
        <f t="shared" ca="1" si="23"/>
        <v/>
      </c>
      <c r="AI45" t="str">
        <f t="shared" ca="1" si="24"/>
        <v/>
      </c>
      <c r="AJ45" t="str">
        <f t="shared" ca="1" si="24"/>
        <v/>
      </c>
      <c r="AK45" t="str">
        <f t="shared" ca="1" si="24"/>
        <v/>
      </c>
      <c r="AL45" t="str">
        <f t="shared" ca="1" si="24"/>
        <v/>
      </c>
      <c r="AM45" t="str">
        <f t="shared" ca="1" si="24"/>
        <v/>
      </c>
      <c r="AN45" t="str">
        <f t="shared" ca="1" si="24"/>
        <v/>
      </c>
      <c r="AO45" t="str">
        <f t="shared" ca="1" si="24"/>
        <v/>
      </c>
      <c r="AP45" t="str">
        <f t="shared" ca="1" si="24"/>
        <v/>
      </c>
      <c r="AQ45" t="str">
        <f t="shared" ca="1" si="24"/>
        <v/>
      </c>
      <c r="AR45" t="str">
        <f t="shared" ca="1" si="24"/>
        <v/>
      </c>
      <c r="AZ45" t="str">
        <f t="shared" ca="1" si="25"/>
        <v/>
      </c>
      <c r="BA45" t="str">
        <f t="shared" ca="1" si="25"/>
        <v/>
      </c>
      <c r="BB45" t="str">
        <f t="shared" ca="1" si="25"/>
        <v/>
      </c>
    </row>
    <row r="46" spans="1:54" x14ac:dyDescent="0.25">
      <c r="A46">
        <v>43</v>
      </c>
      <c r="B46" s="21"/>
      <c r="C46" t="str">
        <f t="shared" ca="1" si="20"/>
        <v/>
      </c>
      <c r="D46" s="17" t="str">
        <f t="shared" ca="1" si="6"/>
        <v/>
      </c>
      <c r="E46" t="str">
        <f t="shared" ca="1" si="7"/>
        <v/>
      </c>
      <c r="F46" t="str">
        <f t="shared" ca="1" si="21"/>
        <v/>
      </c>
      <c r="G46" t="str">
        <f t="shared" ca="1" si="21"/>
        <v/>
      </c>
      <c r="H46" t="str">
        <f t="shared" ca="1" si="21"/>
        <v/>
      </c>
      <c r="J46" t="str">
        <f t="shared" ca="1" si="22"/>
        <v/>
      </c>
      <c r="K46" t="str">
        <f t="shared" ca="1" si="22"/>
        <v/>
      </c>
      <c r="L46" t="str">
        <f t="shared" ca="1" si="22"/>
        <v/>
      </c>
      <c r="M46" t="str">
        <f t="shared" ca="1" si="22"/>
        <v/>
      </c>
      <c r="N46" t="str">
        <f t="shared" ca="1" si="22"/>
        <v/>
      </c>
      <c r="O46" t="str">
        <f t="shared" ca="1" si="22"/>
        <v/>
      </c>
      <c r="P46" t="str">
        <f t="shared" ca="1" si="22"/>
        <v/>
      </c>
      <c r="Q46" t="str">
        <f t="shared" ca="1" si="22"/>
        <v/>
      </c>
      <c r="R46" t="str">
        <f t="shared" ca="1" si="22"/>
        <v/>
      </c>
      <c r="S46" t="str">
        <f t="shared" ca="1" si="22"/>
        <v/>
      </c>
      <c r="T46" t="str">
        <f t="shared" ca="1" si="22"/>
        <v/>
      </c>
      <c r="U46" s="32" t="str">
        <f t="shared" ca="1" si="22"/>
        <v/>
      </c>
      <c r="V46" t="str">
        <f t="shared" ca="1" si="22"/>
        <v/>
      </c>
      <c r="W46" t="str">
        <f t="shared" ca="1" si="22"/>
        <v/>
      </c>
      <c r="X46" s="17" t="str">
        <f t="shared" ca="1" si="8"/>
        <v/>
      </c>
      <c r="Y46" t="str">
        <f t="shared" ca="1" si="23"/>
        <v/>
      </c>
      <c r="Z46" t="str">
        <f t="shared" ca="1" si="23"/>
        <v/>
      </c>
      <c r="AA46" t="str">
        <f t="shared" ca="1" si="23"/>
        <v/>
      </c>
      <c r="AB46" t="str">
        <f t="shared" ca="1" si="23"/>
        <v/>
      </c>
      <c r="AC46" t="str">
        <f t="shared" ca="1" si="23"/>
        <v/>
      </c>
      <c r="AD46" t="str">
        <f t="shared" ca="1" si="23"/>
        <v/>
      </c>
      <c r="AE46" t="str">
        <f t="shared" ca="1" si="23"/>
        <v/>
      </c>
      <c r="AF46" t="str">
        <f t="shared" ca="1" si="23"/>
        <v/>
      </c>
      <c r="AG46" t="str">
        <f t="shared" ca="1" si="23"/>
        <v/>
      </c>
      <c r="AH46" t="str">
        <f t="shared" ca="1" si="23"/>
        <v/>
      </c>
      <c r="AI46" t="str">
        <f t="shared" ca="1" si="24"/>
        <v/>
      </c>
      <c r="AJ46" t="str">
        <f t="shared" ca="1" si="24"/>
        <v/>
      </c>
      <c r="AK46" t="str">
        <f t="shared" ca="1" si="24"/>
        <v/>
      </c>
      <c r="AL46" t="str">
        <f t="shared" ca="1" si="24"/>
        <v/>
      </c>
      <c r="AM46" t="str">
        <f t="shared" ca="1" si="24"/>
        <v/>
      </c>
      <c r="AN46" t="str">
        <f t="shared" ca="1" si="24"/>
        <v/>
      </c>
      <c r="AO46" t="str">
        <f t="shared" ca="1" si="24"/>
        <v/>
      </c>
      <c r="AP46" t="str">
        <f t="shared" ca="1" si="24"/>
        <v/>
      </c>
      <c r="AQ46" t="str">
        <f t="shared" ca="1" si="24"/>
        <v/>
      </c>
      <c r="AR46" t="str">
        <f t="shared" ca="1" si="24"/>
        <v/>
      </c>
      <c r="AZ46" t="str">
        <f t="shared" ca="1" si="25"/>
        <v/>
      </c>
      <c r="BA46" t="str">
        <f t="shared" ca="1" si="25"/>
        <v/>
      </c>
      <c r="BB46" t="str">
        <f t="shared" ca="1" si="25"/>
        <v/>
      </c>
    </row>
    <row r="47" spans="1:54" x14ac:dyDescent="0.25">
      <c r="A47">
        <v>44</v>
      </c>
      <c r="B47" s="21"/>
      <c r="C47" t="str">
        <f t="shared" ca="1" si="20"/>
        <v/>
      </c>
      <c r="D47" s="17" t="str">
        <f t="shared" ca="1" si="6"/>
        <v/>
      </c>
      <c r="E47" t="str">
        <f t="shared" ca="1" si="7"/>
        <v/>
      </c>
      <c r="F47" t="str">
        <f t="shared" ca="1" si="21"/>
        <v/>
      </c>
      <c r="G47" t="str">
        <f t="shared" ca="1" si="21"/>
        <v/>
      </c>
      <c r="H47" t="str">
        <f t="shared" ca="1" si="21"/>
        <v/>
      </c>
      <c r="J47" t="str">
        <f t="shared" ca="1" si="22"/>
        <v/>
      </c>
      <c r="K47" t="str">
        <f t="shared" ca="1" si="22"/>
        <v/>
      </c>
      <c r="L47" t="str">
        <f t="shared" ca="1" si="22"/>
        <v/>
      </c>
      <c r="M47" t="str">
        <f t="shared" ca="1" si="22"/>
        <v/>
      </c>
      <c r="N47" t="str">
        <f t="shared" ca="1" si="22"/>
        <v/>
      </c>
      <c r="O47" t="str">
        <f t="shared" ca="1" si="22"/>
        <v/>
      </c>
      <c r="P47" t="str">
        <f t="shared" ca="1" si="22"/>
        <v/>
      </c>
      <c r="Q47" t="str">
        <f t="shared" ca="1" si="22"/>
        <v/>
      </c>
      <c r="R47" t="str">
        <f t="shared" ca="1" si="22"/>
        <v/>
      </c>
      <c r="S47" t="str">
        <f t="shared" ca="1" si="22"/>
        <v/>
      </c>
      <c r="T47" t="str">
        <f t="shared" ca="1" si="22"/>
        <v/>
      </c>
      <c r="U47" s="32" t="str">
        <f t="shared" ca="1" si="22"/>
        <v/>
      </c>
      <c r="V47" t="str">
        <f t="shared" ca="1" si="22"/>
        <v/>
      </c>
      <c r="W47" t="str">
        <f t="shared" ca="1" si="22"/>
        <v/>
      </c>
      <c r="X47" s="17" t="str">
        <f t="shared" ca="1" si="8"/>
        <v/>
      </c>
      <c r="Y47" t="str">
        <f t="shared" ca="1" si="23"/>
        <v/>
      </c>
      <c r="Z47" t="str">
        <f t="shared" ca="1" si="23"/>
        <v/>
      </c>
      <c r="AA47" t="str">
        <f t="shared" ca="1" si="23"/>
        <v/>
      </c>
      <c r="AB47" t="str">
        <f t="shared" ca="1" si="23"/>
        <v/>
      </c>
      <c r="AC47" t="str">
        <f t="shared" ca="1" si="23"/>
        <v/>
      </c>
      <c r="AD47" t="str">
        <f t="shared" ca="1" si="23"/>
        <v/>
      </c>
      <c r="AE47" t="str">
        <f t="shared" ca="1" si="23"/>
        <v/>
      </c>
      <c r="AF47" t="str">
        <f t="shared" ca="1" si="23"/>
        <v/>
      </c>
      <c r="AG47" t="str">
        <f t="shared" ca="1" si="23"/>
        <v/>
      </c>
      <c r="AH47" t="str">
        <f t="shared" ca="1" si="23"/>
        <v/>
      </c>
      <c r="AI47" t="str">
        <f t="shared" ca="1" si="24"/>
        <v/>
      </c>
      <c r="AJ47" t="str">
        <f t="shared" ca="1" si="24"/>
        <v/>
      </c>
      <c r="AK47" t="str">
        <f t="shared" ca="1" si="24"/>
        <v/>
      </c>
      <c r="AL47" t="str">
        <f t="shared" ca="1" si="24"/>
        <v/>
      </c>
      <c r="AM47" t="str">
        <f t="shared" ca="1" si="24"/>
        <v/>
      </c>
      <c r="AN47" t="str">
        <f t="shared" ca="1" si="24"/>
        <v/>
      </c>
      <c r="AO47" t="str">
        <f t="shared" ca="1" si="24"/>
        <v/>
      </c>
      <c r="AP47" t="str">
        <f t="shared" ca="1" si="24"/>
        <v/>
      </c>
      <c r="AQ47" t="str">
        <f t="shared" ca="1" si="24"/>
        <v/>
      </c>
      <c r="AR47" t="str">
        <f t="shared" ca="1" si="24"/>
        <v/>
      </c>
      <c r="AZ47" t="str">
        <f t="shared" ca="1" si="25"/>
        <v/>
      </c>
      <c r="BA47" t="str">
        <f t="shared" ca="1" si="25"/>
        <v/>
      </c>
      <c r="BB47" t="str">
        <f t="shared" ca="1" si="25"/>
        <v/>
      </c>
    </row>
    <row r="48" spans="1:54" x14ac:dyDescent="0.25">
      <c r="A48">
        <v>45</v>
      </c>
      <c r="B48" s="21"/>
      <c r="C48" t="str">
        <f t="shared" ca="1" si="20"/>
        <v/>
      </c>
      <c r="D48" s="17" t="str">
        <f t="shared" ca="1" si="6"/>
        <v/>
      </c>
      <c r="E48" t="str">
        <f t="shared" ca="1" si="7"/>
        <v/>
      </c>
      <c r="F48" t="str">
        <f t="shared" ca="1" si="21"/>
        <v/>
      </c>
      <c r="G48" t="str">
        <f t="shared" ca="1" si="21"/>
        <v/>
      </c>
      <c r="H48" t="str">
        <f t="shared" ca="1" si="21"/>
        <v/>
      </c>
      <c r="J48" t="str">
        <f t="shared" ca="1" si="22"/>
        <v/>
      </c>
      <c r="K48" t="str">
        <f t="shared" ca="1" si="22"/>
        <v/>
      </c>
      <c r="L48" t="str">
        <f t="shared" ca="1" si="22"/>
        <v/>
      </c>
      <c r="M48" t="str">
        <f t="shared" ca="1" si="22"/>
        <v/>
      </c>
      <c r="N48" t="str">
        <f t="shared" ca="1" si="22"/>
        <v/>
      </c>
      <c r="O48" t="str">
        <f t="shared" ca="1" si="22"/>
        <v/>
      </c>
      <c r="P48" t="str">
        <f t="shared" ca="1" si="22"/>
        <v/>
      </c>
      <c r="Q48" t="str">
        <f t="shared" ca="1" si="22"/>
        <v/>
      </c>
      <c r="R48" t="str">
        <f t="shared" ca="1" si="22"/>
        <v/>
      </c>
      <c r="S48" t="str">
        <f t="shared" ca="1" si="22"/>
        <v/>
      </c>
      <c r="T48" t="str">
        <f t="shared" ca="1" si="22"/>
        <v/>
      </c>
      <c r="U48" s="32" t="str">
        <f t="shared" ca="1" si="22"/>
        <v/>
      </c>
      <c r="V48" t="str">
        <f t="shared" ca="1" si="22"/>
        <v/>
      </c>
      <c r="W48" t="str">
        <f t="shared" ca="1" si="22"/>
        <v/>
      </c>
      <c r="X48" s="17" t="str">
        <f t="shared" ca="1" si="8"/>
        <v/>
      </c>
      <c r="Y48" t="str">
        <f t="shared" ca="1" si="23"/>
        <v/>
      </c>
      <c r="Z48" t="str">
        <f t="shared" ca="1" si="23"/>
        <v/>
      </c>
      <c r="AA48" t="str">
        <f t="shared" ca="1" si="23"/>
        <v/>
      </c>
      <c r="AB48" t="str">
        <f t="shared" ca="1" si="23"/>
        <v/>
      </c>
      <c r="AC48" t="str">
        <f t="shared" ca="1" si="23"/>
        <v/>
      </c>
      <c r="AD48" t="str">
        <f t="shared" ca="1" si="23"/>
        <v/>
      </c>
      <c r="AE48" t="str">
        <f t="shared" ca="1" si="23"/>
        <v/>
      </c>
      <c r="AF48" t="str">
        <f t="shared" ca="1" si="23"/>
        <v/>
      </c>
      <c r="AG48" t="str">
        <f t="shared" ca="1" si="23"/>
        <v/>
      </c>
      <c r="AH48" t="str">
        <f t="shared" ca="1" si="23"/>
        <v/>
      </c>
      <c r="AI48" t="str">
        <f t="shared" ca="1" si="24"/>
        <v/>
      </c>
      <c r="AJ48" t="str">
        <f t="shared" ca="1" si="24"/>
        <v/>
      </c>
      <c r="AK48" t="str">
        <f t="shared" ca="1" si="24"/>
        <v/>
      </c>
      <c r="AL48" t="str">
        <f t="shared" ca="1" si="24"/>
        <v/>
      </c>
      <c r="AM48" t="str">
        <f t="shared" ca="1" si="24"/>
        <v/>
      </c>
      <c r="AN48" t="str">
        <f t="shared" ca="1" si="24"/>
        <v/>
      </c>
      <c r="AO48" t="str">
        <f t="shared" ca="1" si="24"/>
        <v/>
      </c>
      <c r="AP48" t="str">
        <f t="shared" ca="1" si="24"/>
        <v/>
      </c>
      <c r="AQ48" t="str">
        <f t="shared" ca="1" si="24"/>
        <v/>
      </c>
      <c r="AR48" t="str">
        <f t="shared" ca="1" si="24"/>
        <v/>
      </c>
      <c r="AZ48" t="str">
        <f t="shared" ca="1" si="25"/>
        <v/>
      </c>
      <c r="BA48" t="str">
        <f t="shared" ca="1" si="25"/>
        <v/>
      </c>
      <c r="BB48" t="str">
        <f t="shared" ca="1" si="25"/>
        <v/>
      </c>
    </row>
    <row r="49" spans="1:54" x14ac:dyDescent="0.25">
      <c r="A49">
        <v>46</v>
      </c>
      <c r="B49" s="21"/>
      <c r="C49" t="str">
        <f t="shared" ca="1" si="20"/>
        <v/>
      </c>
      <c r="D49" s="17" t="str">
        <f t="shared" ca="1" si="6"/>
        <v/>
      </c>
      <c r="E49" t="str">
        <f t="shared" ca="1" si="7"/>
        <v/>
      </c>
      <c r="F49" t="str">
        <f t="shared" ca="1" si="21"/>
        <v/>
      </c>
      <c r="G49" t="str">
        <f t="shared" ca="1" si="21"/>
        <v/>
      </c>
      <c r="H49" t="str">
        <f t="shared" ca="1" si="21"/>
        <v/>
      </c>
      <c r="J49" t="str">
        <f t="shared" ca="1" si="22"/>
        <v/>
      </c>
      <c r="K49" t="str">
        <f t="shared" ca="1" si="22"/>
        <v/>
      </c>
      <c r="L49" t="str">
        <f t="shared" ca="1" si="22"/>
        <v/>
      </c>
      <c r="M49" t="str">
        <f t="shared" ca="1" si="22"/>
        <v/>
      </c>
      <c r="N49" t="str">
        <f t="shared" ca="1" si="22"/>
        <v/>
      </c>
      <c r="O49" t="str">
        <f t="shared" ca="1" si="22"/>
        <v/>
      </c>
      <c r="P49" t="str">
        <f t="shared" ca="1" si="22"/>
        <v/>
      </c>
      <c r="Q49" t="str">
        <f t="shared" ca="1" si="22"/>
        <v/>
      </c>
      <c r="R49" t="str">
        <f t="shared" ca="1" si="22"/>
        <v/>
      </c>
      <c r="S49" t="str">
        <f t="shared" ca="1" si="22"/>
        <v/>
      </c>
      <c r="T49" t="str">
        <f t="shared" ca="1" si="22"/>
        <v/>
      </c>
      <c r="U49" s="32" t="str">
        <f t="shared" ca="1" si="22"/>
        <v/>
      </c>
      <c r="V49" t="str">
        <f t="shared" ca="1" si="22"/>
        <v/>
      </c>
      <c r="W49" t="str">
        <f t="shared" ca="1" si="22"/>
        <v/>
      </c>
      <c r="X49" s="17" t="str">
        <f t="shared" ca="1" si="8"/>
        <v/>
      </c>
      <c r="Y49" t="str">
        <f t="shared" ca="1" si="23"/>
        <v/>
      </c>
      <c r="Z49" t="str">
        <f t="shared" ca="1" si="23"/>
        <v/>
      </c>
      <c r="AA49" t="str">
        <f t="shared" ca="1" si="23"/>
        <v/>
      </c>
      <c r="AB49" t="str">
        <f t="shared" ca="1" si="23"/>
        <v/>
      </c>
      <c r="AC49" t="str">
        <f t="shared" ca="1" si="23"/>
        <v/>
      </c>
      <c r="AD49" t="str">
        <f t="shared" ca="1" si="23"/>
        <v/>
      </c>
      <c r="AE49" t="str">
        <f t="shared" ca="1" si="23"/>
        <v/>
      </c>
      <c r="AF49" t="str">
        <f t="shared" ca="1" si="23"/>
        <v/>
      </c>
      <c r="AG49" t="str">
        <f t="shared" ca="1" si="23"/>
        <v/>
      </c>
      <c r="AH49" t="str">
        <f t="shared" ca="1" si="23"/>
        <v/>
      </c>
      <c r="AI49" t="str">
        <f t="shared" ca="1" si="24"/>
        <v/>
      </c>
      <c r="AJ49" t="str">
        <f t="shared" ca="1" si="24"/>
        <v/>
      </c>
      <c r="AK49" t="str">
        <f t="shared" ca="1" si="24"/>
        <v/>
      </c>
      <c r="AL49" t="str">
        <f t="shared" ca="1" si="24"/>
        <v/>
      </c>
      <c r="AM49" t="str">
        <f t="shared" ca="1" si="24"/>
        <v/>
      </c>
      <c r="AN49" t="str">
        <f t="shared" ca="1" si="24"/>
        <v/>
      </c>
      <c r="AO49" t="str">
        <f t="shared" ca="1" si="24"/>
        <v/>
      </c>
      <c r="AP49" t="str">
        <f t="shared" ca="1" si="24"/>
        <v/>
      </c>
      <c r="AQ49" t="str">
        <f t="shared" ca="1" si="24"/>
        <v/>
      </c>
      <c r="AR49" t="str">
        <f t="shared" ca="1" si="24"/>
        <v/>
      </c>
      <c r="AZ49" t="str">
        <f t="shared" ca="1" si="25"/>
        <v/>
      </c>
      <c r="BA49" t="str">
        <f t="shared" ca="1" si="25"/>
        <v/>
      </c>
      <c r="BB49" t="str">
        <f t="shared" ca="1" si="25"/>
        <v/>
      </c>
    </row>
    <row r="50" spans="1:54" x14ac:dyDescent="0.25">
      <c r="A50">
        <v>47</v>
      </c>
      <c r="B50" s="21"/>
      <c r="C50" t="str">
        <f t="shared" ca="1" si="20"/>
        <v/>
      </c>
      <c r="D50" s="17" t="str">
        <f t="shared" ca="1" si="6"/>
        <v/>
      </c>
      <c r="E50" t="str">
        <f t="shared" ca="1" si="7"/>
        <v/>
      </c>
      <c r="F50" t="str">
        <f t="shared" ca="1" si="21"/>
        <v/>
      </c>
      <c r="G50" t="str">
        <f t="shared" ca="1" si="21"/>
        <v/>
      </c>
      <c r="H50" t="str">
        <f t="shared" ca="1" si="21"/>
        <v/>
      </c>
      <c r="J50" t="str">
        <f t="shared" ca="1" si="22"/>
        <v/>
      </c>
      <c r="K50" t="str">
        <f t="shared" ca="1" si="22"/>
        <v/>
      </c>
      <c r="L50" t="str">
        <f t="shared" ca="1" si="22"/>
        <v/>
      </c>
      <c r="M50" t="str">
        <f t="shared" ca="1" si="22"/>
        <v/>
      </c>
      <c r="N50" t="str">
        <f t="shared" ca="1" si="22"/>
        <v/>
      </c>
      <c r="O50" t="str">
        <f t="shared" ca="1" si="22"/>
        <v/>
      </c>
      <c r="P50" t="str">
        <f t="shared" ca="1" si="22"/>
        <v/>
      </c>
      <c r="Q50" t="str">
        <f t="shared" ca="1" si="22"/>
        <v/>
      </c>
      <c r="R50" t="str">
        <f t="shared" ca="1" si="22"/>
        <v/>
      </c>
      <c r="S50" t="str">
        <f t="shared" ca="1" si="22"/>
        <v/>
      </c>
      <c r="T50" t="str">
        <f t="shared" ca="1" si="22"/>
        <v/>
      </c>
      <c r="U50" s="32" t="str">
        <f t="shared" ca="1" si="22"/>
        <v/>
      </c>
      <c r="V50" t="str">
        <f t="shared" ca="1" si="22"/>
        <v/>
      </c>
      <c r="W50" t="str">
        <f t="shared" ca="1" si="22"/>
        <v/>
      </c>
      <c r="X50" s="17" t="str">
        <f t="shared" ca="1" si="8"/>
        <v/>
      </c>
      <c r="Y50" t="str">
        <f t="shared" ca="1" si="23"/>
        <v/>
      </c>
      <c r="Z50" t="str">
        <f t="shared" ca="1" si="23"/>
        <v/>
      </c>
      <c r="AA50" t="str">
        <f t="shared" ca="1" si="23"/>
        <v/>
      </c>
      <c r="AB50" t="str">
        <f t="shared" ca="1" si="23"/>
        <v/>
      </c>
      <c r="AC50" t="str">
        <f t="shared" ca="1" si="23"/>
        <v/>
      </c>
      <c r="AD50" t="str">
        <f t="shared" ca="1" si="23"/>
        <v/>
      </c>
      <c r="AE50" t="str">
        <f t="shared" ca="1" si="23"/>
        <v/>
      </c>
      <c r="AF50" t="str">
        <f t="shared" ca="1" si="23"/>
        <v/>
      </c>
      <c r="AG50" t="str">
        <f t="shared" ca="1" si="23"/>
        <v/>
      </c>
      <c r="AH50" t="str">
        <f t="shared" ca="1" si="23"/>
        <v/>
      </c>
      <c r="AI50" t="str">
        <f t="shared" ca="1" si="24"/>
        <v/>
      </c>
      <c r="AJ50" t="str">
        <f t="shared" ca="1" si="24"/>
        <v/>
      </c>
      <c r="AK50" t="str">
        <f t="shared" ca="1" si="24"/>
        <v/>
      </c>
      <c r="AL50" t="str">
        <f t="shared" ca="1" si="24"/>
        <v/>
      </c>
      <c r="AM50" t="str">
        <f t="shared" ca="1" si="24"/>
        <v/>
      </c>
      <c r="AN50" t="str">
        <f t="shared" ca="1" si="24"/>
        <v/>
      </c>
      <c r="AO50" t="str">
        <f t="shared" ca="1" si="24"/>
        <v/>
      </c>
      <c r="AP50" t="str">
        <f t="shared" ca="1" si="24"/>
        <v/>
      </c>
      <c r="AQ50" t="str">
        <f t="shared" ca="1" si="24"/>
        <v/>
      </c>
      <c r="AR50" t="str">
        <f t="shared" ca="1" si="24"/>
        <v/>
      </c>
      <c r="AZ50" t="str">
        <f t="shared" ca="1" si="25"/>
        <v/>
      </c>
      <c r="BA50" t="str">
        <f t="shared" ca="1" si="25"/>
        <v/>
      </c>
      <c r="BB50" t="str">
        <f t="shared" ca="1" si="25"/>
        <v/>
      </c>
    </row>
    <row r="51" spans="1:54" x14ac:dyDescent="0.25">
      <c r="A51">
        <v>48</v>
      </c>
      <c r="B51" s="21"/>
      <c r="C51" t="str">
        <f t="shared" ca="1" si="20"/>
        <v/>
      </c>
      <c r="D51" s="17" t="str">
        <f t="shared" ca="1" si="6"/>
        <v/>
      </c>
      <c r="E51" t="str">
        <f t="shared" ca="1" si="7"/>
        <v/>
      </c>
      <c r="F51" t="str">
        <f t="shared" ca="1" si="21"/>
        <v/>
      </c>
      <c r="G51" t="str">
        <f t="shared" ca="1" si="21"/>
        <v/>
      </c>
      <c r="H51" t="str">
        <f t="shared" ca="1" si="21"/>
        <v/>
      </c>
      <c r="J51" t="str">
        <f t="shared" ca="1" si="22"/>
        <v/>
      </c>
      <c r="K51" t="str">
        <f t="shared" ca="1" si="22"/>
        <v/>
      </c>
      <c r="L51" t="str">
        <f t="shared" ca="1" si="22"/>
        <v/>
      </c>
      <c r="M51" t="str">
        <f t="shared" ca="1" si="22"/>
        <v/>
      </c>
      <c r="N51" t="str">
        <f t="shared" ca="1" si="22"/>
        <v/>
      </c>
      <c r="O51" t="str">
        <f t="shared" ca="1" si="22"/>
        <v/>
      </c>
      <c r="P51" t="str">
        <f t="shared" ca="1" si="22"/>
        <v/>
      </c>
      <c r="Q51" t="str">
        <f t="shared" ca="1" si="22"/>
        <v/>
      </c>
      <c r="R51" t="str">
        <f t="shared" ca="1" si="22"/>
        <v/>
      </c>
      <c r="S51" t="str">
        <f t="shared" ca="1" si="22"/>
        <v/>
      </c>
      <c r="T51" t="str">
        <f t="shared" ca="1" si="22"/>
        <v/>
      </c>
      <c r="U51" s="32" t="str">
        <f t="shared" ca="1" si="22"/>
        <v/>
      </c>
      <c r="V51" t="str">
        <f t="shared" ca="1" si="22"/>
        <v/>
      </c>
      <c r="W51" t="str">
        <f t="shared" ca="1" si="22"/>
        <v/>
      </c>
      <c r="X51" s="17" t="str">
        <f t="shared" ca="1" si="8"/>
        <v/>
      </c>
      <c r="Y51" t="str">
        <f t="shared" ca="1" si="23"/>
        <v/>
      </c>
      <c r="Z51" t="str">
        <f t="shared" ca="1" si="23"/>
        <v/>
      </c>
      <c r="AA51" t="str">
        <f t="shared" ca="1" si="23"/>
        <v/>
      </c>
      <c r="AB51" t="str">
        <f t="shared" ca="1" si="23"/>
        <v/>
      </c>
      <c r="AC51" t="str">
        <f t="shared" ca="1" si="23"/>
        <v/>
      </c>
      <c r="AD51" t="str">
        <f t="shared" ca="1" si="23"/>
        <v/>
      </c>
      <c r="AE51" t="str">
        <f t="shared" ca="1" si="23"/>
        <v/>
      </c>
      <c r="AF51" t="str">
        <f t="shared" ca="1" si="23"/>
        <v/>
      </c>
      <c r="AG51" t="str">
        <f t="shared" ca="1" si="23"/>
        <v/>
      </c>
      <c r="AH51" t="str">
        <f t="shared" ca="1" si="23"/>
        <v/>
      </c>
      <c r="AI51" t="str">
        <f t="shared" ca="1" si="24"/>
        <v/>
      </c>
      <c r="AJ51" t="str">
        <f t="shared" ca="1" si="24"/>
        <v/>
      </c>
      <c r="AK51" t="str">
        <f t="shared" ca="1" si="24"/>
        <v/>
      </c>
      <c r="AL51" t="str">
        <f t="shared" ca="1" si="24"/>
        <v/>
      </c>
      <c r="AM51" t="str">
        <f t="shared" ca="1" si="24"/>
        <v/>
      </c>
      <c r="AN51" t="str">
        <f t="shared" ca="1" si="24"/>
        <v/>
      </c>
      <c r="AO51" t="str">
        <f t="shared" ca="1" si="24"/>
        <v/>
      </c>
      <c r="AP51" t="str">
        <f t="shared" ca="1" si="24"/>
        <v/>
      </c>
      <c r="AQ51" t="str">
        <f t="shared" ca="1" si="24"/>
        <v/>
      </c>
      <c r="AR51" t="str">
        <f t="shared" ca="1" si="24"/>
        <v/>
      </c>
      <c r="AZ51" t="str">
        <f t="shared" ca="1" si="25"/>
        <v/>
      </c>
      <c r="BA51" t="str">
        <f t="shared" ca="1" si="25"/>
        <v/>
      </c>
      <c r="BB51" t="str">
        <f t="shared" ca="1" si="25"/>
        <v/>
      </c>
    </row>
    <row r="52" spans="1:54" x14ac:dyDescent="0.25">
      <c r="A52">
        <v>49</v>
      </c>
      <c r="B52" s="21"/>
      <c r="C52" t="str">
        <f t="shared" ca="1" si="20"/>
        <v/>
      </c>
      <c r="D52" s="17" t="str">
        <f t="shared" ca="1" si="6"/>
        <v/>
      </c>
      <c r="E52" t="str">
        <f t="shared" ca="1" si="7"/>
        <v/>
      </c>
      <c r="F52" t="str">
        <f t="shared" ca="1" si="21"/>
        <v/>
      </c>
      <c r="G52" t="str">
        <f t="shared" ca="1" si="21"/>
        <v/>
      </c>
      <c r="H52" t="str">
        <f t="shared" ca="1" si="21"/>
        <v/>
      </c>
      <c r="J52" t="str">
        <f t="shared" ca="1" si="22"/>
        <v/>
      </c>
      <c r="K52" t="str">
        <f t="shared" ca="1" si="22"/>
        <v/>
      </c>
      <c r="L52" t="str">
        <f t="shared" ca="1" si="22"/>
        <v/>
      </c>
      <c r="M52" t="str">
        <f t="shared" ca="1" si="22"/>
        <v/>
      </c>
      <c r="N52" t="str">
        <f t="shared" ca="1" si="22"/>
        <v/>
      </c>
      <c r="O52" t="str">
        <f t="shared" ca="1" si="22"/>
        <v/>
      </c>
      <c r="P52" t="str">
        <f t="shared" ca="1" si="22"/>
        <v/>
      </c>
      <c r="Q52" t="str">
        <f t="shared" ca="1" si="22"/>
        <v/>
      </c>
      <c r="R52" t="str">
        <f t="shared" ca="1" si="22"/>
        <v/>
      </c>
      <c r="S52" t="str">
        <f t="shared" ca="1" si="22"/>
        <v/>
      </c>
      <c r="T52" t="str">
        <f t="shared" ca="1" si="22"/>
        <v/>
      </c>
      <c r="U52" s="32" t="str">
        <f t="shared" ca="1" si="22"/>
        <v/>
      </c>
      <c r="V52" t="str">
        <f t="shared" ca="1" si="22"/>
        <v/>
      </c>
      <c r="W52" t="str">
        <f t="shared" ca="1" si="22"/>
        <v/>
      </c>
      <c r="X52" s="17" t="str">
        <f t="shared" ca="1" si="8"/>
        <v/>
      </c>
      <c r="Y52" t="str">
        <f t="shared" ca="1" si="23"/>
        <v/>
      </c>
      <c r="Z52" t="str">
        <f t="shared" ca="1" si="23"/>
        <v/>
      </c>
      <c r="AA52" t="str">
        <f t="shared" ca="1" si="23"/>
        <v/>
      </c>
      <c r="AB52" t="str">
        <f t="shared" ca="1" si="23"/>
        <v/>
      </c>
      <c r="AC52" t="str">
        <f t="shared" ca="1" si="23"/>
        <v/>
      </c>
      <c r="AD52" t="str">
        <f t="shared" ca="1" si="23"/>
        <v/>
      </c>
      <c r="AE52" t="str">
        <f t="shared" ca="1" si="23"/>
        <v/>
      </c>
      <c r="AF52" t="str">
        <f t="shared" ca="1" si="23"/>
        <v/>
      </c>
      <c r="AG52" t="str">
        <f t="shared" ca="1" si="23"/>
        <v/>
      </c>
      <c r="AH52" t="str">
        <f t="shared" ca="1" si="23"/>
        <v/>
      </c>
      <c r="AI52" t="str">
        <f t="shared" ca="1" si="24"/>
        <v/>
      </c>
      <c r="AJ52" t="str">
        <f t="shared" ca="1" si="24"/>
        <v/>
      </c>
      <c r="AK52" t="str">
        <f t="shared" ca="1" si="24"/>
        <v/>
      </c>
      <c r="AL52" t="str">
        <f t="shared" ca="1" si="24"/>
        <v/>
      </c>
      <c r="AM52" t="str">
        <f t="shared" ca="1" si="24"/>
        <v/>
      </c>
      <c r="AN52" t="str">
        <f t="shared" ca="1" si="24"/>
        <v/>
      </c>
      <c r="AO52" t="str">
        <f t="shared" ca="1" si="24"/>
        <v/>
      </c>
      <c r="AP52" t="str">
        <f t="shared" ca="1" si="24"/>
        <v/>
      </c>
      <c r="AQ52" t="str">
        <f t="shared" ca="1" si="24"/>
        <v/>
      </c>
      <c r="AR52" t="str">
        <f t="shared" ca="1" si="24"/>
        <v/>
      </c>
      <c r="AZ52" t="str">
        <f t="shared" ca="1" si="25"/>
        <v/>
      </c>
      <c r="BA52" t="str">
        <f t="shared" ca="1" si="25"/>
        <v/>
      </c>
      <c r="BB52" t="str">
        <f t="shared" ca="1" si="25"/>
        <v/>
      </c>
    </row>
    <row r="53" spans="1:54" x14ac:dyDescent="0.25">
      <c r="A53">
        <v>50</v>
      </c>
      <c r="B53" s="21"/>
      <c r="C53" t="str">
        <f t="shared" ca="1" si="20"/>
        <v/>
      </c>
      <c r="D53" s="17" t="str">
        <f t="shared" ca="1" si="6"/>
        <v/>
      </c>
      <c r="E53" t="str">
        <f t="shared" ca="1" si="7"/>
        <v/>
      </c>
      <c r="F53" t="str">
        <f t="shared" ca="1" si="21"/>
        <v/>
      </c>
      <c r="G53" t="str">
        <f t="shared" ca="1" si="21"/>
        <v/>
      </c>
      <c r="H53" t="str">
        <f t="shared" ca="1" si="21"/>
        <v/>
      </c>
      <c r="J53" t="str">
        <f t="shared" ca="1" si="22"/>
        <v/>
      </c>
      <c r="K53" t="str">
        <f t="shared" ca="1" si="22"/>
        <v/>
      </c>
      <c r="L53" t="str">
        <f t="shared" ca="1" si="22"/>
        <v/>
      </c>
      <c r="M53" t="str">
        <f t="shared" ca="1" si="22"/>
        <v/>
      </c>
      <c r="N53" t="str">
        <f t="shared" ca="1" si="22"/>
        <v/>
      </c>
      <c r="O53" t="str">
        <f t="shared" ca="1" si="22"/>
        <v/>
      </c>
      <c r="P53" t="str">
        <f t="shared" ca="1" si="22"/>
        <v/>
      </c>
      <c r="Q53" t="str">
        <f t="shared" ca="1" si="22"/>
        <v/>
      </c>
      <c r="R53" t="str">
        <f t="shared" ca="1" si="22"/>
        <v/>
      </c>
      <c r="S53" t="str">
        <f t="shared" ca="1" si="22"/>
        <v/>
      </c>
      <c r="T53" t="str">
        <f t="shared" ca="1" si="22"/>
        <v/>
      </c>
      <c r="U53" s="32" t="str">
        <f t="shared" ca="1" si="22"/>
        <v/>
      </c>
      <c r="V53" t="str">
        <f t="shared" ca="1" si="22"/>
        <v/>
      </c>
      <c r="W53" t="str">
        <f t="shared" ca="1" si="22"/>
        <v/>
      </c>
      <c r="X53" s="17" t="str">
        <f t="shared" ca="1" si="8"/>
        <v/>
      </c>
      <c r="Y53" t="str">
        <f t="shared" ca="1" si="23"/>
        <v/>
      </c>
      <c r="Z53" t="str">
        <f t="shared" ca="1" si="23"/>
        <v/>
      </c>
      <c r="AA53" t="str">
        <f t="shared" ca="1" si="23"/>
        <v/>
      </c>
      <c r="AB53" t="str">
        <f t="shared" ca="1" si="23"/>
        <v/>
      </c>
      <c r="AC53" t="str">
        <f t="shared" ca="1" si="23"/>
        <v/>
      </c>
      <c r="AD53" t="str">
        <f t="shared" ca="1" si="23"/>
        <v/>
      </c>
      <c r="AE53" t="str">
        <f t="shared" ca="1" si="23"/>
        <v/>
      </c>
      <c r="AF53" t="str">
        <f t="shared" ca="1" si="23"/>
        <v/>
      </c>
      <c r="AG53" t="str">
        <f t="shared" ca="1" si="23"/>
        <v/>
      </c>
      <c r="AH53" t="str">
        <f t="shared" ca="1" si="23"/>
        <v/>
      </c>
      <c r="AI53" t="str">
        <f t="shared" ca="1" si="24"/>
        <v/>
      </c>
      <c r="AJ53" t="str">
        <f t="shared" ca="1" si="24"/>
        <v/>
      </c>
      <c r="AK53" t="str">
        <f t="shared" ca="1" si="24"/>
        <v/>
      </c>
      <c r="AL53" t="str">
        <f t="shared" ca="1" si="24"/>
        <v/>
      </c>
      <c r="AM53" t="str">
        <f t="shared" ca="1" si="24"/>
        <v/>
      </c>
      <c r="AN53" t="str">
        <f t="shared" ca="1" si="24"/>
        <v/>
      </c>
      <c r="AO53" t="str">
        <f t="shared" ca="1" si="24"/>
        <v/>
      </c>
      <c r="AP53" t="str">
        <f t="shared" ca="1" si="24"/>
        <v/>
      </c>
      <c r="AQ53" t="str">
        <f t="shared" ca="1" si="24"/>
        <v/>
      </c>
      <c r="AR53" t="str">
        <f t="shared" ca="1" si="24"/>
        <v/>
      </c>
      <c r="AZ53" t="str">
        <f t="shared" ca="1" si="25"/>
        <v/>
      </c>
      <c r="BA53" t="str">
        <f t="shared" ca="1" si="25"/>
        <v/>
      </c>
      <c r="BB53" t="str">
        <f t="shared" ca="1" si="25"/>
        <v/>
      </c>
    </row>
    <row r="54" spans="1:54" x14ac:dyDescent="0.25">
      <c r="A54">
        <v>51</v>
      </c>
      <c r="B54" s="21"/>
      <c r="C54" t="str">
        <f t="shared" ca="1" si="20"/>
        <v/>
      </c>
      <c r="D54" s="17" t="str">
        <f t="shared" ca="1" si="6"/>
        <v/>
      </c>
      <c r="E54" t="str">
        <f t="shared" ca="1" si="7"/>
        <v/>
      </c>
      <c r="F54" t="str">
        <f t="shared" ca="1" si="21"/>
        <v/>
      </c>
      <c r="G54" t="str">
        <f t="shared" ca="1" si="21"/>
        <v/>
      </c>
      <c r="H54" t="str">
        <f t="shared" ca="1" si="21"/>
        <v/>
      </c>
      <c r="J54" t="str">
        <f t="shared" ref="J54:W63" ca="1" si="26">IFERROR(HLOOKUP(J$3, OFFSET(JSONstart,2*$A54-2,0,2,75), 2,FALSE),  "")</f>
        <v/>
      </c>
      <c r="K54" t="str">
        <f t="shared" ca="1" si="26"/>
        <v/>
      </c>
      <c r="L54" t="str">
        <f t="shared" ca="1" si="26"/>
        <v/>
      </c>
      <c r="M54" t="str">
        <f t="shared" ca="1" si="26"/>
        <v/>
      </c>
      <c r="N54" t="str">
        <f t="shared" ca="1" si="26"/>
        <v/>
      </c>
      <c r="O54" t="str">
        <f t="shared" ca="1" si="26"/>
        <v/>
      </c>
      <c r="P54" t="str">
        <f t="shared" ca="1" si="26"/>
        <v/>
      </c>
      <c r="Q54" t="str">
        <f t="shared" ca="1" si="26"/>
        <v/>
      </c>
      <c r="R54" t="str">
        <f t="shared" ca="1" si="26"/>
        <v/>
      </c>
      <c r="S54" t="str">
        <f t="shared" ca="1" si="26"/>
        <v/>
      </c>
      <c r="T54" t="str">
        <f t="shared" ca="1" si="26"/>
        <v/>
      </c>
      <c r="U54" s="32" t="str">
        <f t="shared" ca="1" si="26"/>
        <v/>
      </c>
      <c r="V54" t="str">
        <f t="shared" ca="1" si="26"/>
        <v/>
      </c>
      <c r="W54" t="str">
        <f t="shared" ca="1" si="26"/>
        <v/>
      </c>
      <c r="X54" s="17" t="str">
        <f t="shared" ca="1" si="8"/>
        <v/>
      </c>
      <c r="Y54" t="str">
        <f t="shared" ref="Y54:AH63" ca="1" si="27">IFERROR(HLOOKUP(Y$3, OFFSET(JSONstart,2*$A54-2,0,2,75), 2,FALSE),   "")</f>
        <v/>
      </c>
      <c r="Z54" t="str">
        <f t="shared" ca="1" si="27"/>
        <v/>
      </c>
      <c r="AA54" t="str">
        <f t="shared" ca="1" si="27"/>
        <v/>
      </c>
      <c r="AB54" t="str">
        <f t="shared" ca="1" si="27"/>
        <v/>
      </c>
      <c r="AC54" t="str">
        <f t="shared" ca="1" si="27"/>
        <v/>
      </c>
      <c r="AD54" t="str">
        <f t="shared" ca="1" si="27"/>
        <v/>
      </c>
      <c r="AE54" t="str">
        <f t="shared" ca="1" si="27"/>
        <v/>
      </c>
      <c r="AF54" t="str">
        <f t="shared" ca="1" si="27"/>
        <v/>
      </c>
      <c r="AG54" t="str">
        <f t="shared" ca="1" si="27"/>
        <v/>
      </c>
      <c r="AH54" t="str">
        <f t="shared" ca="1" si="27"/>
        <v/>
      </c>
      <c r="AI54" t="str">
        <f t="shared" ref="AI54:AR63" ca="1" si="28">IFERROR(HLOOKUP(AI$3, OFFSET(JSONstart,2*$A54-2,0,2,75), 2,FALSE),   "")</f>
        <v/>
      </c>
      <c r="AJ54" t="str">
        <f t="shared" ca="1" si="28"/>
        <v/>
      </c>
      <c r="AK54" t="str">
        <f t="shared" ca="1" si="28"/>
        <v/>
      </c>
      <c r="AL54" t="str">
        <f t="shared" ca="1" si="28"/>
        <v/>
      </c>
      <c r="AM54" t="str">
        <f t="shared" ca="1" si="28"/>
        <v/>
      </c>
      <c r="AN54" t="str">
        <f t="shared" ca="1" si="28"/>
        <v/>
      </c>
      <c r="AO54" t="str">
        <f t="shared" ca="1" si="28"/>
        <v/>
      </c>
      <c r="AP54" t="str">
        <f t="shared" ca="1" si="28"/>
        <v/>
      </c>
      <c r="AQ54" t="str">
        <f t="shared" ca="1" si="28"/>
        <v/>
      </c>
      <c r="AR54" t="str">
        <f t="shared" ca="1" si="28"/>
        <v/>
      </c>
      <c r="AZ54" t="str">
        <f t="shared" ca="1" si="25"/>
        <v/>
      </c>
      <c r="BA54" t="str">
        <f t="shared" ca="1" si="25"/>
        <v/>
      </c>
      <c r="BB54" t="str">
        <f t="shared" ca="1" si="25"/>
        <v/>
      </c>
    </row>
    <row r="55" spans="1:54" x14ac:dyDescent="0.25">
      <c r="A55">
        <v>52</v>
      </c>
      <c r="B55" s="21"/>
      <c r="C55" t="str">
        <f t="shared" ca="1" si="20"/>
        <v/>
      </c>
      <c r="D55" s="17" t="str">
        <f t="shared" ca="1" si="6"/>
        <v/>
      </c>
      <c r="E55" t="str">
        <f t="shared" ca="1" si="7"/>
        <v/>
      </c>
      <c r="F55" t="str">
        <f t="shared" ca="1" si="21"/>
        <v/>
      </c>
      <c r="G55" t="str">
        <f t="shared" ca="1" si="21"/>
        <v/>
      </c>
      <c r="H55" t="str">
        <f t="shared" ca="1" si="21"/>
        <v/>
      </c>
      <c r="J55" t="str">
        <f t="shared" ca="1" si="26"/>
        <v/>
      </c>
      <c r="K55" t="str">
        <f t="shared" ca="1" si="26"/>
        <v/>
      </c>
      <c r="L55" t="str">
        <f t="shared" ca="1" si="26"/>
        <v/>
      </c>
      <c r="M55" t="str">
        <f t="shared" ca="1" si="26"/>
        <v/>
      </c>
      <c r="N55" t="str">
        <f t="shared" ca="1" si="26"/>
        <v/>
      </c>
      <c r="O55" t="str">
        <f t="shared" ca="1" si="26"/>
        <v/>
      </c>
      <c r="P55" t="str">
        <f t="shared" ca="1" si="26"/>
        <v/>
      </c>
      <c r="Q55" t="str">
        <f t="shared" ca="1" si="26"/>
        <v/>
      </c>
      <c r="R55" t="str">
        <f t="shared" ca="1" si="26"/>
        <v/>
      </c>
      <c r="S55" t="str">
        <f t="shared" ca="1" si="26"/>
        <v/>
      </c>
      <c r="T55" t="str">
        <f t="shared" ca="1" si="26"/>
        <v/>
      </c>
      <c r="U55" s="32" t="str">
        <f t="shared" ca="1" si="26"/>
        <v/>
      </c>
      <c r="V55" t="str">
        <f t="shared" ca="1" si="26"/>
        <v/>
      </c>
      <c r="W55" t="str">
        <f t="shared" ca="1" si="26"/>
        <v/>
      </c>
      <c r="X55" s="17" t="str">
        <f t="shared" ca="1" si="8"/>
        <v/>
      </c>
      <c r="Y55" t="str">
        <f t="shared" ca="1" si="27"/>
        <v/>
      </c>
      <c r="Z55" t="str">
        <f t="shared" ca="1" si="27"/>
        <v/>
      </c>
      <c r="AA55" t="str">
        <f t="shared" ca="1" si="27"/>
        <v/>
      </c>
      <c r="AB55" t="str">
        <f t="shared" ca="1" si="27"/>
        <v/>
      </c>
      <c r="AC55" t="str">
        <f t="shared" ca="1" si="27"/>
        <v/>
      </c>
      <c r="AD55" t="str">
        <f t="shared" ca="1" si="27"/>
        <v/>
      </c>
      <c r="AE55" t="str">
        <f t="shared" ca="1" si="27"/>
        <v/>
      </c>
      <c r="AF55" t="str">
        <f t="shared" ca="1" si="27"/>
        <v/>
      </c>
      <c r="AG55" t="str">
        <f t="shared" ca="1" si="27"/>
        <v/>
      </c>
      <c r="AH55" t="str">
        <f t="shared" ca="1" si="27"/>
        <v/>
      </c>
      <c r="AI55" t="str">
        <f t="shared" ca="1" si="28"/>
        <v/>
      </c>
      <c r="AJ55" t="str">
        <f t="shared" ca="1" si="28"/>
        <v/>
      </c>
      <c r="AK55" t="str">
        <f t="shared" ca="1" si="28"/>
        <v/>
      </c>
      <c r="AL55" t="str">
        <f t="shared" ca="1" si="28"/>
        <v/>
      </c>
      <c r="AM55" t="str">
        <f t="shared" ca="1" si="28"/>
        <v/>
      </c>
      <c r="AN55" t="str">
        <f t="shared" ca="1" si="28"/>
        <v/>
      </c>
      <c r="AO55" t="str">
        <f t="shared" ca="1" si="28"/>
        <v/>
      </c>
      <c r="AP55" t="str">
        <f t="shared" ca="1" si="28"/>
        <v/>
      </c>
      <c r="AQ55" t="str">
        <f t="shared" ca="1" si="28"/>
        <v/>
      </c>
      <c r="AR55" t="str">
        <f t="shared" ca="1" si="28"/>
        <v/>
      </c>
      <c r="AZ55" t="str">
        <f t="shared" ca="1" si="25"/>
        <v/>
      </c>
      <c r="BA55" t="str">
        <f t="shared" ca="1" si="25"/>
        <v/>
      </c>
      <c r="BB55" t="str">
        <f t="shared" ca="1" si="25"/>
        <v/>
      </c>
    </row>
    <row r="56" spans="1:54" x14ac:dyDescent="0.25">
      <c r="A56">
        <v>53</v>
      </c>
      <c r="B56" s="21"/>
      <c r="C56" t="str">
        <f t="shared" ca="1" si="20"/>
        <v/>
      </c>
      <c r="D56" s="17" t="str">
        <f t="shared" ca="1" si="6"/>
        <v/>
      </c>
      <c r="E56" t="str">
        <f t="shared" ca="1" si="7"/>
        <v/>
      </c>
      <c r="F56" t="str">
        <f t="shared" ca="1" si="21"/>
        <v/>
      </c>
      <c r="G56" t="str">
        <f t="shared" ca="1" si="21"/>
        <v/>
      </c>
      <c r="H56" t="str">
        <f t="shared" ca="1" si="21"/>
        <v/>
      </c>
      <c r="J56" t="str">
        <f t="shared" ca="1" si="26"/>
        <v/>
      </c>
      <c r="K56" t="str">
        <f t="shared" ca="1" si="26"/>
        <v/>
      </c>
      <c r="L56" t="str">
        <f t="shared" ca="1" si="26"/>
        <v/>
      </c>
      <c r="M56" t="str">
        <f t="shared" ca="1" si="26"/>
        <v/>
      </c>
      <c r="N56" t="str">
        <f t="shared" ca="1" si="26"/>
        <v/>
      </c>
      <c r="O56" t="str">
        <f t="shared" ca="1" si="26"/>
        <v/>
      </c>
      <c r="P56" t="str">
        <f t="shared" ca="1" si="26"/>
        <v/>
      </c>
      <c r="Q56" t="str">
        <f t="shared" ca="1" si="26"/>
        <v/>
      </c>
      <c r="R56" t="str">
        <f t="shared" ca="1" si="26"/>
        <v/>
      </c>
      <c r="S56" t="str">
        <f t="shared" ca="1" si="26"/>
        <v/>
      </c>
      <c r="T56" t="str">
        <f t="shared" ca="1" si="26"/>
        <v/>
      </c>
      <c r="U56" s="32" t="str">
        <f t="shared" ca="1" si="26"/>
        <v/>
      </c>
      <c r="V56" t="str">
        <f t="shared" ca="1" si="26"/>
        <v/>
      </c>
      <c r="W56" t="str">
        <f t="shared" ca="1" si="26"/>
        <v/>
      </c>
      <c r="X56" s="17" t="str">
        <f t="shared" ca="1" si="8"/>
        <v/>
      </c>
      <c r="Y56" t="str">
        <f t="shared" ca="1" si="27"/>
        <v/>
      </c>
      <c r="Z56" t="str">
        <f t="shared" ca="1" si="27"/>
        <v/>
      </c>
      <c r="AA56" t="str">
        <f t="shared" ca="1" si="27"/>
        <v/>
      </c>
      <c r="AB56" t="str">
        <f t="shared" ca="1" si="27"/>
        <v/>
      </c>
      <c r="AC56" t="str">
        <f t="shared" ca="1" si="27"/>
        <v/>
      </c>
      <c r="AD56" t="str">
        <f t="shared" ca="1" si="27"/>
        <v/>
      </c>
      <c r="AE56" t="str">
        <f t="shared" ca="1" si="27"/>
        <v/>
      </c>
      <c r="AF56" t="str">
        <f t="shared" ca="1" si="27"/>
        <v/>
      </c>
      <c r="AG56" t="str">
        <f t="shared" ca="1" si="27"/>
        <v/>
      </c>
      <c r="AH56" t="str">
        <f t="shared" ca="1" si="27"/>
        <v/>
      </c>
      <c r="AI56" t="str">
        <f t="shared" ca="1" si="28"/>
        <v/>
      </c>
      <c r="AJ56" t="str">
        <f t="shared" ca="1" si="28"/>
        <v/>
      </c>
      <c r="AK56" t="str">
        <f t="shared" ca="1" si="28"/>
        <v/>
      </c>
      <c r="AL56" t="str">
        <f t="shared" ca="1" si="28"/>
        <v/>
      </c>
      <c r="AM56" t="str">
        <f t="shared" ca="1" si="28"/>
        <v/>
      </c>
      <c r="AN56" t="str">
        <f t="shared" ca="1" si="28"/>
        <v/>
      </c>
      <c r="AO56" t="str">
        <f t="shared" ca="1" si="28"/>
        <v/>
      </c>
      <c r="AP56" t="str">
        <f t="shared" ca="1" si="28"/>
        <v/>
      </c>
      <c r="AQ56" t="str">
        <f t="shared" ca="1" si="28"/>
        <v/>
      </c>
      <c r="AR56" t="str">
        <f t="shared" ca="1" si="28"/>
        <v/>
      </c>
      <c r="AZ56" t="str">
        <f t="shared" ca="1" si="25"/>
        <v/>
      </c>
      <c r="BA56" t="str">
        <f t="shared" ca="1" si="25"/>
        <v/>
      </c>
      <c r="BB56" t="str">
        <f t="shared" ca="1" si="25"/>
        <v/>
      </c>
    </row>
    <row r="57" spans="1:54" x14ac:dyDescent="0.25">
      <c r="A57">
        <v>54</v>
      </c>
      <c r="B57" s="21"/>
      <c r="C57" t="str">
        <f t="shared" ca="1" si="20"/>
        <v/>
      </c>
      <c r="D57" s="17" t="str">
        <f t="shared" ca="1" si="6"/>
        <v/>
      </c>
      <c r="E57" t="str">
        <f t="shared" ca="1" si="7"/>
        <v/>
      </c>
      <c r="F57" t="str">
        <f t="shared" ca="1" si="21"/>
        <v/>
      </c>
      <c r="G57" t="str">
        <f t="shared" ca="1" si="21"/>
        <v/>
      </c>
      <c r="H57" t="str">
        <f t="shared" ca="1" si="21"/>
        <v/>
      </c>
      <c r="J57" t="str">
        <f t="shared" ca="1" si="26"/>
        <v/>
      </c>
      <c r="K57" t="str">
        <f t="shared" ca="1" si="26"/>
        <v/>
      </c>
      <c r="L57" t="str">
        <f t="shared" ca="1" si="26"/>
        <v/>
      </c>
      <c r="M57" t="str">
        <f t="shared" ca="1" si="26"/>
        <v/>
      </c>
      <c r="N57" t="str">
        <f t="shared" ca="1" si="26"/>
        <v/>
      </c>
      <c r="O57" t="str">
        <f t="shared" ca="1" si="26"/>
        <v/>
      </c>
      <c r="P57" t="str">
        <f t="shared" ca="1" si="26"/>
        <v/>
      </c>
      <c r="Q57" t="str">
        <f t="shared" ca="1" si="26"/>
        <v/>
      </c>
      <c r="R57" t="str">
        <f t="shared" ca="1" si="26"/>
        <v/>
      </c>
      <c r="S57" t="str">
        <f t="shared" ca="1" si="26"/>
        <v/>
      </c>
      <c r="T57" t="str">
        <f t="shared" ca="1" si="26"/>
        <v/>
      </c>
      <c r="U57" s="32" t="str">
        <f t="shared" ca="1" si="26"/>
        <v/>
      </c>
      <c r="V57" t="str">
        <f t="shared" ca="1" si="26"/>
        <v/>
      </c>
      <c r="W57" t="str">
        <f t="shared" ca="1" si="26"/>
        <v/>
      </c>
      <c r="X57" s="17" t="str">
        <f t="shared" ca="1" si="8"/>
        <v/>
      </c>
      <c r="Y57" t="str">
        <f t="shared" ca="1" si="27"/>
        <v/>
      </c>
      <c r="Z57" t="str">
        <f t="shared" ca="1" si="27"/>
        <v/>
      </c>
      <c r="AA57" t="str">
        <f t="shared" ca="1" si="27"/>
        <v/>
      </c>
      <c r="AB57" t="str">
        <f t="shared" ca="1" si="27"/>
        <v/>
      </c>
      <c r="AC57" t="str">
        <f t="shared" ca="1" si="27"/>
        <v/>
      </c>
      <c r="AD57" t="str">
        <f t="shared" ca="1" si="27"/>
        <v/>
      </c>
      <c r="AE57" t="str">
        <f t="shared" ca="1" si="27"/>
        <v/>
      </c>
      <c r="AF57" t="str">
        <f t="shared" ca="1" si="27"/>
        <v/>
      </c>
      <c r="AG57" t="str">
        <f t="shared" ca="1" si="27"/>
        <v/>
      </c>
      <c r="AH57" t="str">
        <f t="shared" ca="1" si="27"/>
        <v/>
      </c>
      <c r="AI57" t="str">
        <f t="shared" ca="1" si="28"/>
        <v/>
      </c>
      <c r="AJ57" t="str">
        <f t="shared" ca="1" si="28"/>
        <v/>
      </c>
      <c r="AK57" t="str">
        <f t="shared" ca="1" si="28"/>
        <v/>
      </c>
      <c r="AL57" t="str">
        <f t="shared" ca="1" si="28"/>
        <v/>
      </c>
      <c r="AM57" t="str">
        <f t="shared" ca="1" si="28"/>
        <v/>
      </c>
      <c r="AN57" t="str">
        <f t="shared" ca="1" si="28"/>
        <v/>
      </c>
      <c r="AO57" t="str">
        <f t="shared" ca="1" si="28"/>
        <v/>
      </c>
      <c r="AP57" t="str">
        <f t="shared" ca="1" si="28"/>
        <v/>
      </c>
      <c r="AQ57" t="str">
        <f t="shared" ca="1" si="28"/>
        <v/>
      </c>
      <c r="AR57" t="str">
        <f t="shared" ca="1" si="28"/>
        <v/>
      </c>
      <c r="AZ57" t="str">
        <f t="shared" ca="1" si="25"/>
        <v/>
      </c>
      <c r="BA57" t="str">
        <f t="shared" ca="1" si="25"/>
        <v/>
      </c>
      <c r="BB57" t="str">
        <f t="shared" ca="1" si="25"/>
        <v/>
      </c>
    </row>
    <row r="58" spans="1:54" x14ac:dyDescent="0.25">
      <c r="A58">
        <v>55</v>
      </c>
      <c r="B58" s="21"/>
      <c r="C58" t="str">
        <f t="shared" ca="1" si="20"/>
        <v/>
      </c>
      <c r="D58" s="17" t="str">
        <f t="shared" ca="1" si="6"/>
        <v/>
      </c>
      <c r="E58" t="str">
        <f t="shared" ca="1" si="7"/>
        <v/>
      </c>
      <c r="F58" t="str">
        <f t="shared" ca="1" si="21"/>
        <v/>
      </c>
      <c r="G58" t="str">
        <f t="shared" ca="1" si="21"/>
        <v/>
      </c>
      <c r="H58" t="str">
        <f t="shared" ca="1" si="21"/>
        <v/>
      </c>
      <c r="J58" t="str">
        <f t="shared" ca="1" si="26"/>
        <v/>
      </c>
      <c r="K58" t="str">
        <f t="shared" ca="1" si="26"/>
        <v/>
      </c>
      <c r="L58" t="str">
        <f t="shared" ca="1" si="26"/>
        <v/>
      </c>
      <c r="M58" t="str">
        <f t="shared" ca="1" si="26"/>
        <v/>
      </c>
      <c r="N58" t="str">
        <f t="shared" ca="1" si="26"/>
        <v/>
      </c>
      <c r="O58" t="str">
        <f t="shared" ca="1" si="26"/>
        <v/>
      </c>
      <c r="P58" t="str">
        <f t="shared" ca="1" si="26"/>
        <v/>
      </c>
      <c r="Q58" t="str">
        <f t="shared" ca="1" si="26"/>
        <v/>
      </c>
      <c r="R58" t="str">
        <f t="shared" ca="1" si="26"/>
        <v/>
      </c>
      <c r="S58" t="str">
        <f t="shared" ca="1" si="26"/>
        <v/>
      </c>
      <c r="T58" t="str">
        <f t="shared" ca="1" si="26"/>
        <v/>
      </c>
      <c r="U58" s="32" t="str">
        <f t="shared" ca="1" si="26"/>
        <v/>
      </c>
      <c r="V58" t="str">
        <f t="shared" ca="1" si="26"/>
        <v/>
      </c>
      <c r="W58" t="str">
        <f t="shared" ca="1" si="26"/>
        <v/>
      </c>
      <c r="X58" s="17" t="str">
        <f t="shared" ca="1" si="8"/>
        <v/>
      </c>
      <c r="Y58" t="str">
        <f t="shared" ca="1" si="27"/>
        <v/>
      </c>
      <c r="Z58" t="str">
        <f t="shared" ca="1" si="27"/>
        <v/>
      </c>
      <c r="AA58" t="str">
        <f t="shared" ca="1" si="27"/>
        <v/>
      </c>
      <c r="AB58" t="str">
        <f t="shared" ca="1" si="27"/>
        <v/>
      </c>
      <c r="AC58" t="str">
        <f t="shared" ca="1" si="27"/>
        <v/>
      </c>
      <c r="AD58" t="str">
        <f t="shared" ca="1" si="27"/>
        <v/>
      </c>
      <c r="AE58" t="str">
        <f t="shared" ca="1" si="27"/>
        <v/>
      </c>
      <c r="AF58" t="str">
        <f t="shared" ca="1" si="27"/>
        <v/>
      </c>
      <c r="AG58" t="str">
        <f t="shared" ca="1" si="27"/>
        <v/>
      </c>
      <c r="AH58" t="str">
        <f t="shared" ca="1" si="27"/>
        <v/>
      </c>
      <c r="AI58" t="str">
        <f t="shared" ca="1" si="28"/>
        <v/>
      </c>
      <c r="AJ58" t="str">
        <f t="shared" ca="1" si="28"/>
        <v/>
      </c>
      <c r="AK58" t="str">
        <f t="shared" ca="1" si="28"/>
        <v/>
      </c>
      <c r="AL58" t="str">
        <f t="shared" ca="1" si="28"/>
        <v/>
      </c>
      <c r="AM58" t="str">
        <f t="shared" ca="1" si="28"/>
        <v/>
      </c>
      <c r="AN58" t="str">
        <f t="shared" ca="1" si="28"/>
        <v/>
      </c>
      <c r="AO58" t="str">
        <f t="shared" ca="1" si="28"/>
        <v/>
      </c>
      <c r="AP58" t="str">
        <f t="shared" ca="1" si="28"/>
        <v/>
      </c>
      <c r="AQ58" t="str">
        <f t="shared" ca="1" si="28"/>
        <v/>
      </c>
      <c r="AR58" t="str">
        <f t="shared" ca="1" si="28"/>
        <v/>
      </c>
      <c r="AZ58" t="str">
        <f t="shared" ca="1" si="25"/>
        <v/>
      </c>
      <c r="BA58" t="str">
        <f t="shared" ca="1" si="25"/>
        <v/>
      </c>
      <c r="BB58" t="str">
        <f t="shared" ca="1" si="25"/>
        <v/>
      </c>
    </row>
    <row r="59" spans="1:54" x14ac:dyDescent="0.25">
      <c r="A59">
        <v>56</v>
      </c>
      <c r="B59" s="21"/>
      <c r="C59" t="str">
        <f t="shared" ca="1" si="20"/>
        <v/>
      </c>
      <c r="D59" s="17" t="str">
        <f t="shared" ca="1" si="6"/>
        <v/>
      </c>
      <c r="E59" t="str">
        <f t="shared" ca="1" si="7"/>
        <v/>
      </c>
      <c r="F59" t="str">
        <f t="shared" ca="1" si="21"/>
        <v/>
      </c>
      <c r="G59" t="str">
        <f t="shared" ca="1" si="21"/>
        <v/>
      </c>
      <c r="H59" t="str">
        <f t="shared" ca="1" si="21"/>
        <v/>
      </c>
      <c r="J59" t="str">
        <f t="shared" ca="1" si="26"/>
        <v/>
      </c>
      <c r="K59" t="str">
        <f t="shared" ca="1" si="26"/>
        <v/>
      </c>
      <c r="L59" t="str">
        <f t="shared" ca="1" si="26"/>
        <v/>
      </c>
      <c r="M59" t="str">
        <f t="shared" ca="1" si="26"/>
        <v/>
      </c>
      <c r="N59" t="str">
        <f t="shared" ca="1" si="26"/>
        <v/>
      </c>
      <c r="O59" t="str">
        <f t="shared" ca="1" si="26"/>
        <v/>
      </c>
      <c r="P59" t="str">
        <f t="shared" ca="1" si="26"/>
        <v/>
      </c>
      <c r="Q59" t="str">
        <f t="shared" ca="1" si="26"/>
        <v/>
      </c>
      <c r="R59" t="str">
        <f t="shared" ca="1" si="26"/>
        <v/>
      </c>
      <c r="S59" t="str">
        <f t="shared" ca="1" si="26"/>
        <v/>
      </c>
      <c r="T59" t="str">
        <f t="shared" ca="1" si="26"/>
        <v/>
      </c>
      <c r="U59" s="32" t="str">
        <f t="shared" ca="1" si="26"/>
        <v/>
      </c>
      <c r="V59" t="str">
        <f t="shared" ca="1" si="26"/>
        <v/>
      </c>
      <c r="W59" t="str">
        <f t="shared" ca="1" si="26"/>
        <v/>
      </c>
      <c r="X59" s="17" t="str">
        <f t="shared" ca="1" si="8"/>
        <v/>
      </c>
      <c r="Y59" t="str">
        <f t="shared" ca="1" si="27"/>
        <v/>
      </c>
      <c r="Z59" t="str">
        <f t="shared" ca="1" si="27"/>
        <v/>
      </c>
      <c r="AA59" t="str">
        <f t="shared" ca="1" si="27"/>
        <v/>
      </c>
      <c r="AB59" t="str">
        <f t="shared" ca="1" si="27"/>
        <v/>
      </c>
      <c r="AC59" t="str">
        <f t="shared" ca="1" si="27"/>
        <v/>
      </c>
      <c r="AD59" t="str">
        <f t="shared" ca="1" si="27"/>
        <v/>
      </c>
      <c r="AE59" t="str">
        <f t="shared" ca="1" si="27"/>
        <v/>
      </c>
      <c r="AF59" t="str">
        <f t="shared" ca="1" si="27"/>
        <v/>
      </c>
      <c r="AG59" t="str">
        <f t="shared" ca="1" si="27"/>
        <v/>
      </c>
      <c r="AH59" t="str">
        <f t="shared" ca="1" si="27"/>
        <v/>
      </c>
      <c r="AI59" t="str">
        <f t="shared" ca="1" si="28"/>
        <v/>
      </c>
      <c r="AJ59" t="str">
        <f t="shared" ca="1" si="28"/>
        <v/>
      </c>
      <c r="AK59" t="str">
        <f t="shared" ca="1" si="28"/>
        <v/>
      </c>
      <c r="AL59" t="str">
        <f t="shared" ca="1" si="28"/>
        <v/>
      </c>
      <c r="AM59" t="str">
        <f t="shared" ca="1" si="28"/>
        <v/>
      </c>
      <c r="AN59" t="str">
        <f t="shared" ca="1" si="28"/>
        <v/>
      </c>
      <c r="AO59" t="str">
        <f t="shared" ca="1" si="28"/>
        <v/>
      </c>
      <c r="AP59" t="str">
        <f t="shared" ca="1" si="28"/>
        <v/>
      </c>
      <c r="AQ59" t="str">
        <f t="shared" ca="1" si="28"/>
        <v/>
      </c>
      <c r="AR59" t="str">
        <f t="shared" ca="1" si="28"/>
        <v/>
      </c>
      <c r="AZ59" t="str">
        <f t="shared" ca="1" si="25"/>
        <v/>
      </c>
      <c r="BA59" t="str">
        <f t="shared" ca="1" si="25"/>
        <v/>
      </c>
      <c r="BB59" t="str">
        <f t="shared" ca="1" si="25"/>
        <v/>
      </c>
    </row>
    <row r="60" spans="1:54" x14ac:dyDescent="0.25">
      <c r="A60">
        <v>57</v>
      </c>
      <c r="B60" s="21"/>
      <c r="C60" t="str">
        <f t="shared" ca="1" si="20"/>
        <v/>
      </c>
      <c r="D60" s="17" t="str">
        <f t="shared" ca="1" si="6"/>
        <v/>
      </c>
      <c r="E60" t="str">
        <f t="shared" ca="1" si="7"/>
        <v/>
      </c>
      <c r="F60" t="str">
        <f t="shared" ca="1" si="21"/>
        <v/>
      </c>
      <c r="G60" t="str">
        <f t="shared" ca="1" si="21"/>
        <v/>
      </c>
      <c r="H60" t="str">
        <f t="shared" ca="1" si="21"/>
        <v/>
      </c>
      <c r="J60" t="str">
        <f t="shared" ca="1" si="26"/>
        <v/>
      </c>
      <c r="K60" t="str">
        <f t="shared" ca="1" si="26"/>
        <v/>
      </c>
      <c r="L60" t="str">
        <f t="shared" ca="1" si="26"/>
        <v/>
      </c>
      <c r="M60" t="str">
        <f t="shared" ca="1" si="26"/>
        <v/>
      </c>
      <c r="N60" t="str">
        <f t="shared" ca="1" si="26"/>
        <v/>
      </c>
      <c r="O60" t="str">
        <f t="shared" ca="1" si="26"/>
        <v/>
      </c>
      <c r="P60" t="str">
        <f t="shared" ca="1" si="26"/>
        <v/>
      </c>
      <c r="Q60" t="str">
        <f t="shared" ca="1" si="26"/>
        <v/>
      </c>
      <c r="R60" t="str">
        <f t="shared" ca="1" si="26"/>
        <v/>
      </c>
      <c r="S60" t="str">
        <f t="shared" ca="1" si="26"/>
        <v/>
      </c>
      <c r="T60" t="str">
        <f t="shared" ca="1" si="26"/>
        <v/>
      </c>
      <c r="U60" s="32" t="str">
        <f t="shared" ca="1" si="26"/>
        <v/>
      </c>
      <c r="V60" t="str">
        <f t="shared" ca="1" si="26"/>
        <v/>
      </c>
      <c r="W60" t="str">
        <f t="shared" ca="1" si="26"/>
        <v/>
      </c>
      <c r="X60" s="17" t="str">
        <f t="shared" ca="1" si="8"/>
        <v/>
      </c>
      <c r="Y60" t="str">
        <f t="shared" ca="1" si="27"/>
        <v/>
      </c>
      <c r="Z60" t="str">
        <f t="shared" ca="1" si="27"/>
        <v/>
      </c>
      <c r="AA60" t="str">
        <f t="shared" ca="1" si="27"/>
        <v/>
      </c>
      <c r="AB60" t="str">
        <f t="shared" ca="1" si="27"/>
        <v/>
      </c>
      <c r="AC60" t="str">
        <f t="shared" ca="1" si="27"/>
        <v/>
      </c>
      <c r="AD60" t="str">
        <f t="shared" ca="1" si="27"/>
        <v/>
      </c>
      <c r="AE60" t="str">
        <f t="shared" ca="1" si="27"/>
        <v/>
      </c>
      <c r="AF60" t="str">
        <f t="shared" ca="1" si="27"/>
        <v/>
      </c>
      <c r="AG60" t="str">
        <f t="shared" ca="1" si="27"/>
        <v/>
      </c>
      <c r="AH60" t="str">
        <f t="shared" ca="1" si="27"/>
        <v/>
      </c>
      <c r="AI60" t="str">
        <f t="shared" ca="1" si="28"/>
        <v/>
      </c>
      <c r="AJ60" t="str">
        <f t="shared" ca="1" si="28"/>
        <v/>
      </c>
      <c r="AK60" t="str">
        <f t="shared" ca="1" si="28"/>
        <v/>
      </c>
      <c r="AL60" t="str">
        <f t="shared" ca="1" si="28"/>
        <v/>
      </c>
      <c r="AM60" t="str">
        <f t="shared" ca="1" si="28"/>
        <v/>
      </c>
      <c r="AN60" t="str">
        <f t="shared" ca="1" si="28"/>
        <v/>
      </c>
      <c r="AO60" t="str">
        <f t="shared" ca="1" si="28"/>
        <v/>
      </c>
      <c r="AP60" t="str">
        <f t="shared" ca="1" si="28"/>
        <v/>
      </c>
      <c r="AQ60" t="str">
        <f t="shared" ca="1" si="28"/>
        <v/>
      </c>
      <c r="AR60" t="str">
        <f t="shared" ca="1" si="28"/>
        <v/>
      </c>
      <c r="AZ60" t="str">
        <f t="shared" ca="1" si="25"/>
        <v/>
      </c>
      <c r="BA60" t="str">
        <f t="shared" ca="1" si="25"/>
        <v/>
      </c>
      <c r="BB60" t="str">
        <f t="shared" ca="1" si="25"/>
        <v/>
      </c>
    </row>
    <row r="61" spans="1:54" x14ac:dyDescent="0.25">
      <c r="A61">
        <v>58</v>
      </c>
      <c r="B61" s="21"/>
      <c r="C61" t="str">
        <f t="shared" ca="1" si="20"/>
        <v/>
      </c>
      <c r="D61" s="17" t="str">
        <f t="shared" ca="1" si="6"/>
        <v/>
      </c>
      <c r="E61" t="str">
        <f t="shared" ca="1" si="7"/>
        <v/>
      </c>
      <c r="F61" t="str">
        <f t="shared" ca="1" si="21"/>
        <v/>
      </c>
      <c r="G61" t="str">
        <f t="shared" ca="1" si="21"/>
        <v/>
      </c>
      <c r="H61" t="str">
        <f t="shared" ca="1" si="21"/>
        <v/>
      </c>
      <c r="J61" t="str">
        <f t="shared" ca="1" si="26"/>
        <v/>
      </c>
      <c r="K61" t="str">
        <f t="shared" ca="1" si="26"/>
        <v/>
      </c>
      <c r="L61" t="str">
        <f t="shared" ca="1" si="26"/>
        <v/>
      </c>
      <c r="M61" t="str">
        <f t="shared" ca="1" si="26"/>
        <v/>
      </c>
      <c r="N61" t="str">
        <f t="shared" ca="1" si="26"/>
        <v/>
      </c>
      <c r="O61" t="str">
        <f t="shared" ca="1" si="26"/>
        <v/>
      </c>
      <c r="P61" t="str">
        <f t="shared" ca="1" si="26"/>
        <v/>
      </c>
      <c r="Q61" t="str">
        <f t="shared" ca="1" si="26"/>
        <v/>
      </c>
      <c r="R61" t="str">
        <f t="shared" ca="1" si="26"/>
        <v/>
      </c>
      <c r="S61" t="str">
        <f t="shared" ca="1" si="26"/>
        <v/>
      </c>
      <c r="T61" t="str">
        <f t="shared" ca="1" si="26"/>
        <v/>
      </c>
      <c r="U61" s="32" t="str">
        <f t="shared" ca="1" si="26"/>
        <v/>
      </c>
      <c r="V61" t="str">
        <f t="shared" ca="1" si="26"/>
        <v/>
      </c>
      <c r="W61" t="str">
        <f t="shared" ca="1" si="26"/>
        <v/>
      </c>
      <c r="X61" s="17" t="str">
        <f t="shared" ca="1" si="8"/>
        <v/>
      </c>
      <c r="Y61" t="str">
        <f t="shared" ca="1" si="27"/>
        <v/>
      </c>
      <c r="Z61" t="str">
        <f t="shared" ca="1" si="27"/>
        <v/>
      </c>
      <c r="AA61" t="str">
        <f t="shared" ca="1" si="27"/>
        <v/>
      </c>
      <c r="AB61" t="str">
        <f t="shared" ca="1" si="27"/>
        <v/>
      </c>
      <c r="AC61" t="str">
        <f t="shared" ca="1" si="27"/>
        <v/>
      </c>
      <c r="AD61" t="str">
        <f t="shared" ca="1" si="27"/>
        <v/>
      </c>
      <c r="AE61" t="str">
        <f t="shared" ca="1" si="27"/>
        <v/>
      </c>
      <c r="AF61" t="str">
        <f t="shared" ca="1" si="27"/>
        <v/>
      </c>
      <c r="AG61" t="str">
        <f t="shared" ca="1" si="27"/>
        <v/>
      </c>
      <c r="AH61" t="str">
        <f t="shared" ca="1" si="27"/>
        <v/>
      </c>
      <c r="AI61" t="str">
        <f t="shared" ca="1" si="28"/>
        <v/>
      </c>
      <c r="AJ61" t="str">
        <f t="shared" ca="1" si="28"/>
        <v/>
      </c>
      <c r="AK61" t="str">
        <f t="shared" ca="1" si="28"/>
        <v/>
      </c>
      <c r="AL61" t="str">
        <f t="shared" ca="1" si="28"/>
        <v/>
      </c>
      <c r="AM61" t="str">
        <f t="shared" ca="1" si="28"/>
        <v/>
      </c>
      <c r="AN61" t="str">
        <f t="shared" ca="1" si="28"/>
        <v/>
      </c>
      <c r="AO61" t="str">
        <f t="shared" ca="1" si="28"/>
        <v/>
      </c>
      <c r="AP61" t="str">
        <f t="shared" ca="1" si="28"/>
        <v/>
      </c>
      <c r="AQ61" t="str">
        <f t="shared" ca="1" si="28"/>
        <v/>
      </c>
      <c r="AR61" t="str">
        <f t="shared" ca="1" si="28"/>
        <v/>
      </c>
      <c r="AZ61" t="str">
        <f t="shared" ca="1" si="25"/>
        <v/>
      </c>
      <c r="BA61" t="str">
        <f t="shared" ca="1" si="25"/>
        <v/>
      </c>
      <c r="BB61" t="str">
        <f t="shared" ca="1" si="25"/>
        <v/>
      </c>
    </row>
    <row r="62" spans="1:54" x14ac:dyDescent="0.25">
      <c r="A62">
        <v>59</v>
      </c>
      <c r="B62" s="21"/>
      <c r="C62" t="str">
        <f t="shared" ca="1" si="20"/>
        <v/>
      </c>
      <c r="D62" s="17" t="str">
        <f t="shared" ca="1" si="6"/>
        <v/>
      </c>
      <c r="E62" t="str">
        <f t="shared" ca="1" si="7"/>
        <v/>
      </c>
      <c r="F62" t="str">
        <f t="shared" ca="1" si="21"/>
        <v/>
      </c>
      <c r="G62" t="str">
        <f t="shared" ca="1" si="21"/>
        <v/>
      </c>
      <c r="H62" t="str">
        <f t="shared" ca="1" si="21"/>
        <v/>
      </c>
      <c r="J62" t="str">
        <f t="shared" ca="1" si="26"/>
        <v/>
      </c>
      <c r="K62" t="str">
        <f t="shared" ca="1" si="26"/>
        <v/>
      </c>
      <c r="L62" t="str">
        <f t="shared" ca="1" si="26"/>
        <v/>
      </c>
      <c r="M62" t="str">
        <f t="shared" ca="1" si="26"/>
        <v/>
      </c>
      <c r="N62" t="str">
        <f t="shared" ca="1" si="26"/>
        <v/>
      </c>
      <c r="O62" t="str">
        <f t="shared" ca="1" si="26"/>
        <v/>
      </c>
      <c r="P62" t="str">
        <f t="shared" ca="1" si="26"/>
        <v/>
      </c>
      <c r="Q62" t="str">
        <f t="shared" ca="1" si="26"/>
        <v/>
      </c>
      <c r="R62" t="str">
        <f t="shared" ca="1" si="26"/>
        <v/>
      </c>
      <c r="S62" t="str">
        <f t="shared" ca="1" si="26"/>
        <v/>
      </c>
      <c r="T62" t="str">
        <f t="shared" ca="1" si="26"/>
        <v/>
      </c>
      <c r="U62" s="32" t="str">
        <f t="shared" ca="1" si="26"/>
        <v/>
      </c>
      <c r="V62" t="str">
        <f t="shared" ca="1" si="26"/>
        <v/>
      </c>
      <c r="W62" t="str">
        <f t="shared" ca="1" si="26"/>
        <v/>
      </c>
      <c r="X62" s="17" t="str">
        <f t="shared" ca="1" si="8"/>
        <v/>
      </c>
      <c r="Y62" t="str">
        <f t="shared" ca="1" si="27"/>
        <v/>
      </c>
      <c r="Z62" t="str">
        <f t="shared" ca="1" si="27"/>
        <v/>
      </c>
      <c r="AA62" t="str">
        <f t="shared" ca="1" si="27"/>
        <v/>
      </c>
      <c r="AB62" t="str">
        <f t="shared" ca="1" si="27"/>
        <v/>
      </c>
      <c r="AC62" t="str">
        <f t="shared" ca="1" si="27"/>
        <v/>
      </c>
      <c r="AD62" t="str">
        <f t="shared" ca="1" si="27"/>
        <v/>
      </c>
      <c r="AE62" t="str">
        <f t="shared" ca="1" si="27"/>
        <v/>
      </c>
      <c r="AF62" t="str">
        <f t="shared" ca="1" si="27"/>
        <v/>
      </c>
      <c r="AG62" t="str">
        <f t="shared" ca="1" si="27"/>
        <v/>
      </c>
      <c r="AH62" t="str">
        <f t="shared" ca="1" si="27"/>
        <v/>
      </c>
      <c r="AI62" t="str">
        <f t="shared" ca="1" si="28"/>
        <v/>
      </c>
      <c r="AJ62" t="str">
        <f t="shared" ca="1" si="28"/>
        <v/>
      </c>
      <c r="AK62" t="str">
        <f t="shared" ca="1" si="28"/>
        <v/>
      </c>
      <c r="AL62" t="str">
        <f t="shared" ca="1" si="28"/>
        <v/>
      </c>
      <c r="AM62" t="str">
        <f t="shared" ca="1" si="28"/>
        <v/>
      </c>
      <c r="AN62" t="str">
        <f t="shared" ca="1" si="28"/>
        <v/>
      </c>
      <c r="AO62" t="str">
        <f t="shared" ca="1" si="28"/>
        <v/>
      </c>
      <c r="AP62" t="str">
        <f t="shared" ca="1" si="28"/>
        <v/>
      </c>
      <c r="AQ62" t="str">
        <f t="shared" ca="1" si="28"/>
        <v/>
      </c>
      <c r="AR62" t="str">
        <f t="shared" ca="1" si="28"/>
        <v/>
      </c>
      <c r="AZ62" t="str">
        <f t="shared" ca="1" si="25"/>
        <v/>
      </c>
      <c r="BA62" t="str">
        <f t="shared" ca="1" si="25"/>
        <v/>
      </c>
      <c r="BB62" t="str">
        <f t="shared" ca="1" si="25"/>
        <v/>
      </c>
    </row>
    <row r="63" spans="1:54" x14ac:dyDescent="0.25">
      <c r="A63">
        <v>60</v>
      </c>
      <c r="B63" s="21"/>
      <c r="C63" t="str">
        <f t="shared" ca="1" si="20"/>
        <v/>
      </c>
      <c r="D63" s="17" t="str">
        <f t="shared" ca="1" si="6"/>
        <v/>
      </c>
      <c r="E63" t="str">
        <f t="shared" ca="1" si="7"/>
        <v/>
      </c>
      <c r="F63" t="str">
        <f t="shared" ca="1" si="21"/>
        <v/>
      </c>
      <c r="G63" t="str">
        <f t="shared" ca="1" si="21"/>
        <v/>
      </c>
      <c r="H63" t="str">
        <f t="shared" ca="1" si="21"/>
        <v/>
      </c>
      <c r="J63" t="str">
        <f t="shared" ca="1" si="26"/>
        <v/>
      </c>
      <c r="K63" t="str">
        <f t="shared" ca="1" si="26"/>
        <v/>
      </c>
      <c r="L63" t="str">
        <f t="shared" ca="1" si="26"/>
        <v/>
      </c>
      <c r="M63" t="str">
        <f t="shared" ca="1" si="26"/>
        <v/>
      </c>
      <c r="N63" t="str">
        <f t="shared" ca="1" si="26"/>
        <v/>
      </c>
      <c r="O63" t="str">
        <f t="shared" ca="1" si="26"/>
        <v/>
      </c>
      <c r="P63" t="str">
        <f t="shared" ca="1" si="26"/>
        <v/>
      </c>
      <c r="Q63" t="str">
        <f t="shared" ca="1" si="26"/>
        <v/>
      </c>
      <c r="R63" t="str">
        <f t="shared" ca="1" si="26"/>
        <v/>
      </c>
      <c r="S63" t="str">
        <f t="shared" ca="1" si="26"/>
        <v/>
      </c>
      <c r="T63" t="str">
        <f t="shared" ca="1" si="26"/>
        <v/>
      </c>
      <c r="U63" s="32" t="str">
        <f t="shared" ca="1" si="26"/>
        <v/>
      </c>
      <c r="V63" t="str">
        <f t="shared" ca="1" si="26"/>
        <v/>
      </c>
      <c r="W63" t="str">
        <f t="shared" ca="1" si="26"/>
        <v/>
      </c>
      <c r="X63" s="17" t="str">
        <f t="shared" ca="1" si="8"/>
        <v/>
      </c>
      <c r="Y63" t="str">
        <f t="shared" ca="1" si="27"/>
        <v/>
      </c>
      <c r="Z63" t="str">
        <f t="shared" ca="1" si="27"/>
        <v/>
      </c>
      <c r="AA63" t="str">
        <f t="shared" ca="1" si="27"/>
        <v/>
      </c>
      <c r="AB63" t="str">
        <f t="shared" ca="1" si="27"/>
        <v/>
      </c>
      <c r="AC63" t="str">
        <f t="shared" ca="1" si="27"/>
        <v/>
      </c>
      <c r="AD63" t="str">
        <f t="shared" ca="1" si="27"/>
        <v/>
      </c>
      <c r="AE63" t="str">
        <f t="shared" ca="1" si="27"/>
        <v/>
      </c>
      <c r="AF63" t="str">
        <f t="shared" ca="1" si="27"/>
        <v/>
      </c>
      <c r="AG63" t="str">
        <f t="shared" ca="1" si="27"/>
        <v/>
      </c>
      <c r="AH63" t="str">
        <f t="shared" ca="1" si="27"/>
        <v/>
      </c>
      <c r="AI63" t="str">
        <f t="shared" ca="1" si="28"/>
        <v/>
      </c>
      <c r="AJ63" t="str">
        <f t="shared" ca="1" si="28"/>
        <v/>
      </c>
      <c r="AK63" t="str">
        <f t="shared" ca="1" si="28"/>
        <v/>
      </c>
      <c r="AL63" t="str">
        <f t="shared" ca="1" si="28"/>
        <v/>
      </c>
      <c r="AM63" t="str">
        <f t="shared" ca="1" si="28"/>
        <v/>
      </c>
      <c r="AN63" t="str">
        <f t="shared" ca="1" si="28"/>
        <v/>
      </c>
      <c r="AO63" t="str">
        <f t="shared" ca="1" si="28"/>
        <v/>
      </c>
      <c r="AP63" t="str">
        <f t="shared" ca="1" si="28"/>
        <v/>
      </c>
      <c r="AQ63" t="str">
        <f t="shared" ca="1" si="28"/>
        <v/>
      </c>
      <c r="AR63" t="str">
        <f t="shared" ca="1" si="28"/>
        <v/>
      </c>
      <c r="AZ63" t="str">
        <f t="shared" ca="1" si="25"/>
        <v/>
      </c>
      <c r="BA63" t="str">
        <f t="shared" ca="1" si="25"/>
        <v/>
      </c>
      <c r="BB63" t="str">
        <f t="shared" ca="1" si="25"/>
        <v/>
      </c>
    </row>
    <row r="64" spans="1:54" x14ac:dyDescent="0.25">
      <c r="A64">
        <v>61</v>
      </c>
      <c r="B64" s="21"/>
      <c r="C64" t="str">
        <f t="shared" ca="1" si="20"/>
        <v/>
      </c>
      <c r="D64" s="17" t="str">
        <f t="shared" ca="1" si="6"/>
        <v/>
      </c>
      <c r="E64" t="str">
        <f t="shared" ca="1" si="7"/>
        <v/>
      </c>
      <c r="F64" t="str">
        <f t="shared" ref="F64:H83" ca="1" si="29">IFERROR(HLOOKUP(F$3, OFFSET(JSONstart,2*$A64-2,0,2,75), 2,FALSE),  "")</f>
        <v/>
      </c>
      <c r="G64" t="str">
        <f t="shared" ca="1" si="29"/>
        <v/>
      </c>
      <c r="H64" t="str">
        <f t="shared" ca="1" si="29"/>
        <v/>
      </c>
      <c r="J64" t="str">
        <f t="shared" ref="J64:W73" ca="1" si="30">IFERROR(HLOOKUP(J$3, OFFSET(JSONstart,2*$A64-2,0,2,75), 2,FALSE),  "")</f>
        <v/>
      </c>
      <c r="K64" t="str">
        <f t="shared" ca="1" si="30"/>
        <v/>
      </c>
      <c r="L64" t="str">
        <f t="shared" ca="1" si="30"/>
        <v/>
      </c>
      <c r="M64" t="str">
        <f t="shared" ca="1" si="30"/>
        <v/>
      </c>
      <c r="N64" t="str">
        <f t="shared" ca="1" si="30"/>
        <v/>
      </c>
      <c r="O64" t="str">
        <f t="shared" ca="1" si="30"/>
        <v/>
      </c>
      <c r="P64" t="str">
        <f t="shared" ca="1" si="30"/>
        <v/>
      </c>
      <c r="Q64" t="str">
        <f t="shared" ca="1" si="30"/>
        <v/>
      </c>
      <c r="R64" t="str">
        <f t="shared" ca="1" si="30"/>
        <v/>
      </c>
      <c r="S64" t="str">
        <f t="shared" ca="1" si="30"/>
        <v/>
      </c>
      <c r="T64" t="str">
        <f t="shared" ca="1" si="30"/>
        <v/>
      </c>
      <c r="U64" s="32" t="str">
        <f t="shared" ca="1" si="30"/>
        <v/>
      </c>
      <c r="V64" t="str">
        <f t="shared" ca="1" si="30"/>
        <v/>
      </c>
      <c r="W64" t="str">
        <f t="shared" ca="1" si="30"/>
        <v/>
      </c>
      <c r="X64" s="17" t="str">
        <f t="shared" ca="1" si="8"/>
        <v/>
      </c>
      <c r="Y64" t="str">
        <f t="shared" ref="Y64:AH73" ca="1" si="31">IFERROR(HLOOKUP(Y$3, OFFSET(JSONstart,2*$A64-2,0,2,75), 2,FALSE),   "")</f>
        <v/>
      </c>
      <c r="Z64" t="str">
        <f t="shared" ca="1" si="31"/>
        <v/>
      </c>
      <c r="AA64" t="str">
        <f t="shared" ca="1" si="31"/>
        <v/>
      </c>
      <c r="AB64" t="str">
        <f t="shared" ca="1" si="31"/>
        <v/>
      </c>
      <c r="AC64" t="str">
        <f t="shared" ca="1" si="31"/>
        <v/>
      </c>
      <c r="AD64" t="str">
        <f t="shared" ca="1" si="31"/>
        <v/>
      </c>
      <c r="AE64" t="str">
        <f t="shared" ca="1" si="31"/>
        <v/>
      </c>
      <c r="AF64" t="str">
        <f t="shared" ca="1" si="31"/>
        <v/>
      </c>
      <c r="AG64" t="str">
        <f t="shared" ca="1" si="31"/>
        <v/>
      </c>
      <c r="AH64" t="str">
        <f t="shared" ca="1" si="31"/>
        <v/>
      </c>
      <c r="AI64" t="str">
        <f t="shared" ref="AI64:AR73" ca="1" si="32">IFERROR(HLOOKUP(AI$3, OFFSET(JSONstart,2*$A64-2,0,2,75), 2,FALSE),   "")</f>
        <v/>
      </c>
      <c r="AJ64" t="str">
        <f t="shared" ca="1" si="32"/>
        <v/>
      </c>
      <c r="AK64" t="str">
        <f t="shared" ca="1" si="32"/>
        <v/>
      </c>
      <c r="AL64" t="str">
        <f t="shared" ca="1" si="32"/>
        <v/>
      </c>
      <c r="AM64" t="str">
        <f t="shared" ca="1" si="32"/>
        <v/>
      </c>
      <c r="AN64" t="str">
        <f t="shared" ca="1" si="32"/>
        <v/>
      </c>
      <c r="AO64" t="str">
        <f t="shared" ca="1" si="32"/>
        <v/>
      </c>
      <c r="AP64" t="str">
        <f t="shared" ca="1" si="32"/>
        <v/>
      </c>
      <c r="AQ64" t="str">
        <f t="shared" ca="1" si="32"/>
        <v/>
      </c>
      <c r="AR64" t="str">
        <f t="shared" ca="1" si="32"/>
        <v/>
      </c>
      <c r="AZ64" t="str">
        <f t="shared" ref="AZ64:BB83" ca="1" si="33">IFERROR(HLOOKUP(AZ$3, OFFSET(JSONstart,2*$A64-2,0,2,70), 2,FALSE),  "")</f>
        <v/>
      </c>
      <c r="BA64" t="str">
        <f t="shared" ca="1" si="33"/>
        <v/>
      </c>
      <c r="BB64" t="str">
        <f t="shared" ca="1" si="33"/>
        <v/>
      </c>
    </row>
    <row r="65" spans="1:54" x14ac:dyDescent="0.25">
      <c r="A65">
        <v>62</v>
      </c>
      <c r="B65" s="21"/>
      <c r="C65" t="str">
        <f t="shared" ca="1" si="20"/>
        <v/>
      </c>
      <c r="D65" s="17" t="str">
        <f t="shared" ca="1" si="6"/>
        <v/>
      </c>
      <c r="E65" t="str">
        <f t="shared" ca="1" si="7"/>
        <v/>
      </c>
      <c r="F65" t="str">
        <f t="shared" ca="1" si="29"/>
        <v/>
      </c>
      <c r="G65" t="str">
        <f t="shared" ca="1" si="29"/>
        <v/>
      </c>
      <c r="H65" t="str">
        <f t="shared" ca="1" si="29"/>
        <v/>
      </c>
      <c r="J65" t="str">
        <f t="shared" ca="1" si="30"/>
        <v/>
      </c>
      <c r="K65" t="str">
        <f t="shared" ca="1" si="30"/>
        <v/>
      </c>
      <c r="L65" t="str">
        <f t="shared" ca="1" si="30"/>
        <v/>
      </c>
      <c r="M65" t="str">
        <f t="shared" ca="1" si="30"/>
        <v/>
      </c>
      <c r="N65" t="str">
        <f t="shared" ca="1" si="30"/>
        <v/>
      </c>
      <c r="O65" t="str">
        <f t="shared" ca="1" si="30"/>
        <v/>
      </c>
      <c r="P65" t="str">
        <f t="shared" ca="1" si="30"/>
        <v/>
      </c>
      <c r="Q65" t="str">
        <f t="shared" ca="1" si="30"/>
        <v/>
      </c>
      <c r="R65" t="str">
        <f t="shared" ca="1" si="30"/>
        <v/>
      </c>
      <c r="S65" t="str">
        <f t="shared" ca="1" si="30"/>
        <v/>
      </c>
      <c r="T65" t="str">
        <f t="shared" ca="1" si="30"/>
        <v/>
      </c>
      <c r="U65" s="32" t="str">
        <f t="shared" ca="1" si="30"/>
        <v/>
      </c>
      <c r="V65" t="str">
        <f t="shared" ca="1" si="30"/>
        <v/>
      </c>
      <c r="W65" t="str">
        <f t="shared" ca="1" si="30"/>
        <v/>
      </c>
      <c r="X65" s="17" t="str">
        <f t="shared" ca="1" si="8"/>
        <v/>
      </c>
      <c r="Y65" t="str">
        <f t="shared" ca="1" si="31"/>
        <v/>
      </c>
      <c r="Z65" t="str">
        <f t="shared" ca="1" si="31"/>
        <v/>
      </c>
      <c r="AA65" t="str">
        <f t="shared" ca="1" si="31"/>
        <v/>
      </c>
      <c r="AB65" t="str">
        <f t="shared" ca="1" si="31"/>
        <v/>
      </c>
      <c r="AC65" t="str">
        <f t="shared" ca="1" si="31"/>
        <v/>
      </c>
      <c r="AD65" t="str">
        <f t="shared" ca="1" si="31"/>
        <v/>
      </c>
      <c r="AE65" t="str">
        <f t="shared" ca="1" si="31"/>
        <v/>
      </c>
      <c r="AF65" t="str">
        <f t="shared" ca="1" si="31"/>
        <v/>
      </c>
      <c r="AG65" t="str">
        <f t="shared" ca="1" si="31"/>
        <v/>
      </c>
      <c r="AH65" t="str">
        <f t="shared" ca="1" si="31"/>
        <v/>
      </c>
      <c r="AI65" t="str">
        <f t="shared" ca="1" si="32"/>
        <v/>
      </c>
      <c r="AJ65" t="str">
        <f t="shared" ca="1" si="32"/>
        <v/>
      </c>
      <c r="AK65" t="str">
        <f t="shared" ca="1" si="32"/>
        <v/>
      </c>
      <c r="AL65" t="str">
        <f t="shared" ca="1" si="32"/>
        <v/>
      </c>
      <c r="AM65" t="str">
        <f t="shared" ca="1" si="32"/>
        <v/>
      </c>
      <c r="AN65" t="str">
        <f t="shared" ca="1" si="32"/>
        <v/>
      </c>
      <c r="AO65" t="str">
        <f t="shared" ca="1" si="32"/>
        <v/>
      </c>
      <c r="AP65" t="str">
        <f t="shared" ca="1" si="32"/>
        <v/>
      </c>
      <c r="AQ65" t="str">
        <f t="shared" ca="1" si="32"/>
        <v/>
      </c>
      <c r="AR65" t="str">
        <f t="shared" ca="1" si="32"/>
        <v/>
      </c>
      <c r="AZ65" t="str">
        <f t="shared" ca="1" si="33"/>
        <v/>
      </c>
      <c r="BA65" t="str">
        <f t="shared" ca="1" si="33"/>
        <v/>
      </c>
      <c r="BB65" t="str">
        <f t="shared" ca="1" si="33"/>
        <v/>
      </c>
    </row>
    <row r="66" spans="1:54" x14ac:dyDescent="0.25">
      <c r="A66">
        <v>63</v>
      </c>
      <c r="B66" s="21"/>
      <c r="C66" t="str">
        <f t="shared" ca="1" si="20"/>
        <v/>
      </c>
      <c r="D66" s="17" t="str">
        <f t="shared" ca="1" si="6"/>
        <v/>
      </c>
      <c r="E66" t="str">
        <f t="shared" ca="1" si="7"/>
        <v/>
      </c>
      <c r="F66" t="str">
        <f t="shared" ca="1" si="29"/>
        <v/>
      </c>
      <c r="G66" t="str">
        <f t="shared" ca="1" si="29"/>
        <v/>
      </c>
      <c r="H66" t="str">
        <f t="shared" ca="1" si="29"/>
        <v/>
      </c>
      <c r="J66" t="str">
        <f t="shared" ca="1" si="30"/>
        <v/>
      </c>
      <c r="K66" t="str">
        <f t="shared" ca="1" si="30"/>
        <v/>
      </c>
      <c r="L66" t="str">
        <f t="shared" ca="1" si="30"/>
        <v/>
      </c>
      <c r="M66" t="str">
        <f t="shared" ca="1" si="30"/>
        <v/>
      </c>
      <c r="N66" t="str">
        <f t="shared" ca="1" si="30"/>
        <v/>
      </c>
      <c r="O66" t="str">
        <f t="shared" ca="1" si="30"/>
        <v/>
      </c>
      <c r="P66" t="str">
        <f t="shared" ca="1" si="30"/>
        <v/>
      </c>
      <c r="Q66" t="str">
        <f t="shared" ca="1" si="30"/>
        <v/>
      </c>
      <c r="R66" t="str">
        <f t="shared" ca="1" si="30"/>
        <v/>
      </c>
      <c r="S66" t="str">
        <f t="shared" ca="1" si="30"/>
        <v/>
      </c>
      <c r="T66" t="str">
        <f t="shared" ca="1" si="30"/>
        <v/>
      </c>
      <c r="U66" s="32" t="str">
        <f t="shared" ca="1" si="30"/>
        <v/>
      </c>
      <c r="V66" t="str">
        <f t="shared" ca="1" si="30"/>
        <v/>
      </c>
      <c r="W66" t="str">
        <f t="shared" ca="1" si="30"/>
        <v/>
      </c>
      <c r="X66" s="17" t="str">
        <f t="shared" ca="1" si="8"/>
        <v/>
      </c>
      <c r="Y66" t="str">
        <f t="shared" ca="1" si="31"/>
        <v/>
      </c>
      <c r="Z66" t="str">
        <f t="shared" ca="1" si="31"/>
        <v/>
      </c>
      <c r="AA66" t="str">
        <f t="shared" ca="1" si="31"/>
        <v/>
      </c>
      <c r="AB66" t="str">
        <f t="shared" ca="1" si="31"/>
        <v/>
      </c>
      <c r="AC66" t="str">
        <f t="shared" ca="1" si="31"/>
        <v/>
      </c>
      <c r="AD66" t="str">
        <f t="shared" ca="1" si="31"/>
        <v/>
      </c>
      <c r="AE66" t="str">
        <f t="shared" ca="1" si="31"/>
        <v/>
      </c>
      <c r="AF66" t="str">
        <f t="shared" ca="1" si="31"/>
        <v/>
      </c>
      <c r="AG66" t="str">
        <f t="shared" ca="1" si="31"/>
        <v/>
      </c>
      <c r="AH66" t="str">
        <f t="shared" ca="1" si="31"/>
        <v/>
      </c>
      <c r="AI66" t="str">
        <f t="shared" ca="1" si="32"/>
        <v/>
      </c>
      <c r="AJ66" t="str">
        <f t="shared" ca="1" si="32"/>
        <v/>
      </c>
      <c r="AK66" t="str">
        <f t="shared" ca="1" si="32"/>
        <v/>
      </c>
      <c r="AL66" t="str">
        <f t="shared" ca="1" si="32"/>
        <v/>
      </c>
      <c r="AM66" t="str">
        <f t="shared" ca="1" si="32"/>
        <v/>
      </c>
      <c r="AN66" t="str">
        <f t="shared" ca="1" si="32"/>
        <v/>
      </c>
      <c r="AO66" t="str">
        <f t="shared" ca="1" si="32"/>
        <v/>
      </c>
      <c r="AP66" t="str">
        <f t="shared" ca="1" si="32"/>
        <v/>
      </c>
      <c r="AQ66" t="str">
        <f t="shared" ca="1" si="32"/>
        <v/>
      </c>
      <c r="AR66" t="str">
        <f t="shared" ca="1" si="32"/>
        <v/>
      </c>
      <c r="AZ66" t="str">
        <f t="shared" ca="1" si="33"/>
        <v/>
      </c>
      <c r="BA66" t="str">
        <f t="shared" ca="1" si="33"/>
        <v/>
      </c>
      <c r="BB66" t="str">
        <f t="shared" ca="1" si="33"/>
        <v/>
      </c>
    </row>
    <row r="67" spans="1:54" x14ac:dyDescent="0.25">
      <c r="A67">
        <v>64</v>
      </c>
      <c r="B67" s="21"/>
      <c r="C67" t="str">
        <f t="shared" ca="1" si="20"/>
        <v/>
      </c>
      <c r="D67" s="17" t="str">
        <f t="shared" ca="1" si="6"/>
        <v/>
      </c>
      <c r="E67" t="str">
        <f t="shared" ca="1" si="7"/>
        <v/>
      </c>
      <c r="F67" t="str">
        <f t="shared" ca="1" si="29"/>
        <v/>
      </c>
      <c r="G67" t="str">
        <f t="shared" ca="1" si="29"/>
        <v/>
      </c>
      <c r="H67" t="str">
        <f t="shared" ca="1" si="29"/>
        <v/>
      </c>
      <c r="J67" t="str">
        <f t="shared" ca="1" si="30"/>
        <v/>
      </c>
      <c r="K67" t="str">
        <f t="shared" ca="1" si="30"/>
        <v/>
      </c>
      <c r="L67" t="str">
        <f t="shared" ca="1" si="30"/>
        <v/>
      </c>
      <c r="M67" t="str">
        <f t="shared" ca="1" si="30"/>
        <v/>
      </c>
      <c r="N67" t="str">
        <f t="shared" ca="1" si="30"/>
        <v/>
      </c>
      <c r="O67" t="str">
        <f t="shared" ca="1" si="30"/>
        <v/>
      </c>
      <c r="P67" t="str">
        <f t="shared" ca="1" si="30"/>
        <v/>
      </c>
      <c r="Q67" t="str">
        <f t="shared" ca="1" si="30"/>
        <v/>
      </c>
      <c r="R67" t="str">
        <f t="shared" ca="1" si="30"/>
        <v/>
      </c>
      <c r="S67" t="str">
        <f t="shared" ca="1" si="30"/>
        <v/>
      </c>
      <c r="T67" t="str">
        <f t="shared" ca="1" si="30"/>
        <v/>
      </c>
      <c r="U67" s="32" t="str">
        <f t="shared" ca="1" si="30"/>
        <v/>
      </c>
      <c r="V67" t="str">
        <f t="shared" ca="1" si="30"/>
        <v/>
      </c>
      <c r="W67" t="str">
        <f t="shared" ca="1" si="30"/>
        <v/>
      </c>
      <c r="X67" s="17" t="str">
        <f t="shared" ca="1" si="8"/>
        <v/>
      </c>
      <c r="Y67" t="str">
        <f t="shared" ca="1" si="31"/>
        <v/>
      </c>
      <c r="Z67" t="str">
        <f t="shared" ca="1" si="31"/>
        <v/>
      </c>
      <c r="AA67" t="str">
        <f t="shared" ca="1" si="31"/>
        <v/>
      </c>
      <c r="AB67" t="str">
        <f t="shared" ca="1" si="31"/>
        <v/>
      </c>
      <c r="AC67" t="str">
        <f t="shared" ca="1" si="31"/>
        <v/>
      </c>
      <c r="AD67" t="str">
        <f t="shared" ca="1" si="31"/>
        <v/>
      </c>
      <c r="AE67" t="str">
        <f t="shared" ca="1" si="31"/>
        <v/>
      </c>
      <c r="AF67" t="str">
        <f t="shared" ca="1" si="31"/>
        <v/>
      </c>
      <c r="AG67" t="str">
        <f t="shared" ca="1" si="31"/>
        <v/>
      </c>
      <c r="AH67" t="str">
        <f t="shared" ca="1" si="31"/>
        <v/>
      </c>
      <c r="AI67" t="str">
        <f t="shared" ca="1" si="32"/>
        <v/>
      </c>
      <c r="AJ67" t="str">
        <f t="shared" ca="1" si="32"/>
        <v/>
      </c>
      <c r="AK67" t="str">
        <f t="shared" ca="1" si="32"/>
        <v/>
      </c>
      <c r="AL67" t="str">
        <f t="shared" ca="1" si="32"/>
        <v/>
      </c>
      <c r="AM67" t="str">
        <f t="shared" ca="1" si="32"/>
        <v/>
      </c>
      <c r="AN67" t="str">
        <f t="shared" ca="1" si="32"/>
        <v/>
      </c>
      <c r="AO67" t="str">
        <f t="shared" ca="1" si="32"/>
        <v/>
      </c>
      <c r="AP67" t="str">
        <f t="shared" ca="1" si="32"/>
        <v/>
      </c>
      <c r="AQ67" t="str">
        <f t="shared" ca="1" si="32"/>
        <v/>
      </c>
      <c r="AR67" t="str">
        <f t="shared" ca="1" si="32"/>
        <v/>
      </c>
      <c r="AZ67" t="str">
        <f t="shared" ca="1" si="33"/>
        <v/>
      </c>
      <c r="BA67" t="str">
        <f t="shared" ca="1" si="33"/>
        <v/>
      </c>
      <c r="BB67" t="str">
        <f t="shared" ca="1" si="33"/>
        <v/>
      </c>
    </row>
    <row r="68" spans="1:54" x14ac:dyDescent="0.25">
      <c r="A68">
        <v>65</v>
      </c>
      <c r="B68" s="21"/>
      <c r="C68" t="str">
        <f t="shared" ref="C68:C99" ca="1" si="34">IFERROR(HLOOKUP(C$3, OFFSET(JSONstart,2*$A68-2,0,2,75), 2,FALSE),   "")</f>
        <v/>
      </c>
      <c r="D68" s="17" t="str">
        <f t="shared" ca="1" si="6"/>
        <v/>
      </c>
      <c r="E68" t="str">
        <f t="shared" ca="1" si="7"/>
        <v/>
      </c>
      <c r="F68" t="str">
        <f t="shared" ca="1" si="29"/>
        <v/>
      </c>
      <c r="G68" t="str">
        <f t="shared" ca="1" si="29"/>
        <v/>
      </c>
      <c r="H68" t="str">
        <f t="shared" ca="1" si="29"/>
        <v/>
      </c>
      <c r="J68" t="str">
        <f t="shared" ca="1" si="30"/>
        <v/>
      </c>
      <c r="K68" t="str">
        <f t="shared" ca="1" si="30"/>
        <v/>
      </c>
      <c r="L68" t="str">
        <f t="shared" ca="1" si="30"/>
        <v/>
      </c>
      <c r="M68" t="str">
        <f t="shared" ca="1" si="30"/>
        <v/>
      </c>
      <c r="N68" t="str">
        <f t="shared" ca="1" si="30"/>
        <v/>
      </c>
      <c r="O68" t="str">
        <f t="shared" ca="1" si="30"/>
        <v/>
      </c>
      <c r="P68" t="str">
        <f t="shared" ca="1" si="30"/>
        <v/>
      </c>
      <c r="Q68" t="str">
        <f t="shared" ca="1" si="30"/>
        <v/>
      </c>
      <c r="R68" t="str">
        <f t="shared" ca="1" si="30"/>
        <v/>
      </c>
      <c r="S68" t="str">
        <f t="shared" ca="1" si="30"/>
        <v/>
      </c>
      <c r="T68" t="str">
        <f t="shared" ca="1" si="30"/>
        <v/>
      </c>
      <c r="U68" s="32" t="str">
        <f t="shared" ca="1" si="30"/>
        <v/>
      </c>
      <c r="V68" t="str">
        <f t="shared" ca="1" si="30"/>
        <v/>
      </c>
      <c r="W68" t="str">
        <f t="shared" ca="1" si="30"/>
        <v/>
      </c>
      <c r="X68" s="17" t="str">
        <f t="shared" ca="1" si="8"/>
        <v/>
      </c>
      <c r="Y68" t="str">
        <f t="shared" ca="1" si="31"/>
        <v/>
      </c>
      <c r="Z68" t="str">
        <f t="shared" ca="1" si="31"/>
        <v/>
      </c>
      <c r="AA68" t="str">
        <f t="shared" ca="1" si="31"/>
        <v/>
      </c>
      <c r="AB68" t="str">
        <f t="shared" ca="1" si="31"/>
        <v/>
      </c>
      <c r="AC68" t="str">
        <f t="shared" ca="1" si="31"/>
        <v/>
      </c>
      <c r="AD68" t="str">
        <f t="shared" ca="1" si="31"/>
        <v/>
      </c>
      <c r="AE68" t="str">
        <f t="shared" ca="1" si="31"/>
        <v/>
      </c>
      <c r="AF68" t="str">
        <f t="shared" ca="1" si="31"/>
        <v/>
      </c>
      <c r="AG68" t="str">
        <f t="shared" ca="1" si="31"/>
        <v/>
      </c>
      <c r="AH68" t="str">
        <f t="shared" ca="1" si="31"/>
        <v/>
      </c>
      <c r="AI68" t="str">
        <f t="shared" ca="1" si="32"/>
        <v/>
      </c>
      <c r="AJ68" t="str">
        <f t="shared" ca="1" si="32"/>
        <v/>
      </c>
      <c r="AK68" t="str">
        <f t="shared" ca="1" si="32"/>
        <v/>
      </c>
      <c r="AL68" t="str">
        <f t="shared" ca="1" si="32"/>
        <v/>
      </c>
      <c r="AM68" t="str">
        <f t="shared" ca="1" si="32"/>
        <v/>
      </c>
      <c r="AN68" t="str">
        <f t="shared" ca="1" si="32"/>
        <v/>
      </c>
      <c r="AO68" t="str">
        <f t="shared" ca="1" si="32"/>
        <v/>
      </c>
      <c r="AP68" t="str">
        <f t="shared" ca="1" si="32"/>
        <v/>
      </c>
      <c r="AQ68" t="str">
        <f t="shared" ca="1" si="32"/>
        <v/>
      </c>
      <c r="AR68" t="str">
        <f t="shared" ca="1" si="32"/>
        <v/>
      </c>
      <c r="AZ68" t="str">
        <f t="shared" ca="1" si="33"/>
        <v/>
      </c>
      <c r="BA68" t="str">
        <f t="shared" ca="1" si="33"/>
        <v/>
      </c>
      <c r="BB68" t="str">
        <f t="shared" ca="1" si="33"/>
        <v/>
      </c>
    </row>
    <row r="69" spans="1:54" x14ac:dyDescent="0.25">
      <c r="A69">
        <v>66</v>
      </c>
      <c r="B69" s="21"/>
      <c r="C69" t="str">
        <f t="shared" ca="1" si="34"/>
        <v/>
      </c>
      <c r="D69" s="17" t="str">
        <f t="shared" ref="D69:D123" ca="1" si="35">IFERROR(IF(ISBLANK(AZ69),  "",   (AZ69+IFERROR($BB69/1000, -14400))/86400+DATE(1970,1,1)    ),  "")</f>
        <v/>
      </c>
      <c r="E69" t="str">
        <f t="shared" ref="E69:E123" ca="1" si="36">IFERROR(IF(ISBLANK($J69),  "",  $J69),  "")</f>
        <v/>
      </c>
      <c r="F69" t="str">
        <f t="shared" ca="1" si="29"/>
        <v/>
      </c>
      <c r="G69" t="str">
        <f t="shared" ca="1" si="29"/>
        <v/>
      </c>
      <c r="H69" t="str">
        <f t="shared" ca="1" si="29"/>
        <v/>
      </c>
      <c r="J69" t="str">
        <f t="shared" ca="1" si="30"/>
        <v/>
      </c>
      <c r="K69" t="str">
        <f t="shared" ca="1" si="30"/>
        <v/>
      </c>
      <c r="L69" t="str">
        <f t="shared" ca="1" si="30"/>
        <v/>
      </c>
      <c r="M69" t="str">
        <f t="shared" ca="1" si="30"/>
        <v/>
      </c>
      <c r="N69" t="str">
        <f t="shared" ca="1" si="30"/>
        <v/>
      </c>
      <c r="O69" t="str">
        <f t="shared" ca="1" si="30"/>
        <v/>
      </c>
      <c r="P69" t="str">
        <f t="shared" ca="1" si="30"/>
        <v/>
      </c>
      <c r="Q69" t="str">
        <f t="shared" ca="1" si="30"/>
        <v/>
      </c>
      <c r="R69" t="str">
        <f t="shared" ca="1" si="30"/>
        <v/>
      </c>
      <c r="S69" t="str">
        <f t="shared" ca="1" si="30"/>
        <v/>
      </c>
      <c r="T69" t="str">
        <f t="shared" ca="1" si="30"/>
        <v/>
      </c>
      <c r="U69" s="32" t="str">
        <f t="shared" ca="1" si="30"/>
        <v/>
      </c>
      <c r="V69" t="str">
        <f t="shared" ca="1" si="30"/>
        <v/>
      </c>
      <c r="W69" t="str">
        <f t="shared" ca="1" si="30"/>
        <v/>
      </c>
      <c r="X69" s="17" t="str">
        <f t="shared" ref="X69:X123" ca="1" si="37">IFERROR(IF(ISBLANK(BA69), "",     BA69/86400+DATE(1970,1,1)    ),  "")</f>
        <v/>
      </c>
      <c r="Y69" t="str">
        <f t="shared" ca="1" si="31"/>
        <v/>
      </c>
      <c r="Z69" t="str">
        <f t="shared" ca="1" si="31"/>
        <v/>
      </c>
      <c r="AA69" t="str">
        <f t="shared" ca="1" si="31"/>
        <v/>
      </c>
      <c r="AB69" t="str">
        <f t="shared" ca="1" si="31"/>
        <v/>
      </c>
      <c r="AC69" t="str">
        <f t="shared" ca="1" si="31"/>
        <v/>
      </c>
      <c r="AD69" t="str">
        <f t="shared" ca="1" si="31"/>
        <v/>
      </c>
      <c r="AE69" t="str">
        <f t="shared" ca="1" si="31"/>
        <v/>
      </c>
      <c r="AF69" t="str">
        <f t="shared" ca="1" si="31"/>
        <v/>
      </c>
      <c r="AG69" t="str">
        <f t="shared" ca="1" si="31"/>
        <v/>
      </c>
      <c r="AH69" t="str">
        <f t="shared" ca="1" si="31"/>
        <v/>
      </c>
      <c r="AI69" t="str">
        <f t="shared" ca="1" si="32"/>
        <v/>
      </c>
      <c r="AJ69" t="str">
        <f t="shared" ca="1" si="32"/>
        <v/>
      </c>
      <c r="AK69" t="str">
        <f t="shared" ca="1" si="32"/>
        <v/>
      </c>
      <c r="AL69" t="str">
        <f t="shared" ca="1" si="32"/>
        <v/>
      </c>
      <c r="AM69" t="str">
        <f t="shared" ca="1" si="32"/>
        <v/>
      </c>
      <c r="AN69" t="str">
        <f t="shared" ca="1" si="32"/>
        <v/>
      </c>
      <c r="AO69" t="str">
        <f t="shared" ca="1" si="32"/>
        <v/>
      </c>
      <c r="AP69" t="str">
        <f t="shared" ca="1" si="32"/>
        <v/>
      </c>
      <c r="AQ69" t="str">
        <f t="shared" ca="1" si="32"/>
        <v/>
      </c>
      <c r="AR69" t="str">
        <f t="shared" ca="1" si="32"/>
        <v/>
      </c>
      <c r="AZ69" t="str">
        <f t="shared" ca="1" si="33"/>
        <v/>
      </c>
      <c r="BA69" t="str">
        <f t="shared" ca="1" si="33"/>
        <v/>
      </c>
      <c r="BB69" t="str">
        <f t="shared" ca="1" si="33"/>
        <v/>
      </c>
    </row>
    <row r="70" spans="1:54" x14ac:dyDescent="0.25">
      <c r="A70">
        <v>67</v>
      </c>
      <c r="B70" s="21"/>
      <c r="C70" t="str">
        <f t="shared" ca="1" si="34"/>
        <v/>
      </c>
      <c r="D70" s="17" t="str">
        <f t="shared" ca="1" si="35"/>
        <v/>
      </c>
      <c r="E70" t="str">
        <f t="shared" ca="1" si="36"/>
        <v/>
      </c>
      <c r="F70" t="str">
        <f t="shared" ca="1" si="29"/>
        <v/>
      </c>
      <c r="G70" t="str">
        <f t="shared" ca="1" si="29"/>
        <v/>
      </c>
      <c r="H70" t="str">
        <f t="shared" ca="1" si="29"/>
        <v/>
      </c>
      <c r="J70" t="str">
        <f t="shared" ca="1" si="30"/>
        <v/>
      </c>
      <c r="K70" t="str">
        <f t="shared" ca="1" si="30"/>
        <v/>
      </c>
      <c r="L70" t="str">
        <f t="shared" ca="1" si="30"/>
        <v/>
      </c>
      <c r="M70" t="str">
        <f t="shared" ca="1" si="30"/>
        <v/>
      </c>
      <c r="N70" t="str">
        <f t="shared" ca="1" si="30"/>
        <v/>
      </c>
      <c r="O70" t="str">
        <f t="shared" ca="1" si="30"/>
        <v/>
      </c>
      <c r="P70" t="str">
        <f t="shared" ca="1" si="30"/>
        <v/>
      </c>
      <c r="Q70" t="str">
        <f t="shared" ca="1" si="30"/>
        <v/>
      </c>
      <c r="R70" t="str">
        <f t="shared" ca="1" si="30"/>
        <v/>
      </c>
      <c r="S70" t="str">
        <f t="shared" ca="1" si="30"/>
        <v/>
      </c>
      <c r="T70" t="str">
        <f t="shared" ca="1" si="30"/>
        <v/>
      </c>
      <c r="U70" s="32" t="str">
        <f t="shared" ca="1" si="30"/>
        <v/>
      </c>
      <c r="V70" t="str">
        <f t="shared" ca="1" si="30"/>
        <v/>
      </c>
      <c r="W70" t="str">
        <f t="shared" ca="1" si="30"/>
        <v/>
      </c>
      <c r="X70" s="17" t="str">
        <f t="shared" ca="1" si="37"/>
        <v/>
      </c>
      <c r="Y70" t="str">
        <f t="shared" ca="1" si="31"/>
        <v/>
      </c>
      <c r="Z70" t="str">
        <f t="shared" ca="1" si="31"/>
        <v/>
      </c>
      <c r="AA70" t="str">
        <f t="shared" ca="1" si="31"/>
        <v/>
      </c>
      <c r="AB70" t="str">
        <f t="shared" ca="1" si="31"/>
        <v/>
      </c>
      <c r="AC70" t="str">
        <f t="shared" ca="1" si="31"/>
        <v/>
      </c>
      <c r="AD70" t="str">
        <f t="shared" ca="1" si="31"/>
        <v/>
      </c>
      <c r="AE70" t="str">
        <f t="shared" ca="1" si="31"/>
        <v/>
      </c>
      <c r="AF70" t="str">
        <f t="shared" ca="1" si="31"/>
        <v/>
      </c>
      <c r="AG70" t="str">
        <f t="shared" ca="1" si="31"/>
        <v/>
      </c>
      <c r="AH70" t="str">
        <f t="shared" ca="1" si="31"/>
        <v/>
      </c>
      <c r="AI70" t="str">
        <f t="shared" ca="1" si="32"/>
        <v/>
      </c>
      <c r="AJ70" t="str">
        <f t="shared" ca="1" si="32"/>
        <v/>
      </c>
      <c r="AK70" t="str">
        <f t="shared" ca="1" si="32"/>
        <v/>
      </c>
      <c r="AL70" t="str">
        <f t="shared" ca="1" si="32"/>
        <v/>
      </c>
      <c r="AM70" t="str">
        <f t="shared" ca="1" si="32"/>
        <v/>
      </c>
      <c r="AN70" t="str">
        <f t="shared" ca="1" si="32"/>
        <v/>
      </c>
      <c r="AO70" t="str">
        <f t="shared" ca="1" si="32"/>
        <v/>
      </c>
      <c r="AP70" t="str">
        <f t="shared" ca="1" si="32"/>
        <v/>
      </c>
      <c r="AQ70" t="str">
        <f t="shared" ca="1" si="32"/>
        <v/>
      </c>
      <c r="AR70" t="str">
        <f t="shared" ca="1" si="32"/>
        <v/>
      </c>
      <c r="AZ70" t="str">
        <f t="shared" ca="1" si="33"/>
        <v/>
      </c>
      <c r="BA70" t="str">
        <f t="shared" ca="1" si="33"/>
        <v/>
      </c>
      <c r="BB70" t="str">
        <f t="shared" ca="1" si="33"/>
        <v/>
      </c>
    </row>
    <row r="71" spans="1:54" x14ac:dyDescent="0.25">
      <c r="A71">
        <v>68</v>
      </c>
      <c r="B71" s="21"/>
      <c r="C71" t="str">
        <f t="shared" ca="1" si="34"/>
        <v/>
      </c>
      <c r="D71" s="17" t="str">
        <f t="shared" ca="1" si="35"/>
        <v/>
      </c>
      <c r="E71" t="str">
        <f t="shared" ca="1" si="36"/>
        <v/>
      </c>
      <c r="F71" t="str">
        <f t="shared" ca="1" si="29"/>
        <v/>
      </c>
      <c r="G71" t="str">
        <f t="shared" ca="1" si="29"/>
        <v/>
      </c>
      <c r="H71" t="str">
        <f t="shared" ca="1" si="29"/>
        <v/>
      </c>
      <c r="J71" t="str">
        <f t="shared" ca="1" si="30"/>
        <v/>
      </c>
      <c r="K71" t="str">
        <f t="shared" ca="1" si="30"/>
        <v/>
      </c>
      <c r="L71" t="str">
        <f t="shared" ca="1" si="30"/>
        <v/>
      </c>
      <c r="M71" t="str">
        <f t="shared" ca="1" si="30"/>
        <v/>
      </c>
      <c r="N71" t="str">
        <f t="shared" ca="1" si="30"/>
        <v/>
      </c>
      <c r="O71" t="str">
        <f t="shared" ca="1" si="30"/>
        <v/>
      </c>
      <c r="P71" t="str">
        <f t="shared" ca="1" si="30"/>
        <v/>
      </c>
      <c r="Q71" t="str">
        <f t="shared" ca="1" si="30"/>
        <v/>
      </c>
      <c r="R71" t="str">
        <f t="shared" ca="1" si="30"/>
        <v/>
      </c>
      <c r="S71" t="str">
        <f t="shared" ca="1" si="30"/>
        <v/>
      </c>
      <c r="T71" t="str">
        <f t="shared" ca="1" si="30"/>
        <v/>
      </c>
      <c r="U71" s="32" t="str">
        <f t="shared" ca="1" si="30"/>
        <v/>
      </c>
      <c r="V71" t="str">
        <f t="shared" ca="1" si="30"/>
        <v/>
      </c>
      <c r="W71" t="str">
        <f t="shared" ca="1" si="30"/>
        <v/>
      </c>
      <c r="X71" s="17" t="str">
        <f t="shared" ca="1" si="37"/>
        <v/>
      </c>
      <c r="Y71" t="str">
        <f t="shared" ca="1" si="31"/>
        <v/>
      </c>
      <c r="Z71" t="str">
        <f t="shared" ca="1" si="31"/>
        <v/>
      </c>
      <c r="AA71" t="str">
        <f t="shared" ca="1" si="31"/>
        <v/>
      </c>
      <c r="AB71" t="str">
        <f t="shared" ca="1" si="31"/>
        <v/>
      </c>
      <c r="AC71" t="str">
        <f t="shared" ca="1" si="31"/>
        <v/>
      </c>
      <c r="AD71" t="str">
        <f t="shared" ca="1" si="31"/>
        <v/>
      </c>
      <c r="AE71" t="str">
        <f t="shared" ca="1" si="31"/>
        <v/>
      </c>
      <c r="AF71" t="str">
        <f t="shared" ca="1" si="31"/>
        <v/>
      </c>
      <c r="AG71" t="str">
        <f t="shared" ca="1" si="31"/>
        <v/>
      </c>
      <c r="AH71" t="str">
        <f t="shared" ca="1" si="31"/>
        <v/>
      </c>
      <c r="AI71" t="str">
        <f t="shared" ca="1" si="32"/>
        <v/>
      </c>
      <c r="AJ71" t="str">
        <f t="shared" ca="1" si="32"/>
        <v/>
      </c>
      <c r="AK71" t="str">
        <f t="shared" ca="1" si="32"/>
        <v/>
      </c>
      <c r="AL71" t="str">
        <f t="shared" ca="1" si="32"/>
        <v/>
      </c>
      <c r="AM71" t="str">
        <f t="shared" ca="1" si="32"/>
        <v/>
      </c>
      <c r="AN71" t="str">
        <f t="shared" ca="1" si="32"/>
        <v/>
      </c>
      <c r="AO71" t="str">
        <f t="shared" ca="1" si="32"/>
        <v/>
      </c>
      <c r="AP71" t="str">
        <f t="shared" ca="1" si="32"/>
        <v/>
      </c>
      <c r="AQ71" t="str">
        <f t="shared" ca="1" si="32"/>
        <v/>
      </c>
      <c r="AR71" t="str">
        <f t="shared" ca="1" si="32"/>
        <v/>
      </c>
      <c r="AZ71" t="str">
        <f t="shared" ca="1" si="33"/>
        <v/>
      </c>
      <c r="BA71" t="str">
        <f t="shared" ca="1" si="33"/>
        <v/>
      </c>
      <c r="BB71" t="str">
        <f t="shared" ca="1" si="33"/>
        <v/>
      </c>
    </row>
    <row r="72" spans="1:54" x14ac:dyDescent="0.25">
      <c r="A72">
        <v>69</v>
      </c>
      <c r="B72" s="21"/>
      <c r="C72" t="str">
        <f t="shared" ca="1" si="34"/>
        <v/>
      </c>
      <c r="D72" s="17" t="str">
        <f t="shared" ca="1" si="35"/>
        <v/>
      </c>
      <c r="E72" t="str">
        <f t="shared" ca="1" si="36"/>
        <v/>
      </c>
      <c r="F72" t="str">
        <f t="shared" ca="1" si="29"/>
        <v/>
      </c>
      <c r="G72" t="str">
        <f t="shared" ca="1" si="29"/>
        <v/>
      </c>
      <c r="H72" t="str">
        <f t="shared" ca="1" si="29"/>
        <v/>
      </c>
      <c r="J72" t="str">
        <f t="shared" ca="1" si="30"/>
        <v/>
      </c>
      <c r="K72" t="str">
        <f t="shared" ca="1" si="30"/>
        <v/>
      </c>
      <c r="L72" t="str">
        <f t="shared" ca="1" si="30"/>
        <v/>
      </c>
      <c r="M72" t="str">
        <f t="shared" ca="1" si="30"/>
        <v/>
      </c>
      <c r="N72" t="str">
        <f t="shared" ca="1" si="30"/>
        <v/>
      </c>
      <c r="O72" t="str">
        <f t="shared" ca="1" si="30"/>
        <v/>
      </c>
      <c r="P72" t="str">
        <f t="shared" ca="1" si="30"/>
        <v/>
      </c>
      <c r="Q72" t="str">
        <f t="shared" ca="1" si="30"/>
        <v/>
      </c>
      <c r="R72" t="str">
        <f t="shared" ca="1" si="30"/>
        <v/>
      </c>
      <c r="S72" t="str">
        <f t="shared" ca="1" si="30"/>
        <v/>
      </c>
      <c r="T72" t="str">
        <f t="shared" ca="1" si="30"/>
        <v/>
      </c>
      <c r="U72" s="32" t="str">
        <f t="shared" ca="1" si="30"/>
        <v/>
      </c>
      <c r="V72" t="str">
        <f t="shared" ca="1" si="30"/>
        <v/>
      </c>
      <c r="W72" t="str">
        <f t="shared" ca="1" si="30"/>
        <v/>
      </c>
      <c r="X72" s="17" t="str">
        <f t="shared" ca="1" si="37"/>
        <v/>
      </c>
      <c r="Y72" t="str">
        <f t="shared" ca="1" si="31"/>
        <v/>
      </c>
      <c r="Z72" t="str">
        <f t="shared" ca="1" si="31"/>
        <v/>
      </c>
      <c r="AA72" t="str">
        <f t="shared" ca="1" si="31"/>
        <v/>
      </c>
      <c r="AB72" t="str">
        <f t="shared" ca="1" si="31"/>
        <v/>
      </c>
      <c r="AC72" t="str">
        <f t="shared" ca="1" si="31"/>
        <v/>
      </c>
      <c r="AD72" t="str">
        <f t="shared" ca="1" si="31"/>
        <v/>
      </c>
      <c r="AE72" t="str">
        <f t="shared" ca="1" si="31"/>
        <v/>
      </c>
      <c r="AF72" t="str">
        <f t="shared" ca="1" si="31"/>
        <v/>
      </c>
      <c r="AG72" t="str">
        <f t="shared" ca="1" si="31"/>
        <v/>
      </c>
      <c r="AH72" t="str">
        <f t="shared" ca="1" si="31"/>
        <v/>
      </c>
      <c r="AI72" t="str">
        <f t="shared" ca="1" si="32"/>
        <v/>
      </c>
      <c r="AJ72" t="str">
        <f t="shared" ca="1" si="32"/>
        <v/>
      </c>
      <c r="AK72" t="str">
        <f t="shared" ca="1" si="32"/>
        <v/>
      </c>
      <c r="AL72" t="str">
        <f t="shared" ca="1" si="32"/>
        <v/>
      </c>
      <c r="AM72" t="str">
        <f t="shared" ca="1" si="32"/>
        <v/>
      </c>
      <c r="AN72" t="str">
        <f t="shared" ca="1" si="32"/>
        <v/>
      </c>
      <c r="AO72" t="str">
        <f t="shared" ca="1" si="32"/>
        <v/>
      </c>
      <c r="AP72" t="str">
        <f t="shared" ca="1" si="32"/>
        <v/>
      </c>
      <c r="AQ72" t="str">
        <f t="shared" ca="1" si="32"/>
        <v/>
      </c>
      <c r="AR72" t="str">
        <f t="shared" ca="1" si="32"/>
        <v/>
      </c>
      <c r="AZ72" t="str">
        <f t="shared" ca="1" si="33"/>
        <v/>
      </c>
      <c r="BA72" t="str">
        <f t="shared" ca="1" si="33"/>
        <v/>
      </c>
      <c r="BB72" t="str">
        <f t="shared" ca="1" si="33"/>
        <v/>
      </c>
    </row>
    <row r="73" spans="1:54" x14ac:dyDescent="0.25">
      <c r="A73">
        <v>70</v>
      </c>
      <c r="B73" s="21"/>
      <c r="C73" t="str">
        <f t="shared" ca="1" si="34"/>
        <v/>
      </c>
      <c r="D73" s="17" t="str">
        <f t="shared" ca="1" si="35"/>
        <v/>
      </c>
      <c r="E73" t="str">
        <f t="shared" ca="1" si="36"/>
        <v/>
      </c>
      <c r="F73" t="str">
        <f t="shared" ca="1" si="29"/>
        <v/>
      </c>
      <c r="G73" t="str">
        <f t="shared" ca="1" si="29"/>
        <v/>
      </c>
      <c r="H73" t="str">
        <f t="shared" ca="1" si="29"/>
        <v/>
      </c>
      <c r="J73" t="str">
        <f t="shared" ca="1" si="30"/>
        <v/>
      </c>
      <c r="K73" t="str">
        <f t="shared" ca="1" si="30"/>
        <v/>
      </c>
      <c r="L73" t="str">
        <f t="shared" ca="1" si="30"/>
        <v/>
      </c>
      <c r="M73" t="str">
        <f t="shared" ca="1" si="30"/>
        <v/>
      </c>
      <c r="N73" t="str">
        <f t="shared" ca="1" si="30"/>
        <v/>
      </c>
      <c r="O73" t="str">
        <f t="shared" ca="1" si="30"/>
        <v/>
      </c>
      <c r="P73" t="str">
        <f t="shared" ca="1" si="30"/>
        <v/>
      </c>
      <c r="Q73" t="str">
        <f t="shared" ca="1" si="30"/>
        <v/>
      </c>
      <c r="R73" t="str">
        <f t="shared" ca="1" si="30"/>
        <v/>
      </c>
      <c r="S73" t="str">
        <f t="shared" ca="1" si="30"/>
        <v/>
      </c>
      <c r="T73" t="str">
        <f t="shared" ca="1" si="30"/>
        <v/>
      </c>
      <c r="U73" s="32" t="str">
        <f t="shared" ca="1" si="30"/>
        <v/>
      </c>
      <c r="V73" t="str">
        <f t="shared" ca="1" si="30"/>
        <v/>
      </c>
      <c r="W73" t="str">
        <f t="shared" ca="1" si="30"/>
        <v/>
      </c>
      <c r="X73" s="17" t="str">
        <f t="shared" ca="1" si="37"/>
        <v/>
      </c>
      <c r="Y73" t="str">
        <f t="shared" ca="1" si="31"/>
        <v/>
      </c>
      <c r="Z73" t="str">
        <f t="shared" ca="1" si="31"/>
        <v/>
      </c>
      <c r="AA73" t="str">
        <f t="shared" ca="1" si="31"/>
        <v/>
      </c>
      <c r="AB73" t="str">
        <f t="shared" ca="1" si="31"/>
        <v/>
      </c>
      <c r="AC73" t="str">
        <f t="shared" ca="1" si="31"/>
        <v/>
      </c>
      <c r="AD73" t="str">
        <f t="shared" ca="1" si="31"/>
        <v/>
      </c>
      <c r="AE73" t="str">
        <f t="shared" ca="1" si="31"/>
        <v/>
      </c>
      <c r="AF73" t="str">
        <f t="shared" ca="1" si="31"/>
        <v/>
      </c>
      <c r="AG73" t="str">
        <f t="shared" ca="1" si="31"/>
        <v/>
      </c>
      <c r="AH73" t="str">
        <f t="shared" ca="1" si="31"/>
        <v/>
      </c>
      <c r="AI73" t="str">
        <f t="shared" ca="1" si="32"/>
        <v/>
      </c>
      <c r="AJ73" t="str">
        <f t="shared" ca="1" si="32"/>
        <v/>
      </c>
      <c r="AK73" t="str">
        <f t="shared" ca="1" si="32"/>
        <v/>
      </c>
      <c r="AL73" t="str">
        <f t="shared" ca="1" si="32"/>
        <v/>
      </c>
      <c r="AM73" t="str">
        <f t="shared" ca="1" si="32"/>
        <v/>
      </c>
      <c r="AN73" t="str">
        <f t="shared" ca="1" si="32"/>
        <v/>
      </c>
      <c r="AO73" t="str">
        <f t="shared" ca="1" si="32"/>
        <v/>
      </c>
      <c r="AP73" t="str">
        <f t="shared" ca="1" si="32"/>
        <v/>
      </c>
      <c r="AQ73" t="str">
        <f t="shared" ca="1" si="32"/>
        <v/>
      </c>
      <c r="AR73" t="str">
        <f t="shared" ca="1" si="32"/>
        <v/>
      </c>
      <c r="AZ73" t="str">
        <f t="shared" ca="1" si="33"/>
        <v/>
      </c>
      <c r="BA73" t="str">
        <f t="shared" ca="1" si="33"/>
        <v/>
      </c>
      <c r="BB73" t="str">
        <f t="shared" ca="1" si="33"/>
        <v/>
      </c>
    </row>
    <row r="74" spans="1:54" x14ac:dyDescent="0.25">
      <c r="A74">
        <v>71</v>
      </c>
      <c r="B74" s="21"/>
      <c r="C74" t="str">
        <f t="shared" ca="1" si="34"/>
        <v/>
      </c>
      <c r="D74" s="17" t="str">
        <f t="shared" ca="1" si="35"/>
        <v/>
      </c>
      <c r="E74" t="str">
        <f t="shared" ca="1" si="36"/>
        <v/>
      </c>
      <c r="F74" t="str">
        <f t="shared" ca="1" si="29"/>
        <v/>
      </c>
      <c r="G74" t="str">
        <f t="shared" ca="1" si="29"/>
        <v/>
      </c>
      <c r="H74" t="str">
        <f t="shared" ca="1" si="29"/>
        <v/>
      </c>
      <c r="J74" t="str">
        <f t="shared" ref="J74:W83" ca="1" si="38">IFERROR(HLOOKUP(J$3, OFFSET(JSONstart,2*$A74-2,0,2,75), 2,FALSE),  "")</f>
        <v/>
      </c>
      <c r="K74" t="str">
        <f t="shared" ca="1" si="38"/>
        <v/>
      </c>
      <c r="L74" t="str">
        <f t="shared" ca="1" si="38"/>
        <v/>
      </c>
      <c r="M74" t="str">
        <f t="shared" ca="1" si="38"/>
        <v/>
      </c>
      <c r="N74" t="str">
        <f t="shared" ca="1" si="38"/>
        <v/>
      </c>
      <c r="O74" t="str">
        <f t="shared" ca="1" si="38"/>
        <v/>
      </c>
      <c r="P74" t="str">
        <f t="shared" ca="1" si="38"/>
        <v/>
      </c>
      <c r="Q74" t="str">
        <f t="shared" ca="1" si="38"/>
        <v/>
      </c>
      <c r="R74" t="str">
        <f t="shared" ca="1" si="38"/>
        <v/>
      </c>
      <c r="S74" t="str">
        <f t="shared" ca="1" si="38"/>
        <v/>
      </c>
      <c r="T74" t="str">
        <f t="shared" ca="1" si="38"/>
        <v/>
      </c>
      <c r="U74" s="32" t="str">
        <f t="shared" ca="1" si="38"/>
        <v/>
      </c>
      <c r="V74" t="str">
        <f t="shared" ca="1" si="38"/>
        <v/>
      </c>
      <c r="W74" t="str">
        <f t="shared" ca="1" si="38"/>
        <v/>
      </c>
      <c r="X74" s="17" t="str">
        <f t="shared" ca="1" si="37"/>
        <v/>
      </c>
      <c r="Y74" t="str">
        <f t="shared" ref="Y74:AH83" ca="1" si="39">IFERROR(HLOOKUP(Y$3, OFFSET(JSONstart,2*$A74-2,0,2,75), 2,FALSE),   "")</f>
        <v/>
      </c>
      <c r="Z74" t="str">
        <f t="shared" ca="1" si="39"/>
        <v/>
      </c>
      <c r="AA74" t="str">
        <f t="shared" ca="1" si="39"/>
        <v/>
      </c>
      <c r="AB74" t="str">
        <f t="shared" ca="1" si="39"/>
        <v/>
      </c>
      <c r="AC74" t="str">
        <f t="shared" ca="1" si="39"/>
        <v/>
      </c>
      <c r="AD74" t="str">
        <f t="shared" ca="1" si="39"/>
        <v/>
      </c>
      <c r="AE74" t="str">
        <f t="shared" ca="1" si="39"/>
        <v/>
      </c>
      <c r="AF74" t="str">
        <f t="shared" ca="1" si="39"/>
        <v/>
      </c>
      <c r="AG74" t="str">
        <f t="shared" ca="1" si="39"/>
        <v/>
      </c>
      <c r="AH74" t="str">
        <f t="shared" ca="1" si="39"/>
        <v/>
      </c>
      <c r="AI74" t="str">
        <f t="shared" ref="AI74:AR83" ca="1" si="40">IFERROR(HLOOKUP(AI$3, OFFSET(JSONstart,2*$A74-2,0,2,75), 2,FALSE),   "")</f>
        <v/>
      </c>
      <c r="AJ74" t="str">
        <f t="shared" ca="1" si="40"/>
        <v/>
      </c>
      <c r="AK74" t="str">
        <f t="shared" ca="1" si="40"/>
        <v/>
      </c>
      <c r="AL74" t="str">
        <f t="shared" ca="1" si="40"/>
        <v/>
      </c>
      <c r="AM74" t="str">
        <f t="shared" ca="1" si="40"/>
        <v/>
      </c>
      <c r="AN74" t="str">
        <f t="shared" ca="1" si="40"/>
        <v/>
      </c>
      <c r="AO74" t="str">
        <f t="shared" ca="1" si="40"/>
        <v/>
      </c>
      <c r="AP74" t="str">
        <f t="shared" ca="1" si="40"/>
        <v/>
      </c>
      <c r="AQ74" t="str">
        <f t="shared" ca="1" si="40"/>
        <v/>
      </c>
      <c r="AR74" t="str">
        <f t="shared" ca="1" si="40"/>
        <v/>
      </c>
      <c r="AZ74" t="str">
        <f t="shared" ca="1" si="33"/>
        <v/>
      </c>
      <c r="BA74" t="str">
        <f t="shared" ca="1" si="33"/>
        <v/>
      </c>
      <c r="BB74" t="str">
        <f t="shared" ca="1" si="33"/>
        <v/>
      </c>
    </row>
    <row r="75" spans="1:54" x14ac:dyDescent="0.25">
      <c r="A75">
        <v>72</v>
      </c>
      <c r="B75" s="21"/>
      <c r="C75" t="str">
        <f t="shared" ca="1" si="34"/>
        <v/>
      </c>
      <c r="D75" s="17" t="str">
        <f t="shared" ca="1" si="35"/>
        <v/>
      </c>
      <c r="E75" t="str">
        <f t="shared" ca="1" si="36"/>
        <v/>
      </c>
      <c r="F75" t="str">
        <f t="shared" ca="1" si="29"/>
        <v/>
      </c>
      <c r="G75" t="str">
        <f t="shared" ca="1" si="29"/>
        <v/>
      </c>
      <c r="H75" t="str">
        <f t="shared" ca="1" si="29"/>
        <v/>
      </c>
      <c r="J75" t="str">
        <f t="shared" ca="1" si="38"/>
        <v/>
      </c>
      <c r="K75" t="str">
        <f t="shared" ca="1" si="38"/>
        <v/>
      </c>
      <c r="L75" t="str">
        <f t="shared" ca="1" si="38"/>
        <v/>
      </c>
      <c r="M75" t="str">
        <f t="shared" ca="1" si="38"/>
        <v/>
      </c>
      <c r="N75" t="str">
        <f t="shared" ca="1" si="38"/>
        <v/>
      </c>
      <c r="O75" t="str">
        <f t="shared" ca="1" si="38"/>
        <v/>
      </c>
      <c r="P75" t="str">
        <f t="shared" ca="1" si="38"/>
        <v/>
      </c>
      <c r="Q75" t="str">
        <f t="shared" ca="1" si="38"/>
        <v/>
      </c>
      <c r="R75" t="str">
        <f t="shared" ca="1" si="38"/>
        <v/>
      </c>
      <c r="S75" t="str">
        <f t="shared" ca="1" si="38"/>
        <v/>
      </c>
      <c r="T75" t="str">
        <f t="shared" ca="1" si="38"/>
        <v/>
      </c>
      <c r="U75" s="32" t="str">
        <f t="shared" ca="1" si="38"/>
        <v/>
      </c>
      <c r="V75" t="str">
        <f t="shared" ca="1" si="38"/>
        <v/>
      </c>
      <c r="W75" t="str">
        <f t="shared" ca="1" si="38"/>
        <v/>
      </c>
      <c r="X75" s="17" t="str">
        <f t="shared" ca="1" si="37"/>
        <v/>
      </c>
      <c r="Y75" t="str">
        <f t="shared" ca="1" si="39"/>
        <v/>
      </c>
      <c r="Z75" t="str">
        <f t="shared" ca="1" si="39"/>
        <v/>
      </c>
      <c r="AA75" t="str">
        <f t="shared" ca="1" si="39"/>
        <v/>
      </c>
      <c r="AB75" t="str">
        <f t="shared" ca="1" si="39"/>
        <v/>
      </c>
      <c r="AC75" t="str">
        <f t="shared" ca="1" si="39"/>
        <v/>
      </c>
      <c r="AD75" t="str">
        <f t="shared" ca="1" si="39"/>
        <v/>
      </c>
      <c r="AE75" t="str">
        <f t="shared" ca="1" si="39"/>
        <v/>
      </c>
      <c r="AF75" t="str">
        <f t="shared" ca="1" si="39"/>
        <v/>
      </c>
      <c r="AG75" t="str">
        <f t="shared" ca="1" si="39"/>
        <v/>
      </c>
      <c r="AH75" t="str">
        <f t="shared" ca="1" si="39"/>
        <v/>
      </c>
      <c r="AI75" t="str">
        <f t="shared" ca="1" si="40"/>
        <v/>
      </c>
      <c r="AJ75" t="str">
        <f t="shared" ca="1" si="40"/>
        <v/>
      </c>
      <c r="AK75" t="str">
        <f t="shared" ca="1" si="40"/>
        <v/>
      </c>
      <c r="AL75" t="str">
        <f t="shared" ca="1" si="40"/>
        <v/>
      </c>
      <c r="AM75" t="str">
        <f t="shared" ca="1" si="40"/>
        <v/>
      </c>
      <c r="AN75" t="str">
        <f t="shared" ca="1" si="40"/>
        <v/>
      </c>
      <c r="AO75" t="str">
        <f t="shared" ca="1" si="40"/>
        <v/>
      </c>
      <c r="AP75" t="str">
        <f t="shared" ca="1" si="40"/>
        <v/>
      </c>
      <c r="AQ75" t="str">
        <f t="shared" ca="1" si="40"/>
        <v/>
      </c>
      <c r="AR75" t="str">
        <f t="shared" ca="1" si="40"/>
        <v/>
      </c>
      <c r="AZ75" t="str">
        <f t="shared" ca="1" si="33"/>
        <v/>
      </c>
      <c r="BA75" t="str">
        <f t="shared" ca="1" si="33"/>
        <v/>
      </c>
      <c r="BB75" t="str">
        <f t="shared" ca="1" si="33"/>
        <v/>
      </c>
    </row>
    <row r="76" spans="1:54" x14ac:dyDescent="0.25">
      <c r="A76">
        <v>73</v>
      </c>
      <c r="B76" s="21"/>
      <c r="C76" t="str">
        <f t="shared" ca="1" si="34"/>
        <v/>
      </c>
      <c r="D76" s="17" t="str">
        <f t="shared" ca="1" si="35"/>
        <v/>
      </c>
      <c r="E76" t="str">
        <f t="shared" ca="1" si="36"/>
        <v/>
      </c>
      <c r="F76" t="str">
        <f t="shared" ca="1" si="29"/>
        <v/>
      </c>
      <c r="G76" t="str">
        <f t="shared" ca="1" si="29"/>
        <v/>
      </c>
      <c r="H76" t="str">
        <f t="shared" ca="1" si="29"/>
        <v/>
      </c>
      <c r="J76" t="str">
        <f t="shared" ca="1" si="38"/>
        <v/>
      </c>
      <c r="K76" t="str">
        <f t="shared" ca="1" si="38"/>
        <v/>
      </c>
      <c r="L76" t="str">
        <f t="shared" ca="1" si="38"/>
        <v/>
      </c>
      <c r="M76" t="str">
        <f t="shared" ca="1" si="38"/>
        <v/>
      </c>
      <c r="N76" t="str">
        <f t="shared" ca="1" si="38"/>
        <v/>
      </c>
      <c r="O76" t="str">
        <f t="shared" ca="1" si="38"/>
        <v/>
      </c>
      <c r="P76" t="str">
        <f t="shared" ca="1" si="38"/>
        <v/>
      </c>
      <c r="Q76" t="str">
        <f t="shared" ca="1" si="38"/>
        <v/>
      </c>
      <c r="R76" t="str">
        <f t="shared" ca="1" si="38"/>
        <v/>
      </c>
      <c r="S76" t="str">
        <f t="shared" ca="1" si="38"/>
        <v/>
      </c>
      <c r="T76" t="str">
        <f t="shared" ca="1" si="38"/>
        <v/>
      </c>
      <c r="U76" s="32" t="str">
        <f t="shared" ca="1" si="38"/>
        <v/>
      </c>
      <c r="V76" t="str">
        <f t="shared" ca="1" si="38"/>
        <v/>
      </c>
      <c r="W76" t="str">
        <f t="shared" ca="1" si="38"/>
        <v/>
      </c>
      <c r="X76" s="17" t="str">
        <f t="shared" ca="1" si="37"/>
        <v/>
      </c>
      <c r="Y76" t="str">
        <f t="shared" ca="1" si="39"/>
        <v/>
      </c>
      <c r="Z76" t="str">
        <f t="shared" ca="1" si="39"/>
        <v/>
      </c>
      <c r="AA76" t="str">
        <f t="shared" ca="1" si="39"/>
        <v/>
      </c>
      <c r="AB76" t="str">
        <f t="shared" ca="1" si="39"/>
        <v/>
      </c>
      <c r="AC76" t="str">
        <f t="shared" ca="1" si="39"/>
        <v/>
      </c>
      <c r="AD76" t="str">
        <f t="shared" ca="1" si="39"/>
        <v/>
      </c>
      <c r="AE76" t="str">
        <f t="shared" ca="1" si="39"/>
        <v/>
      </c>
      <c r="AF76" t="str">
        <f t="shared" ca="1" si="39"/>
        <v/>
      </c>
      <c r="AG76" t="str">
        <f t="shared" ca="1" si="39"/>
        <v/>
      </c>
      <c r="AH76" t="str">
        <f t="shared" ca="1" si="39"/>
        <v/>
      </c>
      <c r="AI76" t="str">
        <f t="shared" ca="1" si="40"/>
        <v/>
      </c>
      <c r="AJ76" t="str">
        <f t="shared" ca="1" si="40"/>
        <v/>
      </c>
      <c r="AK76" t="str">
        <f t="shared" ca="1" si="40"/>
        <v/>
      </c>
      <c r="AL76" t="str">
        <f t="shared" ca="1" si="40"/>
        <v/>
      </c>
      <c r="AM76" t="str">
        <f t="shared" ca="1" si="40"/>
        <v/>
      </c>
      <c r="AN76" t="str">
        <f t="shared" ca="1" si="40"/>
        <v/>
      </c>
      <c r="AO76" t="str">
        <f t="shared" ca="1" si="40"/>
        <v/>
      </c>
      <c r="AP76" t="str">
        <f t="shared" ca="1" si="40"/>
        <v/>
      </c>
      <c r="AQ76" t="str">
        <f t="shared" ca="1" si="40"/>
        <v/>
      </c>
      <c r="AR76" t="str">
        <f t="shared" ca="1" si="40"/>
        <v/>
      </c>
      <c r="AZ76" t="str">
        <f t="shared" ca="1" si="33"/>
        <v/>
      </c>
      <c r="BA76" t="str">
        <f t="shared" ca="1" si="33"/>
        <v/>
      </c>
      <c r="BB76" t="str">
        <f t="shared" ca="1" si="33"/>
        <v/>
      </c>
    </row>
    <row r="77" spans="1:54" x14ac:dyDescent="0.25">
      <c r="A77">
        <v>74</v>
      </c>
      <c r="B77" s="21"/>
      <c r="C77" t="str">
        <f t="shared" ca="1" si="34"/>
        <v/>
      </c>
      <c r="D77" s="17" t="str">
        <f t="shared" ca="1" si="35"/>
        <v/>
      </c>
      <c r="E77" t="str">
        <f t="shared" ca="1" si="36"/>
        <v/>
      </c>
      <c r="F77" t="str">
        <f t="shared" ca="1" si="29"/>
        <v/>
      </c>
      <c r="G77" t="str">
        <f t="shared" ca="1" si="29"/>
        <v/>
      </c>
      <c r="H77" t="str">
        <f t="shared" ca="1" si="29"/>
        <v/>
      </c>
      <c r="J77" t="str">
        <f t="shared" ca="1" si="38"/>
        <v/>
      </c>
      <c r="K77" t="str">
        <f t="shared" ca="1" si="38"/>
        <v/>
      </c>
      <c r="L77" t="str">
        <f t="shared" ca="1" si="38"/>
        <v/>
      </c>
      <c r="M77" t="str">
        <f t="shared" ca="1" si="38"/>
        <v/>
      </c>
      <c r="N77" t="str">
        <f t="shared" ca="1" si="38"/>
        <v/>
      </c>
      <c r="O77" t="str">
        <f t="shared" ca="1" si="38"/>
        <v/>
      </c>
      <c r="P77" t="str">
        <f t="shared" ca="1" si="38"/>
        <v/>
      </c>
      <c r="Q77" t="str">
        <f t="shared" ca="1" si="38"/>
        <v/>
      </c>
      <c r="R77" t="str">
        <f t="shared" ca="1" si="38"/>
        <v/>
      </c>
      <c r="S77" t="str">
        <f t="shared" ca="1" si="38"/>
        <v/>
      </c>
      <c r="T77" t="str">
        <f t="shared" ca="1" si="38"/>
        <v/>
      </c>
      <c r="U77" s="32" t="str">
        <f t="shared" ca="1" si="38"/>
        <v/>
      </c>
      <c r="V77" t="str">
        <f t="shared" ca="1" si="38"/>
        <v/>
      </c>
      <c r="W77" t="str">
        <f t="shared" ca="1" si="38"/>
        <v/>
      </c>
      <c r="X77" s="17" t="str">
        <f t="shared" ca="1" si="37"/>
        <v/>
      </c>
      <c r="Y77" t="str">
        <f t="shared" ca="1" si="39"/>
        <v/>
      </c>
      <c r="Z77" t="str">
        <f t="shared" ca="1" si="39"/>
        <v/>
      </c>
      <c r="AA77" t="str">
        <f t="shared" ca="1" si="39"/>
        <v/>
      </c>
      <c r="AB77" t="str">
        <f t="shared" ca="1" si="39"/>
        <v/>
      </c>
      <c r="AC77" t="str">
        <f t="shared" ca="1" si="39"/>
        <v/>
      </c>
      <c r="AD77" t="str">
        <f t="shared" ca="1" si="39"/>
        <v/>
      </c>
      <c r="AE77" t="str">
        <f t="shared" ca="1" si="39"/>
        <v/>
      </c>
      <c r="AF77" t="str">
        <f t="shared" ca="1" si="39"/>
        <v/>
      </c>
      <c r="AG77" t="str">
        <f t="shared" ca="1" si="39"/>
        <v/>
      </c>
      <c r="AH77" t="str">
        <f t="shared" ca="1" si="39"/>
        <v/>
      </c>
      <c r="AI77" t="str">
        <f t="shared" ca="1" si="40"/>
        <v/>
      </c>
      <c r="AJ77" t="str">
        <f t="shared" ca="1" si="40"/>
        <v/>
      </c>
      <c r="AK77" t="str">
        <f t="shared" ca="1" si="40"/>
        <v/>
      </c>
      <c r="AL77" t="str">
        <f t="shared" ca="1" si="40"/>
        <v/>
      </c>
      <c r="AM77" t="str">
        <f t="shared" ca="1" si="40"/>
        <v/>
      </c>
      <c r="AN77" t="str">
        <f t="shared" ca="1" si="40"/>
        <v/>
      </c>
      <c r="AO77" t="str">
        <f t="shared" ca="1" si="40"/>
        <v/>
      </c>
      <c r="AP77" t="str">
        <f t="shared" ca="1" si="40"/>
        <v/>
      </c>
      <c r="AQ77" t="str">
        <f t="shared" ca="1" si="40"/>
        <v/>
      </c>
      <c r="AR77" t="str">
        <f t="shared" ca="1" si="40"/>
        <v/>
      </c>
      <c r="AZ77" t="str">
        <f t="shared" ca="1" si="33"/>
        <v/>
      </c>
      <c r="BA77" t="str">
        <f t="shared" ca="1" si="33"/>
        <v/>
      </c>
      <c r="BB77" t="str">
        <f t="shared" ca="1" si="33"/>
        <v/>
      </c>
    </row>
    <row r="78" spans="1:54" x14ac:dyDescent="0.25">
      <c r="A78">
        <v>75</v>
      </c>
      <c r="B78" s="21"/>
      <c r="C78" t="str">
        <f t="shared" ca="1" si="34"/>
        <v/>
      </c>
      <c r="D78" s="17" t="str">
        <f t="shared" ca="1" si="35"/>
        <v/>
      </c>
      <c r="E78" t="str">
        <f t="shared" ca="1" si="36"/>
        <v/>
      </c>
      <c r="F78" t="str">
        <f t="shared" ca="1" si="29"/>
        <v/>
      </c>
      <c r="G78" t="str">
        <f t="shared" ca="1" si="29"/>
        <v/>
      </c>
      <c r="H78" t="str">
        <f t="shared" ca="1" si="29"/>
        <v/>
      </c>
      <c r="J78" t="str">
        <f t="shared" ca="1" si="38"/>
        <v/>
      </c>
      <c r="K78" t="str">
        <f t="shared" ca="1" si="38"/>
        <v/>
      </c>
      <c r="L78" t="str">
        <f t="shared" ca="1" si="38"/>
        <v/>
      </c>
      <c r="M78" t="str">
        <f t="shared" ca="1" si="38"/>
        <v/>
      </c>
      <c r="N78" t="str">
        <f t="shared" ca="1" si="38"/>
        <v/>
      </c>
      <c r="O78" t="str">
        <f t="shared" ca="1" si="38"/>
        <v/>
      </c>
      <c r="P78" t="str">
        <f t="shared" ca="1" si="38"/>
        <v/>
      </c>
      <c r="Q78" t="str">
        <f t="shared" ca="1" si="38"/>
        <v/>
      </c>
      <c r="R78" t="str">
        <f t="shared" ca="1" si="38"/>
        <v/>
      </c>
      <c r="S78" t="str">
        <f t="shared" ca="1" si="38"/>
        <v/>
      </c>
      <c r="T78" t="str">
        <f t="shared" ca="1" si="38"/>
        <v/>
      </c>
      <c r="U78" s="32" t="str">
        <f t="shared" ca="1" si="38"/>
        <v/>
      </c>
      <c r="V78" t="str">
        <f t="shared" ca="1" si="38"/>
        <v/>
      </c>
      <c r="W78" t="str">
        <f t="shared" ca="1" si="38"/>
        <v/>
      </c>
      <c r="X78" s="17" t="str">
        <f t="shared" ca="1" si="37"/>
        <v/>
      </c>
      <c r="Y78" t="str">
        <f t="shared" ca="1" si="39"/>
        <v/>
      </c>
      <c r="Z78" t="str">
        <f t="shared" ca="1" si="39"/>
        <v/>
      </c>
      <c r="AA78" t="str">
        <f t="shared" ca="1" si="39"/>
        <v/>
      </c>
      <c r="AB78" t="str">
        <f t="shared" ca="1" si="39"/>
        <v/>
      </c>
      <c r="AC78" t="str">
        <f t="shared" ca="1" si="39"/>
        <v/>
      </c>
      <c r="AD78" t="str">
        <f t="shared" ca="1" si="39"/>
        <v/>
      </c>
      <c r="AE78" t="str">
        <f t="shared" ca="1" si="39"/>
        <v/>
      </c>
      <c r="AF78" t="str">
        <f t="shared" ca="1" si="39"/>
        <v/>
      </c>
      <c r="AG78" t="str">
        <f t="shared" ca="1" si="39"/>
        <v/>
      </c>
      <c r="AH78" t="str">
        <f t="shared" ca="1" si="39"/>
        <v/>
      </c>
      <c r="AI78" t="str">
        <f t="shared" ca="1" si="40"/>
        <v/>
      </c>
      <c r="AJ78" t="str">
        <f t="shared" ca="1" si="40"/>
        <v/>
      </c>
      <c r="AK78" t="str">
        <f t="shared" ca="1" si="40"/>
        <v/>
      </c>
      <c r="AL78" t="str">
        <f t="shared" ca="1" si="40"/>
        <v/>
      </c>
      <c r="AM78" t="str">
        <f t="shared" ca="1" si="40"/>
        <v/>
      </c>
      <c r="AN78" t="str">
        <f t="shared" ca="1" si="40"/>
        <v/>
      </c>
      <c r="AO78" t="str">
        <f t="shared" ca="1" si="40"/>
        <v/>
      </c>
      <c r="AP78" t="str">
        <f t="shared" ca="1" si="40"/>
        <v/>
      </c>
      <c r="AQ78" t="str">
        <f t="shared" ca="1" si="40"/>
        <v/>
      </c>
      <c r="AR78" t="str">
        <f t="shared" ca="1" si="40"/>
        <v/>
      </c>
      <c r="AZ78" t="str">
        <f t="shared" ca="1" si="33"/>
        <v/>
      </c>
      <c r="BA78" t="str">
        <f t="shared" ca="1" si="33"/>
        <v/>
      </c>
      <c r="BB78" t="str">
        <f t="shared" ca="1" si="33"/>
        <v/>
      </c>
    </row>
    <row r="79" spans="1:54" x14ac:dyDescent="0.25">
      <c r="A79">
        <v>76</v>
      </c>
      <c r="B79" s="21"/>
      <c r="C79" t="str">
        <f t="shared" ca="1" si="34"/>
        <v/>
      </c>
      <c r="D79" s="17" t="str">
        <f t="shared" ca="1" si="35"/>
        <v/>
      </c>
      <c r="E79" t="str">
        <f t="shared" ca="1" si="36"/>
        <v/>
      </c>
      <c r="F79" t="str">
        <f t="shared" ca="1" si="29"/>
        <v/>
      </c>
      <c r="G79" t="str">
        <f t="shared" ca="1" si="29"/>
        <v/>
      </c>
      <c r="H79" t="str">
        <f t="shared" ca="1" si="29"/>
        <v/>
      </c>
      <c r="J79" t="str">
        <f t="shared" ca="1" si="38"/>
        <v/>
      </c>
      <c r="K79" t="str">
        <f t="shared" ca="1" si="38"/>
        <v/>
      </c>
      <c r="L79" t="str">
        <f t="shared" ca="1" si="38"/>
        <v/>
      </c>
      <c r="M79" t="str">
        <f t="shared" ca="1" si="38"/>
        <v/>
      </c>
      <c r="N79" t="str">
        <f t="shared" ca="1" si="38"/>
        <v/>
      </c>
      <c r="O79" t="str">
        <f t="shared" ca="1" si="38"/>
        <v/>
      </c>
      <c r="P79" t="str">
        <f t="shared" ca="1" si="38"/>
        <v/>
      </c>
      <c r="Q79" t="str">
        <f t="shared" ca="1" si="38"/>
        <v/>
      </c>
      <c r="R79" t="str">
        <f t="shared" ca="1" si="38"/>
        <v/>
      </c>
      <c r="S79" t="str">
        <f t="shared" ca="1" si="38"/>
        <v/>
      </c>
      <c r="T79" t="str">
        <f t="shared" ca="1" si="38"/>
        <v/>
      </c>
      <c r="U79" s="32" t="str">
        <f t="shared" ca="1" si="38"/>
        <v/>
      </c>
      <c r="V79" t="str">
        <f t="shared" ca="1" si="38"/>
        <v/>
      </c>
      <c r="W79" t="str">
        <f t="shared" ca="1" si="38"/>
        <v/>
      </c>
      <c r="X79" s="17" t="str">
        <f t="shared" ca="1" si="37"/>
        <v/>
      </c>
      <c r="Y79" t="str">
        <f t="shared" ca="1" si="39"/>
        <v/>
      </c>
      <c r="Z79" t="str">
        <f t="shared" ca="1" si="39"/>
        <v/>
      </c>
      <c r="AA79" t="str">
        <f t="shared" ca="1" si="39"/>
        <v/>
      </c>
      <c r="AB79" t="str">
        <f t="shared" ca="1" si="39"/>
        <v/>
      </c>
      <c r="AC79" t="str">
        <f t="shared" ca="1" si="39"/>
        <v/>
      </c>
      <c r="AD79" t="str">
        <f t="shared" ca="1" si="39"/>
        <v/>
      </c>
      <c r="AE79" t="str">
        <f t="shared" ca="1" si="39"/>
        <v/>
      </c>
      <c r="AF79" t="str">
        <f t="shared" ca="1" si="39"/>
        <v/>
      </c>
      <c r="AG79" t="str">
        <f t="shared" ca="1" si="39"/>
        <v/>
      </c>
      <c r="AH79" t="str">
        <f t="shared" ca="1" si="39"/>
        <v/>
      </c>
      <c r="AI79" t="str">
        <f t="shared" ca="1" si="40"/>
        <v/>
      </c>
      <c r="AJ79" t="str">
        <f t="shared" ca="1" si="40"/>
        <v/>
      </c>
      <c r="AK79" t="str">
        <f t="shared" ca="1" si="40"/>
        <v/>
      </c>
      <c r="AL79" t="str">
        <f t="shared" ca="1" si="40"/>
        <v/>
      </c>
      <c r="AM79" t="str">
        <f t="shared" ca="1" si="40"/>
        <v/>
      </c>
      <c r="AN79" t="str">
        <f t="shared" ca="1" si="40"/>
        <v/>
      </c>
      <c r="AO79" t="str">
        <f t="shared" ca="1" si="40"/>
        <v/>
      </c>
      <c r="AP79" t="str">
        <f t="shared" ca="1" si="40"/>
        <v/>
      </c>
      <c r="AQ79" t="str">
        <f t="shared" ca="1" si="40"/>
        <v/>
      </c>
      <c r="AR79" t="str">
        <f t="shared" ca="1" si="40"/>
        <v/>
      </c>
      <c r="AZ79" t="str">
        <f t="shared" ca="1" si="33"/>
        <v/>
      </c>
      <c r="BA79" t="str">
        <f t="shared" ca="1" si="33"/>
        <v/>
      </c>
      <c r="BB79" t="str">
        <f t="shared" ca="1" si="33"/>
        <v/>
      </c>
    </row>
    <row r="80" spans="1:54" x14ac:dyDescent="0.25">
      <c r="A80">
        <v>77</v>
      </c>
      <c r="B80" s="21"/>
      <c r="C80" t="str">
        <f t="shared" ca="1" si="34"/>
        <v/>
      </c>
      <c r="D80" s="17" t="str">
        <f t="shared" ca="1" si="35"/>
        <v/>
      </c>
      <c r="E80" t="str">
        <f t="shared" ca="1" si="36"/>
        <v/>
      </c>
      <c r="F80" t="str">
        <f t="shared" ca="1" si="29"/>
        <v/>
      </c>
      <c r="G80" t="str">
        <f t="shared" ca="1" si="29"/>
        <v/>
      </c>
      <c r="H80" t="str">
        <f t="shared" ca="1" si="29"/>
        <v/>
      </c>
      <c r="J80" t="str">
        <f t="shared" ca="1" si="38"/>
        <v/>
      </c>
      <c r="K80" t="str">
        <f t="shared" ca="1" si="38"/>
        <v/>
      </c>
      <c r="L80" t="str">
        <f t="shared" ca="1" si="38"/>
        <v/>
      </c>
      <c r="M80" t="str">
        <f t="shared" ca="1" si="38"/>
        <v/>
      </c>
      <c r="N80" t="str">
        <f t="shared" ca="1" si="38"/>
        <v/>
      </c>
      <c r="O80" t="str">
        <f t="shared" ca="1" si="38"/>
        <v/>
      </c>
      <c r="P80" t="str">
        <f t="shared" ca="1" si="38"/>
        <v/>
      </c>
      <c r="Q80" t="str">
        <f t="shared" ca="1" si="38"/>
        <v/>
      </c>
      <c r="R80" t="str">
        <f t="shared" ca="1" si="38"/>
        <v/>
      </c>
      <c r="S80" t="str">
        <f t="shared" ca="1" si="38"/>
        <v/>
      </c>
      <c r="T80" t="str">
        <f t="shared" ca="1" si="38"/>
        <v/>
      </c>
      <c r="U80" s="32" t="str">
        <f t="shared" ca="1" si="38"/>
        <v/>
      </c>
      <c r="V80" t="str">
        <f t="shared" ca="1" si="38"/>
        <v/>
      </c>
      <c r="W80" t="str">
        <f t="shared" ca="1" si="38"/>
        <v/>
      </c>
      <c r="X80" s="17" t="str">
        <f t="shared" ca="1" si="37"/>
        <v/>
      </c>
      <c r="Y80" t="str">
        <f t="shared" ca="1" si="39"/>
        <v/>
      </c>
      <c r="Z80" t="str">
        <f t="shared" ca="1" si="39"/>
        <v/>
      </c>
      <c r="AA80" t="str">
        <f t="shared" ca="1" si="39"/>
        <v/>
      </c>
      <c r="AB80" t="str">
        <f t="shared" ca="1" si="39"/>
        <v/>
      </c>
      <c r="AC80" t="str">
        <f t="shared" ca="1" si="39"/>
        <v/>
      </c>
      <c r="AD80" t="str">
        <f t="shared" ca="1" si="39"/>
        <v/>
      </c>
      <c r="AE80" t="str">
        <f t="shared" ca="1" si="39"/>
        <v/>
      </c>
      <c r="AF80" t="str">
        <f t="shared" ca="1" si="39"/>
        <v/>
      </c>
      <c r="AG80" t="str">
        <f t="shared" ca="1" si="39"/>
        <v/>
      </c>
      <c r="AH80" t="str">
        <f t="shared" ca="1" si="39"/>
        <v/>
      </c>
      <c r="AI80" t="str">
        <f t="shared" ca="1" si="40"/>
        <v/>
      </c>
      <c r="AJ80" t="str">
        <f t="shared" ca="1" si="40"/>
        <v/>
      </c>
      <c r="AK80" t="str">
        <f t="shared" ca="1" si="40"/>
        <v/>
      </c>
      <c r="AL80" t="str">
        <f t="shared" ca="1" si="40"/>
        <v/>
      </c>
      <c r="AM80" t="str">
        <f t="shared" ca="1" si="40"/>
        <v/>
      </c>
      <c r="AN80" t="str">
        <f t="shared" ca="1" si="40"/>
        <v/>
      </c>
      <c r="AO80" t="str">
        <f t="shared" ca="1" si="40"/>
        <v/>
      </c>
      <c r="AP80" t="str">
        <f t="shared" ca="1" si="40"/>
        <v/>
      </c>
      <c r="AQ80" t="str">
        <f t="shared" ca="1" si="40"/>
        <v/>
      </c>
      <c r="AR80" t="str">
        <f t="shared" ca="1" si="40"/>
        <v/>
      </c>
      <c r="AZ80" t="str">
        <f t="shared" ca="1" si="33"/>
        <v/>
      </c>
      <c r="BA80" t="str">
        <f t="shared" ca="1" si="33"/>
        <v/>
      </c>
      <c r="BB80" t="str">
        <f t="shared" ca="1" si="33"/>
        <v/>
      </c>
    </row>
    <row r="81" spans="1:54" x14ac:dyDescent="0.25">
      <c r="A81">
        <v>78</v>
      </c>
      <c r="B81" s="21"/>
      <c r="C81" t="str">
        <f t="shared" ca="1" si="34"/>
        <v/>
      </c>
      <c r="D81" s="17" t="str">
        <f t="shared" ca="1" si="35"/>
        <v/>
      </c>
      <c r="E81" t="str">
        <f t="shared" ca="1" si="36"/>
        <v/>
      </c>
      <c r="F81" t="str">
        <f t="shared" ca="1" si="29"/>
        <v/>
      </c>
      <c r="G81" t="str">
        <f t="shared" ca="1" si="29"/>
        <v/>
      </c>
      <c r="H81" t="str">
        <f t="shared" ca="1" si="29"/>
        <v/>
      </c>
      <c r="J81" t="str">
        <f t="shared" ca="1" si="38"/>
        <v/>
      </c>
      <c r="K81" t="str">
        <f t="shared" ca="1" si="38"/>
        <v/>
      </c>
      <c r="L81" t="str">
        <f t="shared" ca="1" si="38"/>
        <v/>
      </c>
      <c r="M81" t="str">
        <f t="shared" ca="1" si="38"/>
        <v/>
      </c>
      <c r="N81" t="str">
        <f t="shared" ca="1" si="38"/>
        <v/>
      </c>
      <c r="O81" t="str">
        <f t="shared" ca="1" si="38"/>
        <v/>
      </c>
      <c r="P81" t="str">
        <f t="shared" ca="1" si="38"/>
        <v/>
      </c>
      <c r="Q81" t="str">
        <f t="shared" ca="1" si="38"/>
        <v/>
      </c>
      <c r="R81" t="str">
        <f t="shared" ca="1" si="38"/>
        <v/>
      </c>
      <c r="S81" t="str">
        <f t="shared" ca="1" si="38"/>
        <v/>
      </c>
      <c r="T81" t="str">
        <f t="shared" ca="1" si="38"/>
        <v/>
      </c>
      <c r="U81" s="32" t="str">
        <f t="shared" ca="1" si="38"/>
        <v/>
      </c>
      <c r="V81" t="str">
        <f t="shared" ca="1" si="38"/>
        <v/>
      </c>
      <c r="W81" t="str">
        <f t="shared" ca="1" si="38"/>
        <v/>
      </c>
      <c r="X81" s="17" t="str">
        <f t="shared" ca="1" si="37"/>
        <v/>
      </c>
      <c r="Y81" t="str">
        <f t="shared" ca="1" si="39"/>
        <v/>
      </c>
      <c r="Z81" t="str">
        <f t="shared" ca="1" si="39"/>
        <v/>
      </c>
      <c r="AA81" t="str">
        <f t="shared" ca="1" si="39"/>
        <v/>
      </c>
      <c r="AB81" t="str">
        <f t="shared" ca="1" si="39"/>
        <v/>
      </c>
      <c r="AC81" t="str">
        <f t="shared" ca="1" si="39"/>
        <v/>
      </c>
      <c r="AD81" t="str">
        <f t="shared" ca="1" si="39"/>
        <v/>
      </c>
      <c r="AE81" t="str">
        <f t="shared" ca="1" si="39"/>
        <v/>
      </c>
      <c r="AF81" t="str">
        <f t="shared" ca="1" si="39"/>
        <v/>
      </c>
      <c r="AG81" t="str">
        <f t="shared" ca="1" si="39"/>
        <v/>
      </c>
      <c r="AH81" t="str">
        <f t="shared" ca="1" si="39"/>
        <v/>
      </c>
      <c r="AI81" t="str">
        <f t="shared" ca="1" si="40"/>
        <v/>
      </c>
      <c r="AJ81" t="str">
        <f t="shared" ca="1" si="40"/>
        <v/>
      </c>
      <c r="AK81" t="str">
        <f t="shared" ca="1" si="40"/>
        <v/>
      </c>
      <c r="AL81" t="str">
        <f t="shared" ca="1" si="40"/>
        <v/>
      </c>
      <c r="AM81" t="str">
        <f t="shared" ca="1" si="40"/>
        <v/>
      </c>
      <c r="AN81" t="str">
        <f t="shared" ca="1" si="40"/>
        <v/>
      </c>
      <c r="AO81" t="str">
        <f t="shared" ca="1" si="40"/>
        <v/>
      </c>
      <c r="AP81" t="str">
        <f t="shared" ca="1" si="40"/>
        <v/>
      </c>
      <c r="AQ81" t="str">
        <f t="shared" ca="1" si="40"/>
        <v/>
      </c>
      <c r="AR81" t="str">
        <f t="shared" ca="1" si="40"/>
        <v/>
      </c>
      <c r="AZ81" t="str">
        <f t="shared" ca="1" si="33"/>
        <v/>
      </c>
      <c r="BA81" t="str">
        <f t="shared" ca="1" si="33"/>
        <v/>
      </c>
      <c r="BB81" t="str">
        <f t="shared" ca="1" si="33"/>
        <v/>
      </c>
    </row>
    <row r="82" spans="1:54" x14ac:dyDescent="0.25">
      <c r="A82">
        <v>79</v>
      </c>
      <c r="B82" s="21"/>
      <c r="C82" t="str">
        <f t="shared" ca="1" si="34"/>
        <v/>
      </c>
      <c r="D82" s="17" t="str">
        <f t="shared" ca="1" si="35"/>
        <v/>
      </c>
      <c r="E82" t="str">
        <f t="shared" ca="1" si="36"/>
        <v/>
      </c>
      <c r="F82" t="str">
        <f t="shared" ca="1" si="29"/>
        <v/>
      </c>
      <c r="G82" t="str">
        <f t="shared" ca="1" si="29"/>
        <v/>
      </c>
      <c r="H82" t="str">
        <f t="shared" ca="1" si="29"/>
        <v/>
      </c>
      <c r="J82" t="str">
        <f t="shared" ca="1" si="38"/>
        <v/>
      </c>
      <c r="K82" t="str">
        <f t="shared" ca="1" si="38"/>
        <v/>
      </c>
      <c r="L82" t="str">
        <f t="shared" ca="1" si="38"/>
        <v/>
      </c>
      <c r="M82" t="str">
        <f t="shared" ca="1" si="38"/>
        <v/>
      </c>
      <c r="N82" t="str">
        <f t="shared" ca="1" si="38"/>
        <v/>
      </c>
      <c r="O82" t="str">
        <f t="shared" ca="1" si="38"/>
        <v/>
      </c>
      <c r="P82" t="str">
        <f t="shared" ca="1" si="38"/>
        <v/>
      </c>
      <c r="Q82" t="str">
        <f t="shared" ca="1" si="38"/>
        <v/>
      </c>
      <c r="R82" t="str">
        <f t="shared" ca="1" si="38"/>
        <v/>
      </c>
      <c r="S82" t="str">
        <f t="shared" ca="1" si="38"/>
        <v/>
      </c>
      <c r="T82" t="str">
        <f t="shared" ca="1" si="38"/>
        <v/>
      </c>
      <c r="U82" s="32" t="str">
        <f t="shared" ca="1" si="38"/>
        <v/>
      </c>
      <c r="V82" t="str">
        <f t="shared" ca="1" si="38"/>
        <v/>
      </c>
      <c r="W82" t="str">
        <f t="shared" ca="1" si="38"/>
        <v/>
      </c>
      <c r="X82" s="17" t="str">
        <f t="shared" ca="1" si="37"/>
        <v/>
      </c>
      <c r="Y82" t="str">
        <f t="shared" ca="1" si="39"/>
        <v/>
      </c>
      <c r="Z82" t="str">
        <f t="shared" ca="1" si="39"/>
        <v/>
      </c>
      <c r="AA82" t="str">
        <f t="shared" ca="1" si="39"/>
        <v/>
      </c>
      <c r="AB82" t="str">
        <f t="shared" ca="1" si="39"/>
        <v/>
      </c>
      <c r="AC82" t="str">
        <f t="shared" ca="1" si="39"/>
        <v/>
      </c>
      <c r="AD82" t="str">
        <f t="shared" ca="1" si="39"/>
        <v/>
      </c>
      <c r="AE82" t="str">
        <f t="shared" ca="1" si="39"/>
        <v/>
      </c>
      <c r="AF82" t="str">
        <f t="shared" ca="1" si="39"/>
        <v/>
      </c>
      <c r="AG82" t="str">
        <f t="shared" ca="1" si="39"/>
        <v/>
      </c>
      <c r="AH82" t="str">
        <f t="shared" ca="1" si="39"/>
        <v/>
      </c>
      <c r="AI82" t="str">
        <f t="shared" ca="1" si="40"/>
        <v/>
      </c>
      <c r="AJ82" t="str">
        <f t="shared" ca="1" si="40"/>
        <v/>
      </c>
      <c r="AK82" t="str">
        <f t="shared" ca="1" si="40"/>
        <v/>
      </c>
      <c r="AL82" t="str">
        <f t="shared" ca="1" si="40"/>
        <v/>
      </c>
      <c r="AM82" t="str">
        <f t="shared" ca="1" si="40"/>
        <v/>
      </c>
      <c r="AN82" t="str">
        <f t="shared" ca="1" si="40"/>
        <v/>
      </c>
      <c r="AO82" t="str">
        <f t="shared" ca="1" si="40"/>
        <v/>
      </c>
      <c r="AP82" t="str">
        <f t="shared" ca="1" si="40"/>
        <v/>
      </c>
      <c r="AQ82" t="str">
        <f t="shared" ca="1" si="40"/>
        <v/>
      </c>
      <c r="AR82" t="str">
        <f t="shared" ca="1" si="40"/>
        <v/>
      </c>
      <c r="AZ82" t="str">
        <f t="shared" ca="1" si="33"/>
        <v/>
      </c>
      <c r="BA82" t="str">
        <f t="shared" ca="1" si="33"/>
        <v/>
      </c>
      <c r="BB82" t="str">
        <f t="shared" ca="1" si="33"/>
        <v/>
      </c>
    </row>
    <row r="83" spans="1:54" x14ac:dyDescent="0.25">
      <c r="A83">
        <v>80</v>
      </c>
      <c r="B83" s="21"/>
      <c r="C83" t="str">
        <f t="shared" ca="1" si="34"/>
        <v/>
      </c>
      <c r="D83" s="17" t="str">
        <f t="shared" ca="1" si="35"/>
        <v/>
      </c>
      <c r="E83" t="str">
        <f t="shared" ca="1" si="36"/>
        <v/>
      </c>
      <c r="F83" t="str">
        <f t="shared" ca="1" si="29"/>
        <v/>
      </c>
      <c r="G83" t="str">
        <f t="shared" ca="1" si="29"/>
        <v/>
      </c>
      <c r="H83" t="str">
        <f t="shared" ca="1" si="29"/>
        <v/>
      </c>
      <c r="J83" t="str">
        <f t="shared" ca="1" si="38"/>
        <v/>
      </c>
      <c r="K83" t="str">
        <f t="shared" ca="1" si="38"/>
        <v/>
      </c>
      <c r="L83" t="str">
        <f t="shared" ca="1" si="38"/>
        <v/>
      </c>
      <c r="M83" t="str">
        <f t="shared" ca="1" si="38"/>
        <v/>
      </c>
      <c r="N83" t="str">
        <f t="shared" ca="1" si="38"/>
        <v/>
      </c>
      <c r="O83" t="str">
        <f t="shared" ca="1" si="38"/>
        <v/>
      </c>
      <c r="P83" t="str">
        <f t="shared" ca="1" si="38"/>
        <v/>
      </c>
      <c r="Q83" t="str">
        <f t="shared" ca="1" si="38"/>
        <v/>
      </c>
      <c r="R83" t="str">
        <f t="shared" ca="1" si="38"/>
        <v/>
      </c>
      <c r="S83" t="str">
        <f t="shared" ca="1" si="38"/>
        <v/>
      </c>
      <c r="T83" t="str">
        <f t="shared" ca="1" si="38"/>
        <v/>
      </c>
      <c r="U83" s="32" t="str">
        <f t="shared" ca="1" si="38"/>
        <v/>
      </c>
      <c r="V83" t="str">
        <f t="shared" ca="1" si="38"/>
        <v/>
      </c>
      <c r="W83" t="str">
        <f t="shared" ca="1" si="38"/>
        <v/>
      </c>
      <c r="X83" s="17" t="str">
        <f t="shared" ca="1" si="37"/>
        <v/>
      </c>
      <c r="Y83" t="str">
        <f t="shared" ca="1" si="39"/>
        <v/>
      </c>
      <c r="Z83" t="str">
        <f t="shared" ca="1" si="39"/>
        <v/>
      </c>
      <c r="AA83" t="str">
        <f t="shared" ca="1" si="39"/>
        <v/>
      </c>
      <c r="AB83" t="str">
        <f t="shared" ca="1" si="39"/>
        <v/>
      </c>
      <c r="AC83" t="str">
        <f t="shared" ca="1" si="39"/>
        <v/>
      </c>
      <c r="AD83" t="str">
        <f t="shared" ca="1" si="39"/>
        <v/>
      </c>
      <c r="AE83" t="str">
        <f t="shared" ca="1" si="39"/>
        <v/>
      </c>
      <c r="AF83" t="str">
        <f t="shared" ca="1" si="39"/>
        <v/>
      </c>
      <c r="AG83" t="str">
        <f t="shared" ca="1" si="39"/>
        <v/>
      </c>
      <c r="AH83" t="str">
        <f t="shared" ca="1" si="39"/>
        <v/>
      </c>
      <c r="AI83" t="str">
        <f t="shared" ca="1" si="40"/>
        <v/>
      </c>
      <c r="AJ83" t="str">
        <f t="shared" ca="1" si="40"/>
        <v/>
      </c>
      <c r="AK83" t="str">
        <f t="shared" ca="1" si="40"/>
        <v/>
      </c>
      <c r="AL83" t="str">
        <f t="shared" ca="1" si="40"/>
        <v/>
      </c>
      <c r="AM83" t="str">
        <f t="shared" ca="1" si="40"/>
        <v/>
      </c>
      <c r="AN83" t="str">
        <f t="shared" ca="1" si="40"/>
        <v/>
      </c>
      <c r="AO83" t="str">
        <f t="shared" ca="1" si="40"/>
        <v/>
      </c>
      <c r="AP83" t="str">
        <f t="shared" ca="1" si="40"/>
        <v/>
      </c>
      <c r="AQ83" t="str">
        <f t="shared" ca="1" si="40"/>
        <v/>
      </c>
      <c r="AR83" t="str">
        <f t="shared" ca="1" si="40"/>
        <v/>
      </c>
      <c r="AZ83" t="str">
        <f t="shared" ca="1" si="33"/>
        <v/>
      </c>
      <c r="BA83" t="str">
        <f t="shared" ca="1" si="33"/>
        <v/>
      </c>
      <c r="BB83" t="str">
        <f t="shared" ca="1" si="33"/>
        <v/>
      </c>
    </row>
    <row r="84" spans="1:54" x14ac:dyDescent="0.25">
      <c r="A84">
        <v>81</v>
      </c>
      <c r="B84" s="21"/>
      <c r="C84" t="str">
        <f t="shared" ca="1" si="34"/>
        <v/>
      </c>
      <c r="D84" s="17" t="str">
        <f t="shared" ca="1" si="35"/>
        <v/>
      </c>
      <c r="E84" t="str">
        <f t="shared" ca="1" si="36"/>
        <v/>
      </c>
      <c r="F84" t="str">
        <f t="shared" ref="F84:H103" ca="1" si="41">IFERROR(HLOOKUP(F$3, OFFSET(JSONstart,2*$A84-2,0,2,75), 2,FALSE),  "")</f>
        <v/>
      </c>
      <c r="G84" t="str">
        <f t="shared" ca="1" si="41"/>
        <v/>
      </c>
      <c r="H84" t="str">
        <f t="shared" ca="1" si="41"/>
        <v/>
      </c>
      <c r="J84" t="str">
        <f t="shared" ref="J84:W93" ca="1" si="42">IFERROR(HLOOKUP(J$3, OFFSET(JSONstart,2*$A84-2,0,2,75), 2,FALSE),  "")</f>
        <v/>
      </c>
      <c r="K84" t="str">
        <f t="shared" ca="1" si="42"/>
        <v/>
      </c>
      <c r="L84" t="str">
        <f t="shared" ca="1" si="42"/>
        <v/>
      </c>
      <c r="M84" t="str">
        <f t="shared" ca="1" si="42"/>
        <v/>
      </c>
      <c r="N84" t="str">
        <f t="shared" ca="1" si="42"/>
        <v/>
      </c>
      <c r="O84" t="str">
        <f t="shared" ca="1" si="42"/>
        <v/>
      </c>
      <c r="P84" t="str">
        <f t="shared" ca="1" si="42"/>
        <v/>
      </c>
      <c r="Q84" t="str">
        <f t="shared" ca="1" si="42"/>
        <v/>
      </c>
      <c r="R84" t="str">
        <f t="shared" ca="1" si="42"/>
        <v/>
      </c>
      <c r="S84" t="str">
        <f t="shared" ca="1" si="42"/>
        <v/>
      </c>
      <c r="T84" t="str">
        <f t="shared" ca="1" si="42"/>
        <v/>
      </c>
      <c r="U84" s="32" t="str">
        <f t="shared" ca="1" si="42"/>
        <v/>
      </c>
      <c r="V84" t="str">
        <f t="shared" ca="1" si="42"/>
        <v/>
      </c>
      <c r="W84" t="str">
        <f t="shared" ca="1" si="42"/>
        <v/>
      </c>
      <c r="X84" s="17" t="str">
        <f t="shared" ca="1" si="37"/>
        <v/>
      </c>
      <c r="Y84" t="str">
        <f t="shared" ref="Y84:AH93" ca="1" si="43">IFERROR(HLOOKUP(Y$3, OFFSET(JSONstart,2*$A84-2,0,2,75), 2,FALSE),   "")</f>
        <v/>
      </c>
      <c r="Z84" t="str">
        <f t="shared" ca="1" si="43"/>
        <v/>
      </c>
      <c r="AA84" t="str">
        <f t="shared" ca="1" si="43"/>
        <v/>
      </c>
      <c r="AB84" t="str">
        <f t="shared" ca="1" si="43"/>
        <v/>
      </c>
      <c r="AC84" t="str">
        <f t="shared" ca="1" si="43"/>
        <v/>
      </c>
      <c r="AD84" t="str">
        <f t="shared" ca="1" si="43"/>
        <v/>
      </c>
      <c r="AE84" t="str">
        <f t="shared" ca="1" si="43"/>
        <v/>
      </c>
      <c r="AF84" t="str">
        <f t="shared" ca="1" si="43"/>
        <v/>
      </c>
      <c r="AG84" t="str">
        <f t="shared" ca="1" si="43"/>
        <v/>
      </c>
      <c r="AH84" t="str">
        <f t="shared" ca="1" si="43"/>
        <v/>
      </c>
      <c r="AI84" t="str">
        <f t="shared" ref="AI84:AR93" ca="1" si="44">IFERROR(HLOOKUP(AI$3, OFFSET(JSONstart,2*$A84-2,0,2,75), 2,FALSE),   "")</f>
        <v/>
      </c>
      <c r="AJ84" t="str">
        <f t="shared" ca="1" si="44"/>
        <v/>
      </c>
      <c r="AK84" t="str">
        <f t="shared" ca="1" si="44"/>
        <v/>
      </c>
      <c r="AL84" t="str">
        <f t="shared" ca="1" si="44"/>
        <v/>
      </c>
      <c r="AM84" t="str">
        <f t="shared" ca="1" si="44"/>
        <v/>
      </c>
      <c r="AN84" t="str">
        <f t="shared" ca="1" si="44"/>
        <v/>
      </c>
      <c r="AO84" t="str">
        <f t="shared" ca="1" si="44"/>
        <v/>
      </c>
      <c r="AP84" t="str">
        <f t="shared" ca="1" si="44"/>
        <v/>
      </c>
      <c r="AQ84" t="str">
        <f t="shared" ca="1" si="44"/>
        <v/>
      </c>
      <c r="AR84" t="str">
        <f t="shared" ca="1" si="44"/>
        <v/>
      </c>
      <c r="AZ84" t="str">
        <f t="shared" ref="AZ84:BB103" ca="1" si="45">IFERROR(HLOOKUP(AZ$3, OFFSET(JSONstart,2*$A84-2,0,2,70), 2,FALSE),  "")</f>
        <v/>
      </c>
      <c r="BA84" t="str">
        <f t="shared" ca="1" si="45"/>
        <v/>
      </c>
      <c r="BB84" t="str">
        <f t="shared" ca="1" si="45"/>
        <v/>
      </c>
    </row>
    <row r="85" spans="1:54" x14ac:dyDescent="0.25">
      <c r="A85">
        <v>82</v>
      </c>
      <c r="B85" s="21"/>
      <c r="C85" t="str">
        <f t="shared" ca="1" si="34"/>
        <v/>
      </c>
      <c r="D85" s="17" t="str">
        <f t="shared" ca="1" si="35"/>
        <v/>
      </c>
      <c r="E85" t="str">
        <f t="shared" ca="1" si="36"/>
        <v/>
      </c>
      <c r="F85" t="str">
        <f t="shared" ca="1" si="41"/>
        <v/>
      </c>
      <c r="G85" t="str">
        <f t="shared" ca="1" si="41"/>
        <v/>
      </c>
      <c r="H85" t="str">
        <f t="shared" ca="1" si="41"/>
        <v/>
      </c>
      <c r="J85" t="str">
        <f t="shared" ca="1" si="42"/>
        <v/>
      </c>
      <c r="K85" t="str">
        <f t="shared" ca="1" si="42"/>
        <v/>
      </c>
      <c r="L85" t="str">
        <f t="shared" ca="1" si="42"/>
        <v/>
      </c>
      <c r="M85" t="str">
        <f t="shared" ca="1" si="42"/>
        <v/>
      </c>
      <c r="N85" t="str">
        <f t="shared" ca="1" si="42"/>
        <v/>
      </c>
      <c r="O85" t="str">
        <f t="shared" ca="1" si="42"/>
        <v/>
      </c>
      <c r="P85" t="str">
        <f t="shared" ca="1" si="42"/>
        <v/>
      </c>
      <c r="Q85" t="str">
        <f t="shared" ca="1" si="42"/>
        <v/>
      </c>
      <c r="R85" t="str">
        <f t="shared" ca="1" si="42"/>
        <v/>
      </c>
      <c r="S85" t="str">
        <f t="shared" ca="1" si="42"/>
        <v/>
      </c>
      <c r="T85" t="str">
        <f t="shared" ca="1" si="42"/>
        <v/>
      </c>
      <c r="U85" s="32" t="str">
        <f t="shared" ca="1" si="42"/>
        <v/>
      </c>
      <c r="V85" t="str">
        <f t="shared" ca="1" si="42"/>
        <v/>
      </c>
      <c r="W85" t="str">
        <f t="shared" ca="1" si="42"/>
        <v/>
      </c>
      <c r="X85" s="17" t="str">
        <f t="shared" ca="1" si="37"/>
        <v/>
      </c>
      <c r="Y85" t="str">
        <f t="shared" ca="1" si="43"/>
        <v/>
      </c>
      <c r="Z85" t="str">
        <f t="shared" ca="1" si="43"/>
        <v/>
      </c>
      <c r="AA85" t="str">
        <f t="shared" ca="1" si="43"/>
        <v/>
      </c>
      <c r="AB85" t="str">
        <f t="shared" ca="1" si="43"/>
        <v/>
      </c>
      <c r="AC85" t="str">
        <f t="shared" ca="1" si="43"/>
        <v/>
      </c>
      <c r="AD85" t="str">
        <f t="shared" ca="1" si="43"/>
        <v/>
      </c>
      <c r="AE85" t="str">
        <f t="shared" ca="1" si="43"/>
        <v/>
      </c>
      <c r="AF85" t="str">
        <f t="shared" ca="1" si="43"/>
        <v/>
      </c>
      <c r="AG85" t="str">
        <f t="shared" ca="1" si="43"/>
        <v/>
      </c>
      <c r="AH85" t="str">
        <f t="shared" ca="1" si="43"/>
        <v/>
      </c>
      <c r="AI85" t="str">
        <f t="shared" ca="1" si="44"/>
        <v/>
      </c>
      <c r="AJ85" t="str">
        <f t="shared" ca="1" si="44"/>
        <v/>
      </c>
      <c r="AK85" t="str">
        <f t="shared" ca="1" si="44"/>
        <v/>
      </c>
      <c r="AL85" t="str">
        <f t="shared" ca="1" si="44"/>
        <v/>
      </c>
      <c r="AM85" t="str">
        <f t="shared" ca="1" si="44"/>
        <v/>
      </c>
      <c r="AN85" t="str">
        <f t="shared" ca="1" si="44"/>
        <v/>
      </c>
      <c r="AO85" t="str">
        <f t="shared" ca="1" si="44"/>
        <v/>
      </c>
      <c r="AP85" t="str">
        <f t="shared" ca="1" si="44"/>
        <v/>
      </c>
      <c r="AQ85" t="str">
        <f t="shared" ca="1" si="44"/>
        <v/>
      </c>
      <c r="AR85" t="str">
        <f t="shared" ca="1" si="44"/>
        <v/>
      </c>
      <c r="AZ85" t="str">
        <f t="shared" ca="1" si="45"/>
        <v/>
      </c>
      <c r="BA85" t="str">
        <f t="shared" ca="1" si="45"/>
        <v/>
      </c>
      <c r="BB85" t="str">
        <f t="shared" ca="1" si="45"/>
        <v/>
      </c>
    </row>
    <row r="86" spans="1:54" x14ac:dyDescent="0.25">
      <c r="A86">
        <v>83</v>
      </c>
      <c r="B86" s="21"/>
      <c r="C86" t="str">
        <f t="shared" ca="1" si="34"/>
        <v/>
      </c>
      <c r="D86" s="17" t="str">
        <f t="shared" ca="1" si="35"/>
        <v/>
      </c>
      <c r="E86" t="str">
        <f t="shared" ca="1" si="36"/>
        <v/>
      </c>
      <c r="F86" t="str">
        <f t="shared" ca="1" si="41"/>
        <v/>
      </c>
      <c r="G86" t="str">
        <f t="shared" ca="1" si="41"/>
        <v/>
      </c>
      <c r="H86" t="str">
        <f t="shared" ca="1" si="41"/>
        <v/>
      </c>
      <c r="J86" t="str">
        <f t="shared" ca="1" si="42"/>
        <v/>
      </c>
      <c r="K86" t="str">
        <f t="shared" ca="1" si="42"/>
        <v/>
      </c>
      <c r="L86" t="str">
        <f t="shared" ca="1" si="42"/>
        <v/>
      </c>
      <c r="M86" t="str">
        <f t="shared" ca="1" si="42"/>
        <v/>
      </c>
      <c r="N86" t="str">
        <f t="shared" ca="1" si="42"/>
        <v/>
      </c>
      <c r="O86" t="str">
        <f t="shared" ca="1" si="42"/>
        <v/>
      </c>
      <c r="P86" t="str">
        <f t="shared" ca="1" si="42"/>
        <v/>
      </c>
      <c r="Q86" t="str">
        <f t="shared" ca="1" si="42"/>
        <v/>
      </c>
      <c r="R86" t="str">
        <f t="shared" ca="1" si="42"/>
        <v/>
      </c>
      <c r="S86" t="str">
        <f t="shared" ca="1" si="42"/>
        <v/>
      </c>
      <c r="T86" t="str">
        <f t="shared" ca="1" si="42"/>
        <v/>
      </c>
      <c r="U86" s="32" t="str">
        <f t="shared" ca="1" si="42"/>
        <v/>
      </c>
      <c r="V86" t="str">
        <f t="shared" ca="1" si="42"/>
        <v/>
      </c>
      <c r="W86" t="str">
        <f t="shared" ca="1" si="42"/>
        <v/>
      </c>
      <c r="X86" s="17" t="str">
        <f t="shared" ca="1" si="37"/>
        <v/>
      </c>
      <c r="Y86" t="str">
        <f t="shared" ca="1" si="43"/>
        <v/>
      </c>
      <c r="Z86" t="str">
        <f t="shared" ca="1" si="43"/>
        <v/>
      </c>
      <c r="AA86" t="str">
        <f t="shared" ca="1" si="43"/>
        <v/>
      </c>
      <c r="AB86" t="str">
        <f t="shared" ca="1" si="43"/>
        <v/>
      </c>
      <c r="AC86" t="str">
        <f t="shared" ca="1" si="43"/>
        <v/>
      </c>
      <c r="AD86" t="str">
        <f t="shared" ca="1" si="43"/>
        <v/>
      </c>
      <c r="AE86" t="str">
        <f t="shared" ca="1" si="43"/>
        <v/>
      </c>
      <c r="AF86" t="str">
        <f t="shared" ca="1" si="43"/>
        <v/>
      </c>
      <c r="AG86" t="str">
        <f t="shared" ca="1" si="43"/>
        <v/>
      </c>
      <c r="AH86" t="str">
        <f t="shared" ca="1" si="43"/>
        <v/>
      </c>
      <c r="AI86" t="str">
        <f t="shared" ca="1" si="44"/>
        <v/>
      </c>
      <c r="AJ86" t="str">
        <f t="shared" ca="1" si="44"/>
        <v/>
      </c>
      <c r="AK86" t="str">
        <f t="shared" ca="1" si="44"/>
        <v/>
      </c>
      <c r="AL86" t="str">
        <f t="shared" ca="1" si="44"/>
        <v/>
      </c>
      <c r="AM86" t="str">
        <f t="shared" ca="1" si="44"/>
        <v/>
      </c>
      <c r="AN86" t="str">
        <f t="shared" ca="1" si="44"/>
        <v/>
      </c>
      <c r="AO86" t="str">
        <f t="shared" ca="1" si="44"/>
        <v/>
      </c>
      <c r="AP86" t="str">
        <f t="shared" ca="1" si="44"/>
        <v/>
      </c>
      <c r="AQ86" t="str">
        <f t="shared" ca="1" si="44"/>
        <v/>
      </c>
      <c r="AR86" t="str">
        <f t="shared" ca="1" si="44"/>
        <v/>
      </c>
      <c r="AZ86" t="str">
        <f t="shared" ca="1" si="45"/>
        <v/>
      </c>
      <c r="BA86" t="str">
        <f t="shared" ca="1" si="45"/>
        <v/>
      </c>
      <c r="BB86" t="str">
        <f t="shared" ca="1" si="45"/>
        <v/>
      </c>
    </row>
    <row r="87" spans="1:54" x14ac:dyDescent="0.25">
      <c r="A87">
        <v>84</v>
      </c>
      <c r="B87" s="21"/>
      <c r="C87" t="str">
        <f t="shared" ca="1" si="34"/>
        <v/>
      </c>
      <c r="D87" s="17" t="str">
        <f t="shared" ca="1" si="35"/>
        <v/>
      </c>
      <c r="E87" t="str">
        <f t="shared" ca="1" si="36"/>
        <v/>
      </c>
      <c r="F87" t="str">
        <f t="shared" ca="1" si="41"/>
        <v/>
      </c>
      <c r="G87" t="str">
        <f t="shared" ca="1" si="41"/>
        <v/>
      </c>
      <c r="H87" t="str">
        <f t="shared" ca="1" si="41"/>
        <v/>
      </c>
      <c r="J87" t="str">
        <f t="shared" ca="1" si="42"/>
        <v/>
      </c>
      <c r="K87" t="str">
        <f t="shared" ca="1" si="42"/>
        <v/>
      </c>
      <c r="L87" t="str">
        <f t="shared" ca="1" si="42"/>
        <v/>
      </c>
      <c r="M87" t="str">
        <f t="shared" ca="1" si="42"/>
        <v/>
      </c>
      <c r="N87" t="str">
        <f t="shared" ca="1" si="42"/>
        <v/>
      </c>
      <c r="O87" t="str">
        <f t="shared" ca="1" si="42"/>
        <v/>
      </c>
      <c r="P87" t="str">
        <f t="shared" ca="1" si="42"/>
        <v/>
      </c>
      <c r="Q87" t="str">
        <f t="shared" ca="1" si="42"/>
        <v/>
      </c>
      <c r="R87" t="str">
        <f t="shared" ca="1" si="42"/>
        <v/>
      </c>
      <c r="S87" t="str">
        <f t="shared" ca="1" si="42"/>
        <v/>
      </c>
      <c r="T87" t="str">
        <f t="shared" ca="1" si="42"/>
        <v/>
      </c>
      <c r="U87" s="32" t="str">
        <f t="shared" ca="1" si="42"/>
        <v/>
      </c>
      <c r="V87" t="str">
        <f t="shared" ca="1" si="42"/>
        <v/>
      </c>
      <c r="W87" t="str">
        <f t="shared" ca="1" si="42"/>
        <v/>
      </c>
      <c r="X87" s="17" t="str">
        <f t="shared" ca="1" si="37"/>
        <v/>
      </c>
      <c r="Y87" t="str">
        <f t="shared" ca="1" si="43"/>
        <v/>
      </c>
      <c r="Z87" t="str">
        <f t="shared" ca="1" si="43"/>
        <v/>
      </c>
      <c r="AA87" t="str">
        <f t="shared" ca="1" si="43"/>
        <v/>
      </c>
      <c r="AB87" t="str">
        <f t="shared" ca="1" si="43"/>
        <v/>
      </c>
      <c r="AC87" t="str">
        <f t="shared" ca="1" si="43"/>
        <v/>
      </c>
      <c r="AD87" t="str">
        <f t="shared" ca="1" si="43"/>
        <v/>
      </c>
      <c r="AE87" t="str">
        <f t="shared" ca="1" si="43"/>
        <v/>
      </c>
      <c r="AF87" t="str">
        <f t="shared" ca="1" si="43"/>
        <v/>
      </c>
      <c r="AG87" t="str">
        <f t="shared" ca="1" si="43"/>
        <v/>
      </c>
      <c r="AH87" t="str">
        <f t="shared" ca="1" si="43"/>
        <v/>
      </c>
      <c r="AI87" t="str">
        <f t="shared" ca="1" si="44"/>
        <v/>
      </c>
      <c r="AJ87" t="str">
        <f t="shared" ca="1" si="44"/>
        <v/>
      </c>
      <c r="AK87" t="str">
        <f t="shared" ca="1" si="44"/>
        <v/>
      </c>
      <c r="AL87" t="str">
        <f t="shared" ca="1" si="44"/>
        <v/>
      </c>
      <c r="AM87" t="str">
        <f t="shared" ca="1" si="44"/>
        <v/>
      </c>
      <c r="AN87" t="str">
        <f t="shared" ca="1" si="44"/>
        <v/>
      </c>
      <c r="AO87" t="str">
        <f t="shared" ca="1" si="44"/>
        <v/>
      </c>
      <c r="AP87" t="str">
        <f t="shared" ca="1" si="44"/>
        <v/>
      </c>
      <c r="AQ87" t="str">
        <f t="shared" ca="1" si="44"/>
        <v/>
      </c>
      <c r="AR87" t="str">
        <f t="shared" ca="1" si="44"/>
        <v/>
      </c>
      <c r="AZ87" t="str">
        <f t="shared" ca="1" si="45"/>
        <v/>
      </c>
      <c r="BA87" t="str">
        <f t="shared" ca="1" si="45"/>
        <v/>
      </c>
      <c r="BB87" t="str">
        <f t="shared" ca="1" si="45"/>
        <v/>
      </c>
    </row>
    <row r="88" spans="1:54" x14ac:dyDescent="0.25">
      <c r="A88">
        <v>85</v>
      </c>
      <c r="B88" s="21"/>
      <c r="C88" t="str">
        <f t="shared" ca="1" si="34"/>
        <v/>
      </c>
      <c r="D88" s="17" t="str">
        <f t="shared" ca="1" si="35"/>
        <v/>
      </c>
      <c r="E88" t="str">
        <f t="shared" ca="1" si="36"/>
        <v/>
      </c>
      <c r="F88" t="str">
        <f t="shared" ca="1" si="41"/>
        <v/>
      </c>
      <c r="G88" t="str">
        <f t="shared" ca="1" si="41"/>
        <v/>
      </c>
      <c r="H88" t="str">
        <f t="shared" ca="1" si="41"/>
        <v/>
      </c>
      <c r="J88" t="str">
        <f t="shared" ca="1" si="42"/>
        <v/>
      </c>
      <c r="K88" t="str">
        <f t="shared" ca="1" si="42"/>
        <v/>
      </c>
      <c r="L88" t="str">
        <f t="shared" ca="1" si="42"/>
        <v/>
      </c>
      <c r="M88" t="str">
        <f t="shared" ca="1" si="42"/>
        <v/>
      </c>
      <c r="N88" t="str">
        <f t="shared" ca="1" si="42"/>
        <v/>
      </c>
      <c r="O88" t="str">
        <f t="shared" ca="1" si="42"/>
        <v/>
      </c>
      <c r="P88" t="str">
        <f t="shared" ca="1" si="42"/>
        <v/>
      </c>
      <c r="Q88" t="str">
        <f t="shared" ca="1" si="42"/>
        <v/>
      </c>
      <c r="R88" t="str">
        <f t="shared" ca="1" si="42"/>
        <v/>
      </c>
      <c r="S88" t="str">
        <f t="shared" ca="1" si="42"/>
        <v/>
      </c>
      <c r="T88" t="str">
        <f t="shared" ca="1" si="42"/>
        <v/>
      </c>
      <c r="U88" s="32" t="str">
        <f t="shared" ca="1" si="42"/>
        <v/>
      </c>
      <c r="V88" t="str">
        <f t="shared" ca="1" si="42"/>
        <v/>
      </c>
      <c r="W88" t="str">
        <f t="shared" ca="1" si="42"/>
        <v/>
      </c>
      <c r="X88" s="17" t="str">
        <f t="shared" ca="1" si="37"/>
        <v/>
      </c>
      <c r="Y88" t="str">
        <f t="shared" ca="1" si="43"/>
        <v/>
      </c>
      <c r="Z88" t="str">
        <f t="shared" ca="1" si="43"/>
        <v/>
      </c>
      <c r="AA88" t="str">
        <f t="shared" ca="1" si="43"/>
        <v/>
      </c>
      <c r="AB88" t="str">
        <f t="shared" ca="1" si="43"/>
        <v/>
      </c>
      <c r="AC88" t="str">
        <f t="shared" ca="1" si="43"/>
        <v/>
      </c>
      <c r="AD88" t="str">
        <f t="shared" ca="1" si="43"/>
        <v/>
      </c>
      <c r="AE88" t="str">
        <f t="shared" ca="1" si="43"/>
        <v/>
      </c>
      <c r="AF88" t="str">
        <f t="shared" ca="1" si="43"/>
        <v/>
      </c>
      <c r="AG88" t="str">
        <f t="shared" ca="1" si="43"/>
        <v/>
      </c>
      <c r="AH88" t="str">
        <f t="shared" ca="1" si="43"/>
        <v/>
      </c>
      <c r="AI88" t="str">
        <f t="shared" ca="1" si="44"/>
        <v/>
      </c>
      <c r="AJ88" t="str">
        <f t="shared" ca="1" si="44"/>
        <v/>
      </c>
      <c r="AK88" t="str">
        <f t="shared" ca="1" si="44"/>
        <v/>
      </c>
      <c r="AL88" t="str">
        <f t="shared" ca="1" si="44"/>
        <v/>
      </c>
      <c r="AM88" t="str">
        <f t="shared" ca="1" si="44"/>
        <v/>
      </c>
      <c r="AN88" t="str">
        <f t="shared" ca="1" si="44"/>
        <v/>
      </c>
      <c r="AO88" t="str">
        <f t="shared" ca="1" si="44"/>
        <v/>
      </c>
      <c r="AP88" t="str">
        <f t="shared" ca="1" si="44"/>
        <v/>
      </c>
      <c r="AQ88" t="str">
        <f t="shared" ca="1" si="44"/>
        <v/>
      </c>
      <c r="AR88" t="str">
        <f t="shared" ca="1" si="44"/>
        <v/>
      </c>
      <c r="AZ88" t="str">
        <f t="shared" ca="1" si="45"/>
        <v/>
      </c>
      <c r="BA88" t="str">
        <f t="shared" ca="1" si="45"/>
        <v/>
      </c>
      <c r="BB88" t="str">
        <f t="shared" ca="1" si="45"/>
        <v/>
      </c>
    </row>
    <row r="89" spans="1:54" x14ac:dyDescent="0.25">
      <c r="A89">
        <v>86</v>
      </c>
      <c r="B89" s="21"/>
      <c r="C89" t="str">
        <f t="shared" ca="1" si="34"/>
        <v/>
      </c>
      <c r="D89" s="17" t="str">
        <f t="shared" ca="1" si="35"/>
        <v/>
      </c>
      <c r="E89" t="str">
        <f t="shared" ca="1" si="36"/>
        <v/>
      </c>
      <c r="F89" t="str">
        <f t="shared" ca="1" si="41"/>
        <v/>
      </c>
      <c r="G89" t="str">
        <f t="shared" ca="1" si="41"/>
        <v/>
      </c>
      <c r="H89" t="str">
        <f t="shared" ca="1" si="41"/>
        <v/>
      </c>
      <c r="J89" t="str">
        <f t="shared" ca="1" si="42"/>
        <v/>
      </c>
      <c r="K89" t="str">
        <f t="shared" ca="1" si="42"/>
        <v/>
      </c>
      <c r="L89" t="str">
        <f t="shared" ca="1" si="42"/>
        <v/>
      </c>
      <c r="M89" t="str">
        <f t="shared" ca="1" si="42"/>
        <v/>
      </c>
      <c r="N89" t="str">
        <f t="shared" ca="1" si="42"/>
        <v/>
      </c>
      <c r="O89" t="str">
        <f t="shared" ca="1" si="42"/>
        <v/>
      </c>
      <c r="P89" t="str">
        <f t="shared" ca="1" si="42"/>
        <v/>
      </c>
      <c r="Q89" t="str">
        <f t="shared" ca="1" si="42"/>
        <v/>
      </c>
      <c r="R89" t="str">
        <f t="shared" ca="1" si="42"/>
        <v/>
      </c>
      <c r="S89" t="str">
        <f t="shared" ca="1" si="42"/>
        <v/>
      </c>
      <c r="T89" t="str">
        <f t="shared" ca="1" si="42"/>
        <v/>
      </c>
      <c r="U89" s="32" t="str">
        <f t="shared" ca="1" si="42"/>
        <v/>
      </c>
      <c r="V89" t="str">
        <f t="shared" ca="1" si="42"/>
        <v/>
      </c>
      <c r="W89" t="str">
        <f t="shared" ca="1" si="42"/>
        <v/>
      </c>
      <c r="X89" s="17" t="str">
        <f t="shared" ca="1" si="37"/>
        <v/>
      </c>
      <c r="Y89" t="str">
        <f t="shared" ca="1" si="43"/>
        <v/>
      </c>
      <c r="Z89" t="str">
        <f t="shared" ca="1" si="43"/>
        <v/>
      </c>
      <c r="AA89" t="str">
        <f t="shared" ca="1" si="43"/>
        <v/>
      </c>
      <c r="AB89" t="str">
        <f t="shared" ca="1" si="43"/>
        <v/>
      </c>
      <c r="AC89" t="str">
        <f t="shared" ca="1" si="43"/>
        <v/>
      </c>
      <c r="AD89" t="str">
        <f t="shared" ca="1" si="43"/>
        <v/>
      </c>
      <c r="AE89" t="str">
        <f t="shared" ca="1" si="43"/>
        <v/>
      </c>
      <c r="AF89" t="str">
        <f t="shared" ca="1" si="43"/>
        <v/>
      </c>
      <c r="AG89" t="str">
        <f t="shared" ca="1" si="43"/>
        <v/>
      </c>
      <c r="AH89" t="str">
        <f t="shared" ca="1" si="43"/>
        <v/>
      </c>
      <c r="AI89" t="str">
        <f t="shared" ca="1" si="44"/>
        <v/>
      </c>
      <c r="AJ89" t="str">
        <f t="shared" ca="1" si="44"/>
        <v/>
      </c>
      <c r="AK89" t="str">
        <f t="shared" ca="1" si="44"/>
        <v/>
      </c>
      <c r="AL89" t="str">
        <f t="shared" ca="1" si="44"/>
        <v/>
      </c>
      <c r="AM89" t="str">
        <f t="shared" ca="1" si="44"/>
        <v/>
      </c>
      <c r="AN89" t="str">
        <f t="shared" ca="1" si="44"/>
        <v/>
      </c>
      <c r="AO89" t="str">
        <f t="shared" ca="1" si="44"/>
        <v/>
      </c>
      <c r="AP89" t="str">
        <f t="shared" ca="1" si="44"/>
        <v/>
      </c>
      <c r="AQ89" t="str">
        <f t="shared" ca="1" si="44"/>
        <v/>
      </c>
      <c r="AR89" t="str">
        <f t="shared" ca="1" si="44"/>
        <v/>
      </c>
      <c r="AZ89" t="str">
        <f t="shared" ca="1" si="45"/>
        <v/>
      </c>
      <c r="BA89" t="str">
        <f t="shared" ca="1" si="45"/>
        <v/>
      </c>
      <c r="BB89" t="str">
        <f t="shared" ca="1" si="45"/>
        <v/>
      </c>
    </row>
    <row r="90" spans="1:54" x14ac:dyDescent="0.25">
      <c r="A90">
        <v>87</v>
      </c>
      <c r="B90" s="21"/>
      <c r="C90" t="str">
        <f t="shared" ca="1" si="34"/>
        <v/>
      </c>
      <c r="D90" s="17" t="str">
        <f t="shared" ca="1" si="35"/>
        <v/>
      </c>
      <c r="E90" t="str">
        <f t="shared" ca="1" si="36"/>
        <v/>
      </c>
      <c r="F90" t="str">
        <f t="shared" ca="1" si="41"/>
        <v/>
      </c>
      <c r="G90" t="str">
        <f t="shared" ca="1" si="41"/>
        <v/>
      </c>
      <c r="H90" t="str">
        <f t="shared" ca="1" si="41"/>
        <v/>
      </c>
      <c r="J90" t="str">
        <f t="shared" ca="1" si="42"/>
        <v/>
      </c>
      <c r="K90" t="str">
        <f t="shared" ca="1" si="42"/>
        <v/>
      </c>
      <c r="L90" t="str">
        <f t="shared" ca="1" si="42"/>
        <v/>
      </c>
      <c r="M90" t="str">
        <f t="shared" ca="1" si="42"/>
        <v/>
      </c>
      <c r="N90" t="str">
        <f t="shared" ca="1" si="42"/>
        <v/>
      </c>
      <c r="O90" t="str">
        <f t="shared" ca="1" si="42"/>
        <v/>
      </c>
      <c r="P90" t="str">
        <f t="shared" ca="1" si="42"/>
        <v/>
      </c>
      <c r="Q90" t="str">
        <f t="shared" ca="1" si="42"/>
        <v/>
      </c>
      <c r="R90" t="str">
        <f t="shared" ca="1" si="42"/>
        <v/>
      </c>
      <c r="S90" t="str">
        <f t="shared" ca="1" si="42"/>
        <v/>
      </c>
      <c r="T90" t="str">
        <f t="shared" ca="1" si="42"/>
        <v/>
      </c>
      <c r="U90" s="32" t="str">
        <f t="shared" ca="1" si="42"/>
        <v/>
      </c>
      <c r="V90" t="str">
        <f t="shared" ca="1" si="42"/>
        <v/>
      </c>
      <c r="W90" t="str">
        <f t="shared" ca="1" si="42"/>
        <v/>
      </c>
      <c r="X90" s="17" t="str">
        <f t="shared" ca="1" si="37"/>
        <v/>
      </c>
      <c r="Y90" t="str">
        <f t="shared" ca="1" si="43"/>
        <v/>
      </c>
      <c r="Z90" t="str">
        <f t="shared" ca="1" si="43"/>
        <v/>
      </c>
      <c r="AA90" t="str">
        <f t="shared" ca="1" si="43"/>
        <v/>
      </c>
      <c r="AB90" t="str">
        <f t="shared" ca="1" si="43"/>
        <v/>
      </c>
      <c r="AC90" t="str">
        <f t="shared" ca="1" si="43"/>
        <v/>
      </c>
      <c r="AD90" t="str">
        <f t="shared" ca="1" si="43"/>
        <v/>
      </c>
      <c r="AE90" t="str">
        <f t="shared" ca="1" si="43"/>
        <v/>
      </c>
      <c r="AF90" t="str">
        <f t="shared" ca="1" si="43"/>
        <v/>
      </c>
      <c r="AG90" t="str">
        <f t="shared" ca="1" si="43"/>
        <v/>
      </c>
      <c r="AH90" t="str">
        <f t="shared" ca="1" si="43"/>
        <v/>
      </c>
      <c r="AI90" t="str">
        <f t="shared" ca="1" si="44"/>
        <v/>
      </c>
      <c r="AJ90" t="str">
        <f t="shared" ca="1" si="44"/>
        <v/>
      </c>
      <c r="AK90" t="str">
        <f t="shared" ca="1" si="44"/>
        <v/>
      </c>
      <c r="AL90" t="str">
        <f t="shared" ca="1" si="44"/>
        <v/>
      </c>
      <c r="AM90" t="str">
        <f t="shared" ca="1" si="44"/>
        <v/>
      </c>
      <c r="AN90" t="str">
        <f t="shared" ca="1" si="44"/>
        <v/>
      </c>
      <c r="AO90" t="str">
        <f t="shared" ca="1" si="44"/>
        <v/>
      </c>
      <c r="AP90" t="str">
        <f t="shared" ca="1" si="44"/>
        <v/>
      </c>
      <c r="AQ90" t="str">
        <f t="shared" ca="1" si="44"/>
        <v/>
      </c>
      <c r="AR90" t="str">
        <f t="shared" ca="1" si="44"/>
        <v/>
      </c>
      <c r="AZ90" t="str">
        <f t="shared" ca="1" si="45"/>
        <v/>
      </c>
      <c r="BA90" t="str">
        <f t="shared" ca="1" si="45"/>
        <v/>
      </c>
      <c r="BB90" t="str">
        <f t="shared" ca="1" si="45"/>
        <v/>
      </c>
    </row>
    <row r="91" spans="1:54" x14ac:dyDescent="0.25">
      <c r="A91">
        <v>88</v>
      </c>
      <c r="B91" s="21"/>
      <c r="C91" t="str">
        <f t="shared" ca="1" si="34"/>
        <v/>
      </c>
      <c r="D91" s="17" t="str">
        <f t="shared" ca="1" si="35"/>
        <v/>
      </c>
      <c r="E91" t="str">
        <f t="shared" ca="1" si="36"/>
        <v/>
      </c>
      <c r="F91" t="str">
        <f t="shared" ca="1" si="41"/>
        <v/>
      </c>
      <c r="G91" t="str">
        <f t="shared" ca="1" si="41"/>
        <v/>
      </c>
      <c r="H91" t="str">
        <f t="shared" ca="1" si="41"/>
        <v/>
      </c>
      <c r="J91" t="str">
        <f t="shared" ca="1" si="42"/>
        <v/>
      </c>
      <c r="K91" t="str">
        <f t="shared" ca="1" si="42"/>
        <v/>
      </c>
      <c r="L91" t="str">
        <f t="shared" ca="1" si="42"/>
        <v/>
      </c>
      <c r="M91" t="str">
        <f t="shared" ca="1" si="42"/>
        <v/>
      </c>
      <c r="N91" t="str">
        <f t="shared" ca="1" si="42"/>
        <v/>
      </c>
      <c r="O91" t="str">
        <f t="shared" ca="1" si="42"/>
        <v/>
      </c>
      <c r="P91" t="str">
        <f t="shared" ca="1" si="42"/>
        <v/>
      </c>
      <c r="Q91" t="str">
        <f t="shared" ca="1" si="42"/>
        <v/>
      </c>
      <c r="R91" t="str">
        <f t="shared" ca="1" si="42"/>
        <v/>
      </c>
      <c r="S91" t="str">
        <f t="shared" ca="1" si="42"/>
        <v/>
      </c>
      <c r="T91" t="str">
        <f t="shared" ca="1" si="42"/>
        <v/>
      </c>
      <c r="U91" s="32" t="str">
        <f t="shared" ca="1" si="42"/>
        <v/>
      </c>
      <c r="V91" t="str">
        <f t="shared" ca="1" si="42"/>
        <v/>
      </c>
      <c r="W91" t="str">
        <f t="shared" ca="1" si="42"/>
        <v/>
      </c>
      <c r="X91" s="17" t="str">
        <f t="shared" ca="1" si="37"/>
        <v/>
      </c>
      <c r="Y91" t="str">
        <f t="shared" ca="1" si="43"/>
        <v/>
      </c>
      <c r="Z91" t="str">
        <f t="shared" ca="1" si="43"/>
        <v/>
      </c>
      <c r="AA91" t="str">
        <f t="shared" ca="1" si="43"/>
        <v/>
      </c>
      <c r="AB91" t="str">
        <f t="shared" ca="1" si="43"/>
        <v/>
      </c>
      <c r="AC91" t="str">
        <f t="shared" ca="1" si="43"/>
        <v/>
      </c>
      <c r="AD91" t="str">
        <f t="shared" ca="1" si="43"/>
        <v/>
      </c>
      <c r="AE91" t="str">
        <f t="shared" ca="1" si="43"/>
        <v/>
      </c>
      <c r="AF91" t="str">
        <f t="shared" ca="1" si="43"/>
        <v/>
      </c>
      <c r="AG91" t="str">
        <f t="shared" ca="1" si="43"/>
        <v/>
      </c>
      <c r="AH91" t="str">
        <f t="shared" ca="1" si="43"/>
        <v/>
      </c>
      <c r="AI91" t="str">
        <f t="shared" ca="1" si="44"/>
        <v/>
      </c>
      <c r="AJ91" t="str">
        <f t="shared" ca="1" si="44"/>
        <v/>
      </c>
      <c r="AK91" t="str">
        <f t="shared" ca="1" si="44"/>
        <v/>
      </c>
      <c r="AL91" t="str">
        <f t="shared" ca="1" si="44"/>
        <v/>
      </c>
      <c r="AM91" t="str">
        <f t="shared" ca="1" si="44"/>
        <v/>
      </c>
      <c r="AN91" t="str">
        <f t="shared" ca="1" si="44"/>
        <v/>
      </c>
      <c r="AO91" t="str">
        <f t="shared" ca="1" si="44"/>
        <v/>
      </c>
      <c r="AP91" t="str">
        <f t="shared" ca="1" si="44"/>
        <v/>
      </c>
      <c r="AQ91" t="str">
        <f t="shared" ca="1" si="44"/>
        <v/>
      </c>
      <c r="AR91" t="str">
        <f t="shared" ca="1" si="44"/>
        <v/>
      </c>
      <c r="AZ91" t="str">
        <f t="shared" ca="1" si="45"/>
        <v/>
      </c>
      <c r="BA91" t="str">
        <f t="shared" ca="1" si="45"/>
        <v/>
      </c>
      <c r="BB91" t="str">
        <f t="shared" ca="1" si="45"/>
        <v/>
      </c>
    </row>
    <row r="92" spans="1:54" x14ac:dyDescent="0.25">
      <c r="A92">
        <v>89</v>
      </c>
      <c r="B92" s="21"/>
      <c r="C92" t="str">
        <f t="shared" ca="1" si="34"/>
        <v/>
      </c>
      <c r="D92" s="17" t="str">
        <f t="shared" ca="1" si="35"/>
        <v/>
      </c>
      <c r="E92" t="str">
        <f t="shared" ca="1" si="36"/>
        <v/>
      </c>
      <c r="F92" t="str">
        <f t="shared" ca="1" si="41"/>
        <v/>
      </c>
      <c r="G92" t="str">
        <f t="shared" ca="1" si="41"/>
        <v/>
      </c>
      <c r="H92" t="str">
        <f t="shared" ca="1" si="41"/>
        <v/>
      </c>
      <c r="J92" t="str">
        <f t="shared" ca="1" si="42"/>
        <v/>
      </c>
      <c r="K92" t="str">
        <f t="shared" ca="1" si="42"/>
        <v/>
      </c>
      <c r="L92" t="str">
        <f t="shared" ca="1" si="42"/>
        <v/>
      </c>
      <c r="M92" t="str">
        <f t="shared" ca="1" si="42"/>
        <v/>
      </c>
      <c r="N92" t="str">
        <f t="shared" ca="1" si="42"/>
        <v/>
      </c>
      <c r="O92" t="str">
        <f t="shared" ca="1" si="42"/>
        <v/>
      </c>
      <c r="P92" t="str">
        <f t="shared" ca="1" si="42"/>
        <v/>
      </c>
      <c r="Q92" t="str">
        <f t="shared" ca="1" si="42"/>
        <v/>
      </c>
      <c r="R92" t="str">
        <f t="shared" ca="1" si="42"/>
        <v/>
      </c>
      <c r="S92" t="str">
        <f t="shared" ca="1" si="42"/>
        <v/>
      </c>
      <c r="T92" t="str">
        <f t="shared" ca="1" si="42"/>
        <v/>
      </c>
      <c r="U92" s="32" t="str">
        <f t="shared" ca="1" si="42"/>
        <v/>
      </c>
      <c r="V92" t="str">
        <f t="shared" ca="1" si="42"/>
        <v/>
      </c>
      <c r="W92" t="str">
        <f t="shared" ca="1" si="42"/>
        <v/>
      </c>
      <c r="X92" s="17" t="str">
        <f t="shared" ca="1" si="37"/>
        <v/>
      </c>
      <c r="Y92" t="str">
        <f t="shared" ca="1" si="43"/>
        <v/>
      </c>
      <c r="Z92" t="str">
        <f t="shared" ca="1" si="43"/>
        <v/>
      </c>
      <c r="AA92" t="str">
        <f t="shared" ca="1" si="43"/>
        <v/>
      </c>
      <c r="AB92" t="str">
        <f t="shared" ca="1" si="43"/>
        <v/>
      </c>
      <c r="AC92" t="str">
        <f t="shared" ca="1" si="43"/>
        <v/>
      </c>
      <c r="AD92" t="str">
        <f t="shared" ca="1" si="43"/>
        <v/>
      </c>
      <c r="AE92" t="str">
        <f t="shared" ca="1" si="43"/>
        <v/>
      </c>
      <c r="AF92" t="str">
        <f t="shared" ca="1" si="43"/>
        <v/>
      </c>
      <c r="AG92" t="str">
        <f t="shared" ca="1" si="43"/>
        <v/>
      </c>
      <c r="AH92" t="str">
        <f t="shared" ca="1" si="43"/>
        <v/>
      </c>
      <c r="AI92" t="str">
        <f t="shared" ca="1" si="44"/>
        <v/>
      </c>
      <c r="AJ92" t="str">
        <f t="shared" ca="1" si="44"/>
        <v/>
      </c>
      <c r="AK92" t="str">
        <f t="shared" ca="1" si="44"/>
        <v/>
      </c>
      <c r="AL92" t="str">
        <f t="shared" ca="1" si="44"/>
        <v/>
      </c>
      <c r="AM92" t="str">
        <f t="shared" ca="1" si="44"/>
        <v/>
      </c>
      <c r="AN92" t="str">
        <f t="shared" ca="1" si="44"/>
        <v/>
      </c>
      <c r="AO92" t="str">
        <f t="shared" ca="1" si="44"/>
        <v/>
      </c>
      <c r="AP92" t="str">
        <f t="shared" ca="1" si="44"/>
        <v/>
      </c>
      <c r="AQ92" t="str">
        <f t="shared" ca="1" si="44"/>
        <v/>
      </c>
      <c r="AR92" t="str">
        <f t="shared" ca="1" si="44"/>
        <v/>
      </c>
      <c r="AZ92" t="str">
        <f t="shared" ca="1" si="45"/>
        <v/>
      </c>
      <c r="BA92" t="str">
        <f t="shared" ca="1" si="45"/>
        <v/>
      </c>
      <c r="BB92" t="str">
        <f t="shared" ca="1" si="45"/>
        <v/>
      </c>
    </row>
    <row r="93" spans="1:54" x14ac:dyDescent="0.25">
      <c r="A93">
        <v>90</v>
      </c>
      <c r="B93" s="21"/>
      <c r="C93" t="str">
        <f t="shared" ca="1" si="34"/>
        <v/>
      </c>
      <c r="D93" s="17" t="str">
        <f t="shared" ca="1" si="35"/>
        <v/>
      </c>
      <c r="E93" t="str">
        <f t="shared" ca="1" si="36"/>
        <v/>
      </c>
      <c r="F93" t="str">
        <f t="shared" ca="1" si="41"/>
        <v/>
      </c>
      <c r="G93" t="str">
        <f t="shared" ca="1" si="41"/>
        <v/>
      </c>
      <c r="H93" t="str">
        <f t="shared" ca="1" si="41"/>
        <v/>
      </c>
      <c r="J93" t="str">
        <f t="shared" ca="1" si="42"/>
        <v/>
      </c>
      <c r="K93" t="str">
        <f t="shared" ca="1" si="42"/>
        <v/>
      </c>
      <c r="L93" t="str">
        <f t="shared" ca="1" si="42"/>
        <v/>
      </c>
      <c r="M93" t="str">
        <f t="shared" ca="1" si="42"/>
        <v/>
      </c>
      <c r="N93" t="str">
        <f t="shared" ca="1" si="42"/>
        <v/>
      </c>
      <c r="O93" t="str">
        <f t="shared" ca="1" si="42"/>
        <v/>
      </c>
      <c r="P93" t="str">
        <f t="shared" ca="1" si="42"/>
        <v/>
      </c>
      <c r="Q93" t="str">
        <f t="shared" ca="1" si="42"/>
        <v/>
      </c>
      <c r="R93" t="str">
        <f t="shared" ca="1" si="42"/>
        <v/>
      </c>
      <c r="S93" t="str">
        <f t="shared" ca="1" si="42"/>
        <v/>
      </c>
      <c r="T93" t="str">
        <f t="shared" ca="1" si="42"/>
        <v/>
      </c>
      <c r="U93" s="32" t="str">
        <f t="shared" ca="1" si="42"/>
        <v/>
      </c>
      <c r="V93" t="str">
        <f t="shared" ca="1" si="42"/>
        <v/>
      </c>
      <c r="W93" t="str">
        <f t="shared" ca="1" si="42"/>
        <v/>
      </c>
      <c r="X93" s="17" t="str">
        <f t="shared" ca="1" si="37"/>
        <v/>
      </c>
      <c r="Y93" t="str">
        <f t="shared" ca="1" si="43"/>
        <v/>
      </c>
      <c r="Z93" t="str">
        <f t="shared" ca="1" si="43"/>
        <v/>
      </c>
      <c r="AA93" t="str">
        <f t="shared" ca="1" si="43"/>
        <v/>
      </c>
      <c r="AB93" t="str">
        <f t="shared" ca="1" si="43"/>
        <v/>
      </c>
      <c r="AC93" t="str">
        <f t="shared" ca="1" si="43"/>
        <v/>
      </c>
      <c r="AD93" t="str">
        <f t="shared" ca="1" si="43"/>
        <v/>
      </c>
      <c r="AE93" t="str">
        <f t="shared" ca="1" si="43"/>
        <v/>
      </c>
      <c r="AF93" t="str">
        <f t="shared" ca="1" si="43"/>
        <v/>
      </c>
      <c r="AG93" t="str">
        <f t="shared" ca="1" si="43"/>
        <v/>
      </c>
      <c r="AH93" t="str">
        <f t="shared" ca="1" si="43"/>
        <v/>
      </c>
      <c r="AI93" t="str">
        <f t="shared" ca="1" si="44"/>
        <v/>
      </c>
      <c r="AJ93" t="str">
        <f t="shared" ca="1" si="44"/>
        <v/>
      </c>
      <c r="AK93" t="str">
        <f t="shared" ca="1" si="44"/>
        <v/>
      </c>
      <c r="AL93" t="str">
        <f t="shared" ca="1" si="44"/>
        <v/>
      </c>
      <c r="AM93" t="str">
        <f t="shared" ca="1" si="44"/>
        <v/>
      </c>
      <c r="AN93" t="str">
        <f t="shared" ca="1" si="44"/>
        <v/>
      </c>
      <c r="AO93" t="str">
        <f t="shared" ca="1" si="44"/>
        <v/>
      </c>
      <c r="AP93" t="str">
        <f t="shared" ca="1" si="44"/>
        <v/>
      </c>
      <c r="AQ93" t="str">
        <f t="shared" ca="1" si="44"/>
        <v/>
      </c>
      <c r="AR93" t="str">
        <f t="shared" ca="1" si="44"/>
        <v/>
      </c>
      <c r="AZ93" t="str">
        <f t="shared" ca="1" si="45"/>
        <v/>
      </c>
      <c r="BA93" t="str">
        <f t="shared" ca="1" si="45"/>
        <v/>
      </c>
      <c r="BB93" t="str">
        <f t="shared" ca="1" si="45"/>
        <v/>
      </c>
    </row>
    <row r="94" spans="1:54" x14ac:dyDescent="0.25">
      <c r="A94">
        <v>91</v>
      </c>
      <c r="B94" s="21"/>
      <c r="C94" t="str">
        <f t="shared" ca="1" si="34"/>
        <v/>
      </c>
      <c r="D94" s="17" t="str">
        <f t="shared" ca="1" si="35"/>
        <v/>
      </c>
      <c r="E94" t="str">
        <f t="shared" ca="1" si="36"/>
        <v/>
      </c>
      <c r="F94" t="str">
        <f t="shared" ca="1" si="41"/>
        <v/>
      </c>
      <c r="G94" t="str">
        <f t="shared" ca="1" si="41"/>
        <v/>
      </c>
      <c r="H94" t="str">
        <f t="shared" ca="1" si="41"/>
        <v/>
      </c>
      <c r="J94" t="str">
        <f t="shared" ref="J94:W103" ca="1" si="46">IFERROR(HLOOKUP(J$3, OFFSET(JSONstart,2*$A94-2,0,2,75), 2,FALSE),  "")</f>
        <v/>
      </c>
      <c r="K94" t="str">
        <f t="shared" ca="1" si="46"/>
        <v/>
      </c>
      <c r="L94" t="str">
        <f t="shared" ca="1" si="46"/>
        <v/>
      </c>
      <c r="M94" t="str">
        <f t="shared" ca="1" si="46"/>
        <v/>
      </c>
      <c r="N94" t="str">
        <f t="shared" ca="1" si="46"/>
        <v/>
      </c>
      <c r="O94" t="str">
        <f t="shared" ca="1" si="46"/>
        <v/>
      </c>
      <c r="P94" t="str">
        <f t="shared" ca="1" si="46"/>
        <v/>
      </c>
      <c r="Q94" t="str">
        <f t="shared" ca="1" si="46"/>
        <v/>
      </c>
      <c r="R94" t="str">
        <f t="shared" ca="1" si="46"/>
        <v/>
      </c>
      <c r="S94" t="str">
        <f t="shared" ca="1" si="46"/>
        <v/>
      </c>
      <c r="T94" t="str">
        <f t="shared" ca="1" si="46"/>
        <v/>
      </c>
      <c r="U94" s="32" t="str">
        <f t="shared" ca="1" si="46"/>
        <v/>
      </c>
      <c r="V94" t="str">
        <f t="shared" ca="1" si="46"/>
        <v/>
      </c>
      <c r="W94" t="str">
        <f t="shared" ca="1" si="46"/>
        <v/>
      </c>
      <c r="X94" s="17" t="str">
        <f t="shared" ca="1" si="37"/>
        <v/>
      </c>
      <c r="Y94" t="str">
        <f t="shared" ref="Y94:AH103" ca="1" si="47">IFERROR(HLOOKUP(Y$3, OFFSET(JSONstart,2*$A94-2,0,2,75), 2,FALSE),   "")</f>
        <v/>
      </c>
      <c r="Z94" t="str">
        <f t="shared" ca="1" si="47"/>
        <v/>
      </c>
      <c r="AA94" t="str">
        <f t="shared" ca="1" si="47"/>
        <v/>
      </c>
      <c r="AB94" t="str">
        <f t="shared" ca="1" si="47"/>
        <v/>
      </c>
      <c r="AC94" t="str">
        <f t="shared" ca="1" si="47"/>
        <v/>
      </c>
      <c r="AD94" t="str">
        <f t="shared" ca="1" si="47"/>
        <v/>
      </c>
      <c r="AE94" t="str">
        <f t="shared" ca="1" si="47"/>
        <v/>
      </c>
      <c r="AF94" t="str">
        <f t="shared" ca="1" si="47"/>
        <v/>
      </c>
      <c r="AG94" t="str">
        <f t="shared" ca="1" si="47"/>
        <v/>
      </c>
      <c r="AH94" t="str">
        <f t="shared" ca="1" si="47"/>
        <v/>
      </c>
      <c r="AI94" t="str">
        <f t="shared" ref="AI94:AR103" ca="1" si="48">IFERROR(HLOOKUP(AI$3, OFFSET(JSONstart,2*$A94-2,0,2,75), 2,FALSE),   "")</f>
        <v/>
      </c>
      <c r="AJ94" t="str">
        <f t="shared" ca="1" si="48"/>
        <v/>
      </c>
      <c r="AK94" t="str">
        <f t="shared" ca="1" si="48"/>
        <v/>
      </c>
      <c r="AL94" t="str">
        <f t="shared" ca="1" si="48"/>
        <v/>
      </c>
      <c r="AM94" t="str">
        <f t="shared" ca="1" si="48"/>
        <v/>
      </c>
      <c r="AN94" t="str">
        <f t="shared" ca="1" si="48"/>
        <v/>
      </c>
      <c r="AO94" t="str">
        <f t="shared" ca="1" si="48"/>
        <v/>
      </c>
      <c r="AP94" t="str">
        <f t="shared" ca="1" si="48"/>
        <v/>
      </c>
      <c r="AQ94" t="str">
        <f t="shared" ca="1" si="48"/>
        <v/>
      </c>
      <c r="AR94" t="str">
        <f t="shared" ca="1" si="48"/>
        <v/>
      </c>
      <c r="AZ94" t="str">
        <f t="shared" ca="1" si="45"/>
        <v/>
      </c>
      <c r="BA94" t="str">
        <f t="shared" ca="1" si="45"/>
        <v/>
      </c>
      <c r="BB94" t="str">
        <f t="shared" ca="1" si="45"/>
        <v/>
      </c>
    </row>
    <row r="95" spans="1:54" x14ac:dyDescent="0.25">
      <c r="A95">
        <v>92</v>
      </c>
      <c r="B95" s="21"/>
      <c r="C95" t="str">
        <f t="shared" ca="1" si="34"/>
        <v/>
      </c>
      <c r="D95" s="17" t="str">
        <f t="shared" ca="1" si="35"/>
        <v/>
      </c>
      <c r="E95" t="str">
        <f t="shared" ca="1" si="36"/>
        <v/>
      </c>
      <c r="F95" t="str">
        <f t="shared" ca="1" si="41"/>
        <v/>
      </c>
      <c r="G95" t="str">
        <f t="shared" ca="1" si="41"/>
        <v/>
      </c>
      <c r="H95" t="str">
        <f t="shared" ca="1" si="41"/>
        <v/>
      </c>
      <c r="J95" t="str">
        <f t="shared" ca="1" si="46"/>
        <v/>
      </c>
      <c r="K95" t="str">
        <f t="shared" ca="1" si="46"/>
        <v/>
      </c>
      <c r="L95" t="str">
        <f t="shared" ca="1" si="46"/>
        <v/>
      </c>
      <c r="M95" t="str">
        <f t="shared" ca="1" si="46"/>
        <v/>
      </c>
      <c r="N95" t="str">
        <f t="shared" ca="1" si="46"/>
        <v/>
      </c>
      <c r="O95" t="str">
        <f t="shared" ca="1" si="46"/>
        <v/>
      </c>
      <c r="P95" t="str">
        <f t="shared" ca="1" si="46"/>
        <v/>
      </c>
      <c r="Q95" t="str">
        <f t="shared" ca="1" si="46"/>
        <v/>
      </c>
      <c r="R95" t="str">
        <f t="shared" ca="1" si="46"/>
        <v/>
      </c>
      <c r="S95" t="str">
        <f t="shared" ca="1" si="46"/>
        <v/>
      </c>
      <c r="T95" t="str">
        <f t="shared" ca="1" si="46"/>
        <v/>
      </c>
      <c r="U95" s="32" t="str">
        <f t="shared" ca="1" si="46"/>
        <v/>
      </c>
      <c r="V95" t="str">
        <f t="shared" ca="1" si="46"/>
        <v/>
      </c>
      <c r="W95" t="str">
        <f t="shared" ca="1" si="46"/>
        <v/>
      </c>
      <c r="X95" s="17" t="str">
        <f t="shared" ca="1" si="37"/>
        <v/>
      </c>
      <c r="Y95" t="str">
        <f t="shared" ca="1" si="47"/>
        <v/>
      </c>
      <c r="Z95" t="str">
        <f t="shared" ca="1" si="47"/>
        <v/>
      </c>
      <c r="AA95" t="str">
        <f t="shared" ca="1" si="47"/>
        <v/>
      </c>
      <c r="AB95" t="str">
        <f t="shared" ca="1" si="47"/>
        <v/>
      </c>
      <c r="AC95" t="str">
        <f t="shared" ca="1" si="47"/>
        <v/>
      </c>
      <c r="AD95" t="str">
        <f t="shared" ca="1" si="47"/>
        <v/>
      </c>
      <c r="AE95" t="str">
        <f t="shared" ca="1" si="47"/>
        <v/>
      </c>
      <c r="AF95" t="str">
        <f t="shared" ca="1" si="47"/>
        <v/>
      </c>
      <c r="AG95" t="str">
        <f t="shared" ca="1" si="47"/>
        <v/>
      </c>
      <c r="AH95" t="str">
        <f t="shared" ca="1" si="47"/>
        <v/>
      </c>
      <c r="AI95" t="str">
        <f t="shared" ca="1" si="48"/>
        <v/>
      </c>
      <c r="AJ95" t="str">
        <f t="shared" ca="1" si="48"/>
        <v/>
      </c>
      <c r="AK95" t="str">
        <f t="shared" ca="1" si="48"/>
        <v/>
      </c>
      <c r="AL95" t="str">
        <f t="shared" ca="1" si="48"/>
        <v/>
      </c>
      <c r="AM95" t="str">
        <f t="shared" ca="1" si="48"/>
        <v/>
      </c>
      <c r="AN95" t="str">
        <f t="shared" ca="1" si="48"/>
        <v/>
      </c>
      <c r="AO95" t="str">
        <f t="shared" ca="1" si="48"/>
        <v/>
      </c>
      <c r="AP95" t="str">
        <f t="shared" ca="1" si="48"/>
        <v/>
      </c>
      <c r="AQ95" t="str">
        <f t="shared" ca="1" si="48"/>
        <v/>
      </c>
      <c r="AR95" t="str">
        <f t="shared" ca="1" si="48"/>
        <v/>
      </c>
      <c r="AZ95" t="str">
        <f t="shared" ca="1" si="45"/>
        <v/>
      </c>
      <c r="BA95" t="str">
        <f t="shared" ca="1" si="45"/>
        <v/>
      </c>
      <c r="BB95" t="str">
        <f t="shared" ca="1" si="45"/>
        <v/>
      </c>
    </row>
    <row r="96" spans="1:54" x14ac:dyDescent="0.25">
      <c r="A96">
        <v>93</v>
      </c>
      <c r="B96" s="21"/>
      <c r="C96" t="str">
        <f t="shared" ca="1" si="34"/>
        <v/>
      </c>
      <c r="D96" s="17" t="str">
        <f t="shared" ca="1" si="35"/>
        <v/>
      </c>
      <c r="E96" t="str">
        <f t="shared" ca="1" si="36"/>
        <v/>
      </c>
      <c r="F96" t="str">
        <f t="shared" ca="1" si="41"/>
        <v/>
      </c>
      <c r="G96" t="str">
        <f t="shared" ca="1" si="41"/>
        <v/>
      </c>
      <c r="H96" t="str">
        <f t="shared" ca="1" si="41"/>
        <v/>
      </c>
      <c r="J96" t="str">
        <f t="shared" ca="1" si="46"/>
        <v/>
      </c>
      <c r="K96" t="str">
        <f t="shared" ca="1" si="46"/>
        <v/>
      </c>
      <c r="L96" t="str">
        <f t="shared" ca="1" si="46"/>
        <v/>
      </c>
      <c r="M96" t="str">
        <f t="shared" ca="1" si="46"/>
        <v/>
      </c>
      <c r="N96" t="str">
        <f t="shared" ca="1" si="46"/>
        <v/>
      </c>
      <c r="O96" t="str">
        <f t="shared" ca="1" si="46"/>
        <v/>
      </c>
      <c r="P96" t="str">
        <f t="shared" ca="1" si="46"/>
        <v/>
      </c>
      <c r="Q96" t="str">
        <f t="shared" ca="1" si="46"/>
        <v/>
      </c>
      <c r="R96" t="str">
        <f t="shared" ca="1" si="46"/>
        <v/>
      </c>
      <c r="S96" t="str">
        <f t="shared" ca="1" si="46"/>
        <v/>
      </c>
      <c r="T96" t="str">
        <f t="shared" ca="1" si="46"/>
        <v/>
      </c>
      <c r="U96" s="32" t="str">
        <f t="shared" ca="1" si="46"/>
        <v/>
      </c>
      <c r="V96" t="str">
        <f t="shared" ca="1" si="46"/>
        <v/>
      </c>
      <c r="W96" t="str">
        <f t="shared" ca="1" si="46"/>
        <v/>
      </c>
      <c r="X96" s="17" t="str">
        <f t="shared" ca="1" si="37"/>
        <v/>
      </c>
      <c r="Y96" t="str">
        <f t="shared" ca="1" si="47"/>
        <v/>
      </c>
      <c r="Z96" t="str">
        <f t="shared" ca="1" si="47"/>
        <v/>
      </c>
      <c r="AA96" t="str">
        <f t="shared" ca="1" si="47"/>
        <v/>
      </c>
      <c r="AB96" t="str">
        <f t="shared" ca="1" si="47"/>
        <v/>
      </c>
      <c r="AC96" t="str">
        <f t="shared" ca="1" si="47"/>
        <v/>
      </c>
      <c r="AD96" t="str">
        <f t="shared" ca="1" si="47"/>
        <v/>
      </c>
      <c r="AE96" t="str">
        <f t="shared" ca="1" si="47"/>
        <v/>
      </c>
      <c r="AF96" t="str">
        <f t="shared" ca="1" si="47"/>
        <v/>
      </c>
      <c r="AG96" t="str">
        <f t="shared" ca="1" si="47"/>
        <v/>
      </c>
      <c r="AH96" t="str">
        <f t="shared" ca="1" si="47"/>
        <v/>
      </c>
      <c r="AI96" t="str">
        <f t="shared" ca="1" si="48"/>
        <v/>
      </c>
      <c r="AJ96" t="str">
        <f t="shared" ca="1" si="48"/>
        <v/>
      </c>
      <c r="AK96" t="str">
        <f t="shared" ca="1" si="48"/>
        <v/>
      </c>
      <c r="AL96" t="str">
        <f t="shared" ca="1" si="48"/>
        <v/>
      </c>
      <c r="AM96" t="str">
        <f t="shared" ca="1" si="48"/>
        <v/>
      </c>
      <c r="AN96" t="str">
        <f t="shared" ca="1" si="48"/>
        <v/>
      </c>
      <c r="AO96" t="str">
        <f t="shared" ca="1" si="48"/>
        <v/>
      </c>
      <c r="AP96" t="str">
        <f t="shared" ca="1" si="48"/>
        <v/>
      </c>
      <c r="AQ96" t="str">
        <f t="shared" ca="1" si="48"/>
        <v/>
      </c>
      <c r="AR96" t="str">
        <f t="shared" ca="1" si="48"/>
        <v/>
      </c>
      <c r="AZ96" t="str">
        <f t="shared" ca="1" si="45"/>
        <v/>
      </c>
      <c r="BA96" t="str">
        <f t="shared" ca="1" si="45"/>
        <v/>
      </c>
      <c r="BB96" t="str">
        <f t="shared" ca="1" si="45"/>
        <v/>
      </c>
    </row>
    <row r="97" spans="1:54" x14ac:dyDescent="0.25">
      <c r="A97">
        <v>94</v>
      </c>
      <c r="B97" s="21"/>
      <c r="C97" t="str">
        <f t="shared" ca="1" si="34"/>
        <v/>
      </c>
      <c r="D97" s="17" t="str">
        <f t="shared" ca="1" si="35"/>
        <v/>
      </c>
      <c r="E97" t="str">
        <f t="shared" ca="1" si="36"/>
        <v/>
      </c>
      <c r="F97" t="str">
        <f t="shared" ca="1" si="41"/>
        <v/>
      </c>
      <c r="G97" t="str">
        <f t="shared" ca="1" si="41"/>
        <v/>
      </c>
      <c r="H97" t="str">
        <f t="shared" ca="1" si="41"/>
        <v/>
      </c>
      <c r="J97" t="str">
        <f t="shared" ca="1" si="46"/>
        <v/>
      </c>
      <c r="K97" t="str">
        <f t="shared" ca="1" si="46"/>
        <v/>
      </c>
      <c r="L97" t="str">
        <f t="shared" ca="1" si="46"/>
        <v/>
      </c>
      <c r="M97" t="str">
        <f t="shared" ca="1" si="46"/>
        <v/>
      </c>
      <c r="N97" t="str">
        <f t="shared" ca="1" si="46"/>
        <v/>
      </c>
      <c r="O97" t="str">
        <f t="shared" ca="1" si="46"/>
        <v/>
      </c>
      <c r="P97" t="str">
        <f t="shared" ca="1" si="46"/>
        <v/>
      </c>
      <c r="Q97" t="str">
        <f t="shared" ca="1" si="46"/>
        <v/>
      </c>
      <c r="R97" t="str">
        <f t="shared" ca="1" si="46"/>
        <v/>
      </c>
      <c r="S97" t="str">
        <f t="shared" ca="1" si="46"/>
        <v/>
      </c>
      <c r="T97" t="str">
        <f t="shared" ca="1" si="46"/>
        <v/>
      </c>
      <c r="U97" s="32" t="str">
        <f t="shared" ca="1" si="46"/>
        <v/>
      </c>
      <c r="V97" t="str">
        <f t="shared" ca="1" si="46"/>
        <v/>
      </c>
      <c r="W97" t="str">
        <f t="shared" ca="1" si="46"/>
        <v/>
      </c>
      <c r="X97" s="17" t="str">
        <f t="shared" ca="1" si="37"/>
        <v/>
      </c>
      <c r="Y97" t="str">
        <f t="shared" ca="1" si="47"/>
        <v/>
      </c>
      <c r="Z97" t="str">
        <f t="shared" ca="1" si="47"/>
        <v/>
      </c>
      <c r="AA97" t="str">
        <f t="shared" ca="1" si="47"/>
        <v/>
      </c>
      <c r="AB97" t="str">
        <f t="shared" ca="1" si="47"/>
        <v/>
      </c>
      <c r="AC97" t="str">
        <f t="shared" ca="1" si="47"/>
        <v/>
      </c>
      <c r="AD97" t="str">
        <f t="shared" ca="1" si="47"/>
        <v/>
      </c>
      <c r="AE97" t="str">
        <f t="shared" ca="1" si="47"/>
        <v/>
      </c>
      <c r="AF97" t="str">
        <f t="shared" ca="1" si="47"/>
        <v/>
      </c>
      <c r="AG97" t="str">
        <f t="shared" ca="1" si="47"/>
        <v/>
      </c>
      <c r="AH97" t="str">
        <f t="shared" ca="1" si="47"/>
        <v/>
      </c>
      <c r="AI97" t="str">
        <f t="shared" ca="1" si="48"/>
        <v/>
      </c>
      <c r="AJ97" t="str">
        <f t="shared" ca="1" si="48"/>
        <v/>
      </c>
      <c r="AK97" t="str">
        <f t="shared" ca="1" si="48"/>
        <v/>
      </c>
      <c r="AL97" t="str">
        <f t="shared" ca="1" si="48"/>
        <v/>
      </c>
      <c r="AM97" t="str">
        <f t="shared" ca="1" si="48"/>
        <v/>
      </c>
      <c r="AN97" t="str">
        <f t="shared" ca="1" si="48"/>
        <v/>
      </c>
      <c r="AO97" t="str">
        <f t="shared" ca="1" si="48"/>
        <v/>
      </c>
      <c r="AP97" t="str">
        <f t="shared" ca="1" si="48"/>
        <v/>
      </c>
      <c r="AQ97" t="str">
        <f t="shared" ca="1" si="48"/>
        <v/>
      </c>
      <c r="AR97" t="str">
        <f t="shared" ca="1" si="48"/>
        <v/>
      </c>
      <c r="AZ97" t="str">
        <f t="shared" ca="1" si="45"/>
        <v/>
      </c>
      <c r="BA97" t="str">
        <f t="shared" ca="1" si="45"/>
        <v/>
      </c>
      <c r="BB97" t="str">
        <f t="shared" ca="1" si="45"/>
        <v/>
      </c>
    </row>
    <row r="98" spans="1:54" x14ac:dyDescent="0.25">
      <c r="A98">
        <v>95</v>
      </c>
      <c r="B98" s="21"/>
      <c r="C98" t="str">
        <f t="shared" ca="1" si="34"/>
        <v/>
      </c>
      <c r="D98" s="17" t="str">
        <f t="shared" ca="1" si="35"/>
        <v/>
      </c>
      <c r="E98" t="str">
        <f t="shared" ca="1" si="36"/>
        <v/>
      </c>
      <c r="F98" t="str">
        <f t="shared" ca="1" si="41"/>
        <v/>
      </c>
      <c r="G98" t="str">
        <f t="shared" ca="1" si="41"/>
        <v/>
      </c>
      <c r="H98" t="str">
        <f t="shared" ca="1" si="41"/>
        <v/>
      </c>
      <c r="J98" t="str">
        <f t="shared" ca="1" si="46"/>
        <v/>
      </c>
      <c r="K98" t="str">
        <f t="shared" ca="1" si="46"/>
        <v/>
      </c>
      <c r="L98" t="str">
        <f t="shared" ca="1" si="46"/>
        <v/>
      </c>
      <c r="M98" t="str">
        <f t="shared" ca="1" si="46"/>
        <v/>
      </c>
      <c r="N98" t="str">
        <f t="shared" ca="1" si="46"/>
        <v/>
      </c>
      <c r="O98" t="str">
        <f t="shared" ca="1" si="46"/>
        <v/>
      </c>
      <c r="P98" t="str">
        <f t="shared" ca="1" si="46"/>
        <v/>
      </c>
      <c r="Q98" t="str">
        <f t="shared" ca="1" si="46"/>
        <v/>
      </c>
      <c r="R98" t="str">
        <f t="shared" ca="1" si="46"/>
        <v/>
      </c>
      <c r="S98" t="str">
        <f t="shared" ca="1" si="46"/>
        <v/>
      </c>
      <c r="T98" t="str">
        <f t="shared" ca="1" si="46"/>
        <v/>
      </c>
      <c r="U98" s="32" t="str">
        <f t="shared" ca="1" si="46"/>
        <v/>
      </c>
      <c r="V98" t="str">
        <f t="shared" ca="1" si="46"/>
        <v/>
      </c>
      <c r="W98" t="str">
        <f t="shared" ca="1" si="46"/>
        <v/>
      </c>
      <c r="X98" s="17" t="str">
        <f t="shared" ca="1" si="37"/>
        <v/>
      </c>
      <c r="Y98" t="str">
        <f t="shared" ca="1" si="47"/>
        <v/>
      </c>
      <c r="Z98" t="str">
        <f t="shared" ca="1" si="47"/>
        <v/>
      </c>
      <c r="AA98" t="str">
        <f t="shared" ca="1" si="47"/>
        <v/>
      </c>
      <c r="AB98" t="str">
        <f t="shared" ca="1" si="47"/>
        <v/>
      </c>
      <c r="AC98" t="str">
        <f t="shared" ca="1" si="47"/>
        <v/>
      </c>
      <c r="AD98" t="str">
        <f t="shared" ca="1" si="47"/>
        <v/>
      </c>
      <c r="AE98" t="str">
        <f t="shared" ca="1" si="47"/>
        <v/>
      </c>
      <c r="AF98" t="str">
        <f t="shared" ca="1" si="47"/>
        <v/>
      </c>
      <c r="AG98" t="str">
        <f t="shared" ca="1" si="47"/>
        <v/>
      </c>
      <c r="AH98" t="str">
        <f t="shared" ca="1" si="47"/>
        <v/>
      </c>
      <c r="AI98" t="str">
        <f t="shared" ca="1" si="48"/>
        <v/>
      </c>
      <c r="AJ98" t="str">
        <f t="shared" ca="1" si="48"/>
        <v/>
      </c>
      <c r="AK98" t="str">
        <f t="shared" ca="1" si="48"/>
        <v/>
      </c>
      <c r="AL98" t="str">
        <f t="shared" ca="1" si="48"/>
        <v/>
      </c>
      <c r="AM98" t="str">
        <f t="shared" ca="1" si="48"/>
        <v/>
      </c>
      <c r="AN98" t="str">
        <f t="shared" ca="1" si="48"/>
        <v/>
      </c>
      <c r="AO98" t="str">
        <f t="shared" ca="1" si="48"/>
        <v/>
      </c>
      <c r="AP98" t="str">
        <f t="shared" ca="1" si="48"/>
        <v/>
      </c>
      <c r="AQ98" t="str">
        <f t="shared" ca="1" si="48"/>
        <v/>
      </c>
      <c r="AR98" t="str">
        <f t="shared" ca="1" si="48"/>
        <v/>
      </c>
      <c r="AZ98" t="str">
        <f t="shared" ca="1" si="45"/>
        <v/>
      </c>
      <c r="BA98" t="str">
        <f t="shared" ca="1" si="45"/>
        <v/>
      </c>
      <c r="BB98" t="str">
        <f t="shared" ca="1" si="45"/>
        <v/>
      </c>
    </row>
    <row r="99" spans="1:54" x14ac:dyDescent="0.25">
      <c r="A99">
        <v>96</v>
      </c>
      <c r="B99" s="21"/>
      <c r="C99" t="str">
        <f t="shared" ca="1" si="34"/>
        <v/>
      </c>
      <c r="D99" s="17" t="str">
        <f t="shared" ca="1" si="35"/>
        <v/>
      </c>
      <c r="E99" t="str">
        <f t="shared" ca="1" si="36"/>
        <v/>
      </c>
      <c r="F99" t="str">
        <f t="shared" ca="1" si="41"/>
        <v/>
      </c>
      <c r="G99" t="str">
        <f t="shared" ca="1" si="41"/>
        <v/>
      </c>
      <c r="H99" t="str">
        <f t="shared" ca="1" si="41"/>
        <v/>
      </c>
      <c r="J99" t="str">
        <f t="shared" ca="1" si="46"/>
        <v/>
      </c>
      <c r="K99" t="str">
        <f t="shared" ca="1" si="46"/>
        <v/>
      </c>
      <c r="L99" t="str">
        <f t="shared" ca="1" si="46"/>
        <v/>
      </c>
      <c r="M99" t="str">
        <f t="shared" ca="1" si="46"/>
        <v/>
      </c>
      <c r="N99" t="str">
        <f t="shared" ca="1" si="46"/>
        <v/>
      </c>
      <c r="O99" t="str">
        <f t="shared" ca="1" si="46"/>
        <v/>
      </c>
      <c r="P99" t="str">
        <f t="shared" ca="1" si="46"/>
        <v/>
      </c>
      <c r="Q99" t="str">
        <f t="shared" ca="1" si="46"/>
        <v/>
      </c>
      <c r="R99" t="str">
        <f t="shared" ca="1" si="46"/>
        <v/>
      </c>
      <c r="S99" t="str">
        <f t="shared" ca="1" si="46"/>
        <v/>
      </c>
      <c r="T99" t="str">
        <f t="shared" ca="1" si="46"/>
        <v/>
      </c>
      <c r="U99" s="32" t="str">
        <f t="shared" ca="1" si="46"/>
        <v/>
      </c>
      <c r="V99" t="str">
        <f t="shared" ca="1" si="46"/>
        <v/>
      </c>
      <c r="W99" t="str">
        <f t="shared" ca="1" si="46"/>
        <v/>
      </c>
      <c r="X99" s="17" t="str">
        <f t="shared" ca="1" si="37"/>
        <v/>
      </c>
      <c r="Y99" t="str">
        <f t="shared" ca="1" si="47"/>
        <v/>
      </c>
      <c r="Z99" t="str">
        <f t="shared" ca="1" si="47"/>
        <v/>
      </c>
      <c r="AA99" t="str">
        <f t="shared" ca="1" si="47"/>
        <v/>
      </c>
      <c r="AB99" t="str">
        <f t="shared" ca="1" si="47"/>
        <v/>
      </c>
      <c r="AC99" t="str">
        <f t="shared" ca="1" si="47"/>
        <v/>
      </c>
      <c r="AD99" t="str">
        <f t="shared" ca="1" si="47"/>
        <v/>
      </c>
      <c r="AE99" t="str">
        <f t="shared" ca="1" si="47"/>
        <v/>
      </c>
      <c r="AF99" t="str">
        <f t="shared" ca="1" si="47"/>
        <v/>
      </c>
      <c r="AG99" t="str">
        <f t="shared" ca="1" si="47"/>
        <v/>
      </c>
      <c r="AH99" t="str">
        <f t="shared" ca="1" si="47"/>
        <v/>
      </c>
      <c r="AI99" t="str">
        <f t="shared" ca="1" si="48"/>
        <v/>
      </c>
      <c r="AJ99" t="str">
        <f t="shared" ca="1" si="48"/>
        <v/>
      </c>
      <c r="AK99" t="str">
        <f t="shared" ca="1" si="48"/>
        <v/>
      </c>
      <c r="AL99" t="str">
        <f t="shared" ca="1" si="48"/>
        <v/>
      </c>
      <c r="AM99" t="str">
        <f t="shared" ca="1" si="48"/>
        <v/>
      </c>
      <c r="AN99" t="str">
        <f t="shared" ca="1" si="48"/>
        <v/>
      </c>
      <c r="AO99" t="str">
        <f t="shared" ca="1" si="48"/>
        <v/>
      </c>
      <c r="AP99" t="str">
        <f t="shared" ca="1" si="48"/>
        <v/>
      </c>
      <c r="AQ99" t="str">
        <f t="shared" ca="1" si="48"/>
        <v/>
      </c>
      <c r="AR99" t="str">
        <f t="shared" ca="1" si="48"/>
        <v/>
      </c>
      <c r="AZ99" t="str">
        <f t="shared" ca="1" si="45"/>
        <v/>
      </c>
      <c r="BA99" t="str">
        <f t="shared" ca="1" si="45"/>
        <v/>
      </c>
      <c r="BB99" t="str">
        <f t="shared" ca="1" si="45"/>
        <v/>
      </c>
    </row>
    <row r="100" spans="1:54" x14ac:dyDescent="0.25">
      <c r="A100">
        <v>97</v>
      </c>
      <c r="B100" s="21"/>
      <c r="C100" t="str">
        <f t="shared" ref="C100:C123" ca="1" si="49">IFERROR(HLOOKUP(C$3, OFFSET(JSONstart,2*$A100-2,0,2,75), 2,FALSE),   "")</f>
        <v/>
      </c>
      <c r="D100" s="17" t="str">
        <f t="shared" ca="1" si="35"/>
        <v/>
      </c>
      <c r="E100" t="str">
        <f t="shared" ca="1" si="36"/>
        <v/>
      </c>
      <c r="F100" t="str">
        <f t="shared" ca="1" si="41"/>
        <v/>
      </c>
      <c r="G100" t="str">
        <f t="shared" ca="1" si="41"/>
        <v/>
      </c>
      <c r="H100" t="str">
        <f t="shared" ca="1" si="41"/>
        <v/>
      </c>
      <c r="J100" t="str">
        <f t="shared" ca="1" si="46"/>
        <v/>
      </c>
      <c r="K100" t="str">
        <f t="shared" ca="1" si="46"/>
        <v/>
      </c>
      <c r="L100" t="str">
        <f t="shared" ca="1" si="46"/>
        <v/>
      </c>
      <c r="M100" t="str">
        <f t="shared" ca="1" si="46"/>
        <v/>
      </c>
      <c r="N100" t="str">
        <f t="shared" ca="1" si="46"/>
        <v/>
      </c>
      <c r="O100" t="str">
        <f t="shared" ca="1" si="46"/>
        <v/>
      </c>
      <c r="P100" t="str">
        <f t="shared" ca="1" si="46"/>
        <v/>
      </c>
      <c r="Q100" t="str">
        <f t="shared" ca="1" si="46"/>
        <v/>
      </c>
      <c r="R100" t="str">
        <f t="shared" ca="1" si="46"/>
        <v/>
      </c>
      <c r="S100" t="str">
        <f t="shared" ca="1" si="46"/>
        <v/>
      </c>
      <c r="T100" t="str">
        <f t="shared" ca="1" si="46"/>
        <v/>
      </c>
      <c r="U100" s="32" t="str">
        <f t="shared" ca="1" si="46"/>
        <v/>
      </c>
      <c r="V100" t="str">
        <f t="shared" ca="1" si="46"/>
        <v/>
      </c>
      <c r="W100" t="str">
        <f t="shared" ca="1" si="46"/>
        <v/>
      </c>
      <c r="X100" s="17" t="str">
        <f t="shared" ca="1" si="37"/>
        <v/>
      </c>
      <c r="Y100" t="str">
        <f t="shared" ca="1" si="47"/>
        <v/>
      </c>
      <c r="Z100" t="str">
        <f t="shared" ca="1" si="47"/>
        <v/>
      </c>
      <c r="AA100" t="str">
        <f t="shared" ca="1" si="47"/>
        <v/>
      </c>
      <c r="AB100" t="str">
        <f t="shared" ca="1" si="47"/>
        <v/>
      </c>
      <c r="AC100" t="str">
        <f t="shared" ca="1" si="47"/>
        <v/>
      </c>
      <c r="AD100" t="str">
        <f t="shared" ca="1" si="47"/>
        <v/>
      </c>
      <c r="AE100" t="str">
        <f t="shared" ca="1" si="47"/>
        <v/>
      </c>
      <c r="AF100" t="str">
        <f t="shared" ca="1" si="47"/>
        <v/>
      </c>
      <c r="AG100" t="str">
        <f t="shared" ca="1" si="47"/>
        <v/>
      </c>
      <c r="AH100" t="str">
        <f t="shared" ca="1" si="47"/>
        <v/>
      </c>
      <c r="AI100" t="str">
        <f t="shared" ca="1" si="48"/>
        <v/>
      </c>
      <c r="AJ100" t="str">
        <f t="shared" ca="1" si="48"/>
        <v/>
      </c>
      <c r="AK100" t="str">
        <f t="shared" ca="1" si="48"/>
        <v/>
      </c>
      <c r="AL100" t="str">
        <f t="shared" ca="1" si="48"/>
        <v/>
      </c>
      <c r="AM100" t="str">
        <f t="shared" ca="1" si="48"/>
        <v/>
      </c>
      <c r="AN100" t="str">
        <f t="shared" ca="1" si="48"/>
        <v/>
      </c>
      <c r="AO100" t="str">
        <f t="shared" ca="1" si="48"/>
        <v/>
      </c>
      <c r="AP100" t="str">
        <f t="shared" ca="1" si="48"/>
        <v/>
      </c>
      <c r="AQ100" t="str">
        <f t="shared" ca="1" si="48"/>
        <v/>
      </c>
      <c r="AR100" t="str">
        <f t="shared" ca="1" si="48"/>
        <v/>
      </c>
      <c r="AZ100" t="str">
        <f t="shared" ca="1" si="45"/>
        <v/>
      </c>
      <c r="BA100" t="str">
        <f t="shared" ca="1" si="45"/>
        <v/>
      </c>
      <c r="BB100" t="str">
        <f t="shared" ca="1" si="45"/>
        <v/>
      </c>
    </row>
    <row r="101" spans="1:54" x14ac:dyDescent="0.25">
      <c r="A101">
        <v>98</v>
      </c>
      <c r="B101" s="21"/>
      <c r="C101" t="str">
        <f t="shared" ca="1" si="49"/>
        <v/>
      </c>
      <c r="D101" s="17" t="str">
        <f t="shared" ca="1" si="35"/>
        <v/>
      </c>
      <c r="E101" t="str">
        <f t="shared" ca="1" si="36"/>
        <v/>
      </c>
      <c r="F101" t="str">
        <f t="shared" ca="1" si="41"/>
        <v/>
      </c>
      <c r="G101" t="str">
        <f t="shared" ca="1" si="41"/>
        <v/>
      </c>
      <c r="H101" t="str">
        <f t="shared" ca="1" si="41"/>
        <v/>
      </c>
      <c r="J101" t="str">
        <f t="shared" ca="1" si="46"/>
        <v/>
      </c>
      <c r="K101" t="str">
        <f t="shared" ca="1" si="46"/>
        <v/>
      </c>
      <c r="L101" t="str">
        <f t="shared" ca="1" si="46"/>
        <v/>
      </c>
      <c r="M101" t="str">
        <f t="shared" ca="1" si="46"/>
        <v/>
      </c>
      <c r="N101" t="str">
        <f t="shared" ca="1" si="46"/>
        <v/>
      </c>
      <c r="O101" t="str">
        <f t="shared" ca="1" si="46"/>
        <v/>
      </c>
      <c r="P101" t="str">
        <f t="shared" ca="1" si="46"/>
        <v/>
      </c>
      <c r="Q101" t="str">
        <f t="shared" ca="1" si="46"/>
        <v/>
      </c>
      <c r="R101" t="str">
        <f t="shared" ca="1" si="46"/>
        <v/>
      </c>
      <c r="S101" t="str">
        <f t="shared" ca="1" si="46"/>
        <v/>
      </c>
      <c r="T101" t="str">
        <f t="shared" ca="1" si="46"/>
        <v/>
      </c>
      <c r="U101" s="32" t="str">
        <f t="shared" ca="1" si="46"/>
        <v/>
      </c>
      <c r="V101" t="str">
        <f t="shared" ca="1" si="46"/>
        <v/>
      </c>
      <c r="W101" t="str">
        <f t="shared" ca="1" si="46"/>
        <v/>
      </c>
      <c r="X101" s="17" t="str">
        <f t="shared" ca="1" si="37"/>
        <v/>
      </c>
      <c r="Y101" t="str">
        <f t="shared" ca="1" si="47"/>
        <v/>
      </c>
      <c r="Z101" t="str">
        <f t="shared" ca="1" si="47"/>
        <v/>
      </c>
      <c r="AA101" t="str">
        <f t="shared" ca="1" si="47"/>
        <v/>
      </c>
      <c r="AB101" t="str">
        <f t="shared" ca="1" si="47"/>
        <v/>
      </c>
      <c r="AC101" t="str">
        <f t="shared" ca="1" si="47"/>
        <v/>
      </c>
      <c r="AD101" t="str">
        <f t="shared" ca="1" si="47"/>
        <v/>
      </c>
      <c r="AE101" t="str">
        <f t="shared" ca="1" si="47"/>
        <v/>
      </c>
      <c r="AF101" t="str">
        <f t="shared" ca="1" si="47"/>
        <v/>
      </c>
      <c r="AG101" t="str">
        <f t="shared" ca="1" si="47"/>
        <v/>
      </c>
      <c r="AH101" t="str">
        <f t="shared" ca="1" si="47"/>
        <v/>
      </c>
      <c r="AI101" t="str">
        <f t="shared" ca="1" si="48"/>
        <v/>
      </c>
      <c r="AJ101" t="str">
        <f t="shared" ca="1" si="48"/>
        <v/>
      </c>
      <c r="AK101" t="str">
        <f t="shared" ca="1" si="48"/>
        <v/>
      </c>
      <c r="AL101" t="str">
        <f t="shared" ca="1" si="48"/>
        <v/>
      </c>
      <c r="AM101" t="str">
        <f t="shared" ca="1" si="48"/>
        <v/>
      </c>
      <c r="AN101" t="str">
        <f t="shared" ca="1" si="48"/>
        <v/>
      </c>
      <c r="AO101" t="str">
        <f t="shared" ca="1" si="48"/>
        <v/>
      </c>
      <c r="AP101" t="str">
        <f t="shared" ca="1" si="48"/>
        <v/>
      </c>
      <c r="AQ101" t="str">
        <f t="shared" ca="1" si="48"/>
        <v/>
      </c>
      <c r="AR101" t="str">
        <f t="shared" ca="1" si="48"/>
        <v/>
      </c>
      <c r="AZ101" t="str">
        <f t="shared" ca="1" si="45"/>
        <v/>
      </c>
      <c r="BA101" t="str">
        <f t="shared" ca="1" si="45"/>
        <v/>
      </c>
      <c r="BB101" t="str">
        <f t="shared" ca="1" si="45"/>
        <v/>
      </c>
    </row>
    <row r="102" spans="1:54" x14ac:dyDescent="0.25">
      <c r="A102">
        <v>99</v>
      </c>
      <c r="B102" s="21"/>
      <c r="C102" t="str">
        <f t="shared" ca="1" si="49"/>
        <v/>
      </c>
      <c r="D102" s="17" t="str">
        <f t="shared" ca="1" si="35"/>
        <v/>
      </c>
      <c r="E102" t="str">
        <f t="shared" ca="1" si="36"/>
        <v/>
      </c>
      <c r="F102" t="str">
        <f t="shared" ca="1" si="41"/>
        <v/>
      </c>
      <c r="G102" t="str">
        <f t="shared" ca="1" si="41"/>
        <v/>
      </c>
      <c r="H102" t="str">
        <f t="shared" ca="1" si="41"/>
        <v/>
      </c>
      <c r="J102" t="str">
        <f t="shared" ca="1" si="46"/>
        <v/>
      </c>
      <c r="K102" t="str">
        <f t="shared" ca="1" si="46"/>
        <v/>
      </c>
      <c r="L102" t="str">
        <f t="shared" ca="1" si="46"/>
        <v/>
      </c>
      <c r="M102" t="str">
        <f t="shared" ca="1" si="46"/>
        <v/>
      </c>
      <c r="N102" t="str">
        <f t="shared" ca="1" si="46"/>
        <v/>
      </c>
      <c r="O102" t="str">
        <f t="shared" ca="1" si="46"/>
        <v/>
      </c>
      <c r="P102" t="str">
        <f t="shared" ca="1" si="46"/>
        <v/>
      </c>
      <c r="Q102" t="str">
        <f t="shared" ca="1" si="46"/>
        <v/>
      </c>
      <c r="R102" t="str">
        <f t="shared" ca="1" si="46"/>
        <v/>
      </c>
      <c r="S102" t="str">
        <f t="shared" ca="1" si="46"/>
        <v/>
      </c>
      <c r="T102" t="str">
        <f t="shared" ca="1" si="46"/>
        <v/>
      </c>
      <c r="U102" s="32" t="str">
        <f t="shared" ca="1" si="46"/>
        <v/>
      </c>
      <c r="V102" t="str">
        <f t="shared" ca="1" si="46"/>
        <v/>
      </c>
      <c r="W102" t="str">
        <f t="shared" ca="1" si="46"/>
        <v/>
      </c>
      <c r="X102" s="17" t="str">
        <f t="shared" ca="1" si="37"/>
        <v/>
      </c>
      <c r="Y102" t="str">
        <f t="shared" ca="1" si="47"/>
        <v/>
      </c>
      <c r="Z102" t="str">
        <f t="shared" ca="1" si="47"/>
        <v/>
      </c>
      <c r="AA102" t="str">
        <f t="shared" ca="1" si="47"/>
        <v/>
      </c>
      <c r="AB102" t="str">
        <f t="shared" ca="1" si="47"/>
        <v/>
      </c>
      <c r="AC102" t="str">
        <f t="shared" ca="1" si="47"/>
        <v/>
      </c>
      <c r="AD102" t="str">
        <f t="shared" ca="1" si="47"/>
        <v/>
      </c>
      <c r="AE102" t="str">
        <f t="shared" ca="1" si="47"/>
        <v/>
      </c>
      <c r="AF102" t="str">
        <f t="shared" ca="1" si="47"/>
        <v/>
      </c>
      <c r="AG102" t="str">
        <f t="shared" ca="1" si="47"/>
        <v/>
      </c>
      <c r="AH102" t="str">
        <f t="shared" ca="1" si="47"/>
        <v/>
      </c>
      <c r="AI102" t="str">
        <f t="shared" ca="1" si="48"/>
        <v/>
      </c>
      <c r="AJ102" t="str">
        <f t="shared" ca="1" si="48"/>
        <v/>
      </c>
      <c r="AK102" t="str">
        <f t="shared" ca="1" si="48"/>
        <v/>
      </c>
      <c r="AL102" t="str">
        <f t="shared" ca="1" si="48"/>
        <v/>
      </c>
      <c r="AM102" t="str">
        <f t="shared" ca="1" si="48"/>
        <v/>
      </c>
      <c r="AN102" t="str">
        <f t="shared" ca="1" si="48"/>
        <v/>
      </c>
      <c r="AO102" t="str">
        <f t="shared" ca="1" si="48"/>
        <v/>
      </c>
      <c r="AP102" t="str">
        <f t="shared" ca="1" si="48"/>
        <v/>
      </c>
      <c r="AQ102" t="str">
        <f t="shared" ca="1" si="48"/>
        <v/>
      </c>
      <c r="AR102" t="str">
        <f t="shared" ca="1" si="48"/>
        <v/>
      </c>
      <c r="AZ102" t="str">
        <f t="shared" ca="1" si="45"/>
        <v/>
      </c>
      <c r="BA102" t="str">
        <f t="shared" ca="1" si="45"/>
        <v/>
      </c>
      <c r="BB102" t="str">
        <f t="shared" ca="1" si="45"/>
        <v/>
      </c>
    </row>
    <row r="103" spans="1:54" x14ac:dyDescent="0.25">
      <c r="A103">
        <v>100</v>
      </c>
      <c r="B103" s="21"/>
      <c r="C103" t="str">
        <f t="shared" ca="1" si="49"/>
        <v/>
      </c>
      <c r="D103" s="17" t="str">
        <f t="shared" ca="1" si="35"/>
        <v/>
      </c>
      <c r="E103" t="str">
        <f t="shared" ca="1" si="36"/>
        <v/>
      </c>
      <c r="F103" t="str">
        <f t="shared" ca="1" si="41"/>
        <v/>
      </c>
      <c r="G103" t="str">
        <f t="shared" ca="1" si="41"/>
        <v/>
      </c>
      <c r="H103" t="str">
        <f t="shared" ca="1" si="41"/>
        <v/>
      </c>
      <c r="J103" t="str">
        <f t="shared" ca="1" si="46"/>
        <v/>
      </c>
      <c r="K103" t="str">
        <f t="shared" ca="1" si="46"/>
        <v/>
      </c>
      <c r="L103" t="str">
        <f t="shared" ca="1" si="46"/>
        <v/>
      </c>
      <c r="M103" t="str">
        <f t="shared" ca="1" si="46"/>
        <v/>
      </c>
      <c r="N103" t="str">
        <f t="shared" ca="1" si="46"/>
        <v/>
      </c>
      <c r="O103" t="str">
        <f t="shared" ca="1" si="46"/>
        <v/>
      </c>
      <c r="P103" t="str">
        <f t="shared" ca="1" si="46"/>
        <v/>
      </c>
      <c r="Q103" t="str">
        <f t="shared" ca="1" si="46"/>
        <v/>
      </c>
      <c r="R103" t="str">
        <f t="shared" ca="1" si="46"/>
        <v/>
      </c>
      <c r="S103" t="str">
        <f t="shared" ca="1" si="46"/>
        <v/>
      </c>
      <c r="T103" t="str">
        <f t="shared" ca="1" si="46"/>
        <v/>
      </c>
      <c r="U103" s="32" t="str">
        <f t="shared" ca="1" si="46"/>
        <v/>
      </c>
      <c r="V103" t="str">
        <f t="shared" ca="1" si="46"/>
        <v/>
      </c>
      <c r="W103" t="str">
        <f t="shared" ca="1" si="46"/>
        <v/>
      </c>
      <c r="X103" s="17" t="str">
        <f t="shared" ca="1" si="37"/>
        <v/>
      </c>
      <c r="Y103" t="str">
        <f t="shared" ca="1" si="47"/>
        <v/>
      </c>
      <c r="Z103" t="str">
        <f t="shared" ca="1" si="47"/>
        <v/>
      </c>
      <c r="AA103" t="str">
        <f t="shared" ca="1" si="47"/>
        <v/>
      </c>
      <c r="AB103" t="str">
        <f t="shared" ca="1" si="47"/>
        <v/>
      </c>
      <c r="AC103" t="str">
        <f t="shared" ca="1" si="47"/>
        <v/>
      </c>
      <c r="AD103" t="str">
        <f t="shared" ca="1" si="47"/>
        <v/>
      </c>
      <c r="AE103" t="str">
        <f t="shared" ca="1" si="47"/>
        <v/>
      </c>
      <c r="AF103" t="str">
        <f t="shared" ca="1" si="47"/>
        <v/>
      </c>
      <c r="AG103" t="str">
        <f t="shared" ca="1" si="47"/>
        <v/>
      </c>
      <c r="AH103" t="str">
        <f t="shared" ca="1" si="47"/>
        <v/>
      </c>
      <c r="AI103" t="str">
        <f t="shared" ca="1" si="48"/>
        <v/>
      </c>
      <c r="AJ103" t="str">
        <f t="shared" ca="1" si="48"/>
        <v/>
      </c>
      <c r="AK103" t="str">
        <f t="shared" ca="1" si="48"/>
        <v/>
      </c>
      <c r="AL103" t="str">
        <f t="shared" ca="1" si="48"/>
        <v/>
      </c>
      <c r="AM103" t="str">
        <f t="shared" ca="1" si="48"/>
        <v/>
      </c>
      <c r="AN103" t="str">
        <f t="shared" ca="1" si="48"/>
        <v/>
      </c>
      <c r="AO103" t="str">
        <f t="shared" ca="1" si="48"/>
        <v/>
      </c>
      <c r="AP103" t="str">
        <f t="shared" ca="1" si="48"/>
        <v/>
      </c>
      <c r="AQ103" t="str">
        <f t="shared" ca="1" si="48"/>
        <v/>
      </c>
      <c r="AR103" t="str">
        <f t="shared" ca="1" si="48"/>
        <v/>
      </c>
      <c r="AZ103" t="str">
        <f t="shared" ca="1" si="45"/>
        <v/>
      </c>
      <c r="BA103" t="str">
        <f t="shared" ca="1" si="45"/>
        <v/>
      </c>
      <c r="BB103" t="str">
        <f t="shared" ca="1" si="45"/>
        <v/>
      </c>
    </row>
    <row r="104" spans="1:54" x14ac:dyDescent="0.25">
      <c r="A104">
        <v>101</v>
      </c>
      <c r="B104" s="21"/>
      <c r="C104" t="str">
        <f t="shared" ca="1" si="49"/>
        <v/>
      </c>
      <c r="D104" s="17" t="str">
        <f t="shared" ca="1" si="35"/>
        <v/>
      </c>
      <c r="E104" t="str">
        <f t="shared" ca="1" si="36"/>
        <v/>
      </c>
      <c r="F104" t="str">
        <f t="shared" ref="F104:H123" ca="1" si="50">IFERROR(HLOOKUP(F$3, OFFSET(JSONstart,2*$A104-2,0,2,75), 2,FALSE),  "")</f>
        <v/>
      </c>
      <c r="G104" t="str">
        <f t="shared" ca="1" si="50"/>
        <v/>
      </c>
      <c r="H104" t="str">
        <f t="shared" ca="1" si="50"/>
        <v/>
      </c>
      <c r="J104" t="str">
        <f t="shared" ref="J104:W113" ca="1" si="51">IFERROR(HLOOKUP(J$3, OFFSET(JSONstart,2*$A104-2,0,2,75), 2,FALSE),  "")</f>
        <v/>
      </c>
      <c r="K104" t="str">
        <f t="shared" ca="1" si="51"/>
        <v/>
      </c>
      <c r="L104" t="str">
        <f t="shared" ca="1" si="51"/>
        <v/>
      </c>
      <c r="M104" t="str">
        <f t="shared" ca="1" si="51"/>
        <v/>
      </c>
      <c r="N104" t="str">
        <f t="shared" ca="1" si="51"/>
        <v/>
      </c>
      <c r="O104" t="str">
        <f t="shared" ca="1" si="51"/>
        <v/>
      </c>
      <c r="P104" t="str">
        <f t="shared" ca="1" si="51"/>
        <v/>
      </c>
      <c r="Q104" t="str">
        <f t="shared" ca="1" si="51"/>
        <v/>
      </c>
      <c r="R104" t="str">
        <f t="shared" ca="1" si="51"/>
        <v/>
      </c>
      <c r="S104" t="str">
        <f t="shared" ca="1" si="51"/>
        <v/>
      </c>
      <c r="T104" t="str">
        <f t="shared" ca="1" si="51"/>
        <v/>
      </c>
      <c r="U104" s="32" t="str">
        <f t="shared" ca="1" si="51"/>
        <v/>
      </c>
      <c r="V104" t="str">
        <f t="shared" ca="1" si="51"/>
        <v/>
      </c>
      <c r="W104" t="str">
        <f t="shared" ca="1" si="51"/>
        <v/>
      </c>
      <c r="X104" s="17" t="str">
        <f t="shared" ca="1" si="37"/>
        <v/>
      </c>
      <c r="Y104" t="str">
        <f t="shared" ref="Y104:AH113" ca="1" si="52">IFERROR(HLOOKUP(Y$3, OFFSET(JSONstart,2*$A104-2,0,2,75), 2,FALSE),   "")</f>
        <v/>
      </c>
      <c r="Z104" t="str">
        <f t="shared" ca="1" si="52"/>
        <v/>
      </c>
      <c r="AA104" t="str">
        <f t="shared" ca="1" si="52"/>
        <v/>
      </c>
      <c r="AB104" t="str">
        <f t="shared" ca="1" si="52"/>
        <v/>
      </c>
      <c r="AC104" t="str">
        <f t="shared" ca="1" si="52"/>
        <v/>
      </c>
      <c r="AD104" t="str">
        <f t="shared" ca="1" si="52"/>
        <v/>
      </c>
      <c r="AE104" t="str">
        <f t="shared" ca="1" si="52"/>
        <v/>
      </c>
      <c r="AF104" t="str">
        <f t="shared" ca="1" si="52"/>
        <v/>
      </c>
      <c r="AG104" t="str">
        <f t="shared" ca="1" si="52"/>
        <v/>
      </c>
      <c r="AH104" t="str">
        <f t="shared" ca="1" si="52"/>
        <v/>
      </c>
      <c r="AI104" t="str">
        <f t="shared" ref="AI104:AR113" ca="1" si="53">IFERROR(HLOOKUP(AI$3, OFFSET(JSONstart,2*$A104-2,0,2,75), 2,FALSE),   "")</f>
        <v/>
      </c>
      <c r="AJ104" t="str">
        <f t="shared" ca="1" si="53"/>
        <v/>
      </c>
      <c r="AK104" t="str">
        <f t="shared" ca="1" si="53"/>
        <v/>
      </c>
      <c r="AL104" t="str">
        <f t="shared" ca="1" si="53"/>
        <v/>
      </c>
      <c r="AM104" t="str">
        <f t="shared" ca="1" si="53"/>
        <v/>
      </c>
      <c r="AN104" t="str">
        <f t="shared" ca="1" si="53"/>
        <v/>
      </c>
      <c r="AO104" t="str">
        <f t="shared" ca="1" si="53"/>
        <v/>
      </c>
      <c r="AP104" t="str">
        <f t="shared" ca="1" si="53"/>
        <v/>
      </c>
      <c r="AQ104" t="str">
        <f t="shared" ca="1" si="53"/>
        <v/>
      </c>
      <c r="AR104" t="str">
        <f t="shared" ca="1" si="53"/>
        <v/>
      </c>
      <c r="AZ104" t="str">
        <f t="shared" ref="AZ104:BB123" ca="1" si="54">IFERROR(HLOOKUP(AZ$3, OFFSET(JSONstart,2*$A104-2,0,2,70), 2,FALSE),  "")</f>
        <v/>
      </c>
      <c r="BA104" t="str">
        <f t="shared" ca="1" si="54"/>
        <v/>
      </c>
      <c r="BB104" t="str">
        <f t="shared" ca="1" si="54"/>
        <v/>
      </c>
    </row>
    <row r="105" spans="1:54" x14ac:dyDescent="0.25">
      <c r="A105">
        <v>102</v>
      </c>
      <c r="B105" s="21"/>
      <c r="C105" t="str">
        <f t="shared" ca="1" si="49"/>
        <v/>
      </c>
      <c r="D105" s="17" t="str">
        <f t="shared" ca="1" si="35"/>
        <v/>
      </c>
      <c r="E105" t="str">
        <f t="shared" ca="1" si="36"/>
        <v/>
      </c>
      <c r="F105" t="str">
        <f t="shared" ca="1" si="50"/>
        <v/>
      </c>
      <c r="G105" t="str">
        <f t="shared" ca="1" si="50"/>
        <v/>
      </c>
      <c r="H105" t="str">
        <f t="shared" ca="1" si="50"/>
        <v/>
      </c>
      <c r="J105" t="str">
        <f t="shared" ca="1" si="51"/>
        <v/>
      </c>
      <c r="K105" t="str">
        <f t="shared" ca="1" si="51"/>
        <v/>
      </c>
      <c r="L105" t="str">
        <f t="shared" ca="1" si="51"/>
        <v/>
      </c>
      <c r="M105" t="str">
        <f t="shared" ca="1" si="51"/>
        <v/>
      </c>
      <c r="N105" t="str">
        <f t="shared" ca="1" si="51"/>
        <v/>
      </c>
      <c r="O105" t="str">
        <f t="shared" ca="1" si="51"/>
        <v/>
      </c>
      <c r="P105" t="str">
        <f t="shared" ca="1" si="51"/>
        <v/>
      </c>
      <c r="Q105" t="str">
        <f t="shared" ca="1" si="51"/>
        <v/>
      </c>
      <c r="R105" t="str">
        <f t="shared" ca="1" si="51"/>
        <v/>
      </c>
      <c r="S105" t="str">
        <f t="shared" ca="1" si="51"/>
        <v/>
      </c>
      <c r="T105" t="str">
        <f t="shared" ca="1" si="51"/>
        <v/>
      </c>
      <c r="U105" s="32" t="str">
        <f t="shared" ca="1" si="51"/>
        <v/>
      </c>
      <c r="V105" t="str">
        <f t="shared" ca="1" si="51"/>
        <v/>
      </c>
      <c r="W105" t="str">
        <f t="shared" ca="1" si="51"/>
        <v/>
      </c>
      <c r="X105" s="17" t="str">
        <f t="shared" ca="1" si="37"/>
        <v/>
      </c>
      <c r="Y105" t="str">
        <f t="shared" ca="1" si="52"/>
        <v/>
      </c>
      <c r="Z105" t="str">
        <f t="shared" ca="1" si="52"/>
        <v/>
      </c>
      <c r="AA105" t="str">
        <f t="shared" ca="1" si="52"/>
        <v/>
      </c>
      <c r="AB105" t="str">
        <f t="shared" ca="1" si="52"/>
        <v/>
      </c>
      <c r="AC105" t="str">
        <f t="shared" ca="1" si="52"/>
        <v/>
      </c>
      <c r="AD105" t="str">
        <f t="shared" ca="1" si="52"/>
        <v/>
      </c>
      <c r="AE105" t="str">
        <f t="shared" ca="1" si="52"/>
        <v/>
      </c>
      <c r="AF105" t="str">
        <f t="shared" ca="1" si="52"/>
        <v/>
      </c>
      <c r="AG105" t="str">
        <f t="shared" ca="1" si="52"/>
        <v/>
      </c>
      <c r="AH105" t="str">
        <f t="shared" ca="1" si="52"/>
        <v/>
      </c>
      <c r="AI105" t="str">
        <f t="shared" ca="1" si="53"/>
        <v/>
      </c>
      <c r="AJ105" t="str">
        <f t="shared" ca="1" si="53"/>
        <v/>
      </c>
      <c r="AK105" t="str">
        <f t="shared" ca="1" si="53"/>
        <v/>
      </c>
      <c r="AL105" t="str">
        <f t="shared" ca="1" si="53"/>
        <v/>
      </c>
      <c r="AM105" t="str">
        <f t="shared" ca="1" si="53"/>
        <v/>
      </c>
      <c r="AN105" t="str">
        <f t="shared" ca="1" si="53"/>
        <v/>
      </c>
      <c r="AO105" t="str">
        <f t="shared" ca="1" si="53"/>
        <v/>
      </c>
      <c r="AP105" t="str">
        <f t="shared" ca="1" si="53"/>
        <v/>
      </c>
      <c r="AQ105" t="str">
        <f t="shared" ca="1" si="53"/>
        <v/>
      </c>
      <c r="AR105" t="str">
        <f t="shared" ca="1" si="53"/>
        <v/>
      </c>
      <c r="AZ105" t="str">
        <f t="shared" ca="1" si="54"/>
        <v/>
      </c>
      <c r="BA105" t="str">
        <f t="shared" ca="1" si="54"/>
        <v/>
      </c>
      <c r="BB105" t="str">
        <f t="shared" ca="1" si="54"/>
        <v/>
      </c>
    </row>
    <row r="106" spans="1:54" x14ac:dyDescent="0.25">
      <c r="A106">
        <v>103</v>
      </c>
      <c r="B106" s="21"/>
      <c r="C106" t="str">
        <f t="shared" ca="1" si="49"/>
        <v/>
      </c>
      <c r="D106" s="17" t="str">
        <f t="shared" ca="1" si="35"/>
        <v/>
      </c>
      <c r="E106" t="str">
        <f t="shared" ca="1" si="36"/>
        <v/>
      </c>
      <c r="F106" t="str">
        <f t="shared" ca="1" si="50"/>
        <v/>
      </c>
      <c r="G106" t="str">
        <f t="shared" ca="1" si="50"/>
        <v/>
      </c>
      <c r="H106" t="str">
        <f t="shared" ca="1" si="50"/>
        <v/>
      </c>
      <c r="J106" t="str">
        <f t="shared" ca="1" si="51"/>
        <v/>
      </c>
      <c r="K106" t="str">
        <f t="shared" ca="1" si="51"/>
        <v/>
      </c>
      <c r="L106" t="str">
        <f t="shared" ca="1" si="51"/>
        <v/>
      </c>
      <c r="M106" t="str">
        <f t="shared" ca="1" si="51"/>
        <v/>
      </c>
      <c r="N106" t="str">
        <f t="shared" ca="1" si="51"/>
        <v/>
      </c>
      <c r="O106" t="str">
        <f t="shared" ca="1" si="51"/>
        <v/>
      </c>
      <c r="P106" t="str">
        <f t="shared" ca="1" si="51"/>
        <v/>
      </c>
      <c r="Q106" t="str">
        <f t="shared" ca="1" si="51"/>
        <v/>
      </c>
      <c r="R106" t="str">
        <f t="shared" ca="1" si="51"/>
        <v/>
      </c>
      <c r="S106" t="str">
        <f t="shared" ca="1" si="51"/>
        <v/>
      </c>
      <c r="T106" t="str">
        <f t="shared" ca="1" si="51"/>
        <v/>
      </c>
      <c r="U106" s="32" t="str">
        <f t="shared" ca="1" si="51"/>
        <v/>
      </c>
      <c r="V106" t="str">
        <f t="shared" ca="1" si="51"/>
        <v/>
      </c>
      <c r="W106" t="str">
        <f t="shared" ca="1" si="51"/>
        <v/>
      </c>
      <c r="X106" s="17" t="str">
        <f t="shared" ca="1" si="37"/>
        <v/>
      </c>
      <c r="Y106" t="str">
        <f t="shared" ca="1" si="52"/>
        <v/>
      </c>
      <c r="Z106" t="str">
        <f t="shared" ca="1" si="52"/>
        <v/>
      </c>
      <c r="AA106" t="str">
        <f t="shared" ca="1" si="52"/>
        <v/>
      </c>
      <c r="AB106" t="str">
        <f t="shared" ca="1" si="52"/>
        <v/>
      </c>
      <c r="AC106" t="str">
        <f t="shared" ca="1" si="52"/>
        <v/>
      </c>
      <c r="AD106" t="str">
        <f t="shared" ca="1" si="52"/>
        <v/>
      </c>
      <c r="AE106" t="str">
        <f t="shared" ca="1" si="52"/>
        <v/>
      </c>
      <c r="AF106" t="str">
        <f t="shared" ca="1" si="52"/>
        <v/>
      </c>
      <c r="AG106" t="str">
        <f t="shared" ca="1" si="52"/>
        <v/>
      </c>
      <c r="AH106" t="str">
        <f t="shared" ca="1" si="52"/>
        <v/>
      </c>
      <c r="AI106" t="str">
        <f t="shared" ca="1" si="53"/>
        <v/>
      </c>
      <c r="AJ106" t="str">
        <f t="shared" ca="1" si="53"/>
        <v/>
      </c>
      <c r="AK106" t="str">
        <f t="shared" ca="1" si="53"/>
        <v/>
      </c>
      <c r="AL106" t="str">
        <f t="shared" ca="1" si="53"/>
        <v/>
      </c>
      <c r="AM106" t="str">
        <f t="shared" ca="1" si="53"/>
        <v/>
      </c>
      <c r="AN106" t="str">
        <f t="shared" ca="1" si="53"/>
        <v/>
      </c>
      <c r="AO106" t="str">
        <f t="shared" ca="1" si="53"/>
        <v/>
      </c>
      <c r="AP106" t="str">
        <f t="shared" ca="1" si="53"/>
        <v/>
      </c>
      <c r="AQ106" t="str">
        <f t="shared" ca="1" si="53"/>
        <v/>
      </c>
      <c r="AR106" t="str">
        <f t="shared" ca="1" si="53"/>
        <v/>
      </c>
      <c r="AZ106" t="str">
        <f t="shared" ca="1" si="54"/>
        <v/>
      </c>
      <c r="BA106" t="str">
        <f t="shared" ca="1" si="54"/>
        <v/>
      </c>
      <c r="BB106" t="str">
        <f t="shared" ca="1" si="54"/>
        <v/>
      </c>
    </row>
    <row r="107" spans="1:54" x14ac:dyDescent="0.25">
      <c r="A107">
        <v>104</v>
      </c>
      <c r="B107" s="21"/>
      <c r="C107" t="str">
        <f t="shared" ca="1" si="49"/>
        <v/>
      </c>
      <c r="D107" s="17" t="str">
        <f t="shared" ca="1" si="35"/>
        <v/>
      </c>
      <c r="E107" t="str">
        <f t="shared" ca="1" si="36"/>
        <v/>
      </c>
      <c r="F107" t="str">
        <f t="shared" ca="1" si="50"/>
        <v/>
      </c>
      <c r="G107" t="str">
        <f t="shared" ca="1" si="50"/>
        <v/>
      </c>
      <c r="H107" t="str">
        <f t="shared" ca="1" si="50"/>
        <v/>
      </c>
      <c r="J107" t="str">
        <f t="shared" ca="1" si="51"/>
        <v/>
      </c>
      <c r="K107" t="str">
        <f t="shared" ca="1" si="51"/>
        <v/>
      </c>
      <c r="L107" t="str">
        <f t="shared" ca="1" si="51"/>
        <v/>
      </c>
      <c r="M107" t="str">
        <f t="shared" ca="1" si="51"/>
        <v/>
      </c>
      <c r="N107" t="str">
        <f t="shared" ca="1" si="51"/>
        <v/>
      </c>
      <c r="O107" t="str">
        <f t="shared" ca="1" si="51"/>
        <v/>
      </c>
      <c r="P107" t="str">
        <f t="shared" ca="1" si="51"/>
        <v/>
      </c>
      <c r="Q107" t="str">
        <f t="shared" ca="1" si="51"/>
        <v/>
      </c>
      <c r="R107" t="str">
        <f t="shared" ca="1" si="51"/>
        <v/>
      </c>
      <c r="S107" t="str">
        <f t="shared" ca="1" si="51"/>
        <v/>
      </c>
      <c r="T107" t="str">
        <f t="shared" ca="1" si="51"/>
        <v/>
      </c>
      <c r="U107" s="32" t="str">
        <f t="shared" ca="1" si="51"/>
        <v/>
      </c>
      <c r="V107" t="str">
        <f t="shared" ca="1" si="51"/>
        <v/>
      </c>
      <c r="W107" t="str">
        <f t="shared" ca="1" si="51"/>
        <v/>
      </c>
      <c r="X107" s="17" t="str">
        <f t="shared" ca="1" si="37"/>
        <v/>
      </c>
      <c r="Y107" t="str">
        <f t="shared" ca="1" si="52"/>
        <v/>
      </c>
      <c r="Z107" t="str">
        <f t="shared" ca="1" si="52"/>
        <v/>
      </c>
      <c r="AA107" t="str">
        <f t="shared" ca="1" si="52"/>
        <v/>
      </c>
      <c r="AB107" t="str">
        <f t="shared" ca="1" si="52"/>
        <v/>
      </c>
      <c r="AC107" t="str">
        <f t="shared" ca="1" si="52"/>
        <v/>
      </c>
      <c r="AD107" t="str">
        <f t="shared" ca="1" si="52"/>
        <v/>
      </c>
      <c r="AE107" t="str">
        <f t="shared" ca="1" si="52"/>
        <v/>
      </c>
      <c r="AF107" t="str">
        <f t="shared" ca="1" si="52"/>
        <v/>
      </c>
      <c r="AG107" t="str">
        <f t="shared" ca="1" si="52"/>
        <v/>
      </c>
      <c r="AH107" t="str">
        <f t="shared" ca="1" si="52"/>
        <v/>
      </c>
      <c r="AI107" t="str">
        <f t="shared" ca="1" si="53"/>
        <v/>
      </c>
      <c r="AJ107" t="str">
        <f t="shared" ca="1" si="53"/>
        <v/>
      </c>
      <c r="AK107" t="str">
        <f t="shared" ca="1" si="53"/>
        <v/>
      </c>
      <c r="AL107" t="str">
        <f t="shared" ca="1" si="53"/>
        <v/>
      </c>
      <c r="AM107" t="str">
        <f t="shared" ca="1" si="53"/>
        <v/>
      </c>
      <c r="AN107" t="str">
        <f t="shared" ca="1" si="53"/>
        <v/>
      </c>
      <c r="AO107" t="str">
        <f t="shared" ca="1" si="53"/>
        <v/>
      </c>
      <c r="AP107" t="str">
        <f t="shared" ca="1" si="53"/>
        <v/>
      </c>
      <c r="AQ107" t="str">
        <f t="shared" ca="1" si="53"/>
        <v/>
      </c>
      <c r="AR107" t="str">
        <f t="shared" ca="1" si="53"/>
        <v/>
      </c>
      <c r="AZ107" t="str">
        <f t="shared" ca="1" si="54"/>
        <v/>
      </c>
      <c r="BA107" t="str">
        <f t="shared" ca="1" si="54"/>
        <v/>
      </c>
      <c r="BB107" t="str">
        <f t="shared" ca="1" si="54"/>
        <v/>
      </c>
    </row>
    <row r="108" spans="1:54" x14ac:dyDescent="0.25">
      <c r="A108">
        <v>105</v>
      </c>
      <c r="B108" s="21"/>
      <c r="C108" t="str">
        <f t="shared" ca="1" si="49"/>
        <v/>
      </c>
      <c r="D108" s="17" t="str">
        <f t="shared" ca="1" si="35"/>
        <v/>
      </c>
      <c r="E108" t="str">
        <f t="shared" ca="1" si="36"/>
        <v/>
      </c>
      <c r="F108" t="str">
        <f t="shared" ca="1" si="50"/>
        <v/>
      </c>
      <c r="G108" t="str">
        <f t="shared" ca="1" si="50"/>
        <v/>
      </c>
      <c r="H108" t="str">
        <f t="shared" ca="1" si="50"/>
        <v/>
      </c>
      <c r="J108" t="str">
        <f t="shared" ca="1" si="51"/>
        <v/>
      </c>
      <c r="K108" t="str">
        <f t="shared" ca="1" si="51"/>
        <v/>
      </c>
      <c r="L108" t="str">
        <f t="shared" ca="1" si="51"/>
        <v/>
      </c>
      <c r="M108" t="str">
        <f t="shared" ca="1" si="51"/>
        <v/>
      </c>
      <c r="N108" t="str">
        <f t="shared" ca="1" si="51"/>
        <v/>
      </c>
      <c r="O108" t="str">
        <f t="shared" ca="1" si="51"/>
        <v/>
      </c>
      <c r="P108" t="str">
        <f t="shared" ca="1" si="51"/>
        <v/>
      </c>
      <c r="Q108" t="str">
        <f t="shared" ca="1" si="51"/>
        <v/>
      </c>
      <c r="R108" t="str">
        <f t="shared" ca="1" si="51"/>
        <v/>
      </c>
      <c r="S108" t="str">
        <f t="shared" ca="1" si="51"/>
        <v/>
      </c>
      <c r="T108" t="str">
        <f t="shared" ca="1" si="51"/>
        <v/>
      </c>
      <c r="U108" s="32" t="str">
        <f t="shared" ca="1" si="51"/>
        <v/>
      </c>
      <c r="V108" t="str">
        <f t="shared" ca="1" si="51"/>
        <v/>
      </c>
      <c r="W108" t="str">
        <f t="shared" ca="1" si="51"/>
        <v/>
      </c>
      <c r="X108" s="17" t="str">
        <f t="shared" ca="1" si="37"/>
        <v/>
      </c>
      <c r="Y108" t="str">
        <f t="shared" ca="1" si="52"/>
        <v/>
      </c>
      <c r="Z108" t="str">
        <f t="shared" ca="1" si="52"/>
        <v/>
      </c>
      <c r="AA108" t="str">
        <f t="shared" ca="1" si="52"/>
        <v/>
      </c>
      <c r="AB108" t="str">
        <f t="shared" ca="1" si="52"/>
        <v/>
      </c>
      <c r="AC108" t="str">
        <f t="shared" ca="1" si="52"/>
        <v/>
      </c>
      <c r="AD108" t="str">
        <f t="shared" ca="1" si="52"/>
        <v/>
      </c>
      <c r="AE108" t="str">
        <f t="shared" ca="1" si="52"/>
        <v/>
      </c>
      <c r="AF108" t="str">
        <f t="shared" ca="1" si="52"/>
        <v/>
      </c>
      <c r="AG108" t="str">
        <f t="shared" ca="1" si="52"/>
        <v/>
      </c>
      <c r="AH108" t="str">
        <f t="shared" ca="1" si="52"/>
        <v/>
      </c>
      <c r="AI108" t="str">
        <f t="shared" ca="1" si="53"/>
        <v/>
      </c>
      <c r="AJ108" t="str">
        <f t="shared" ca="1" si="53"/>
        <v/>
      </c>
      <c r="AK108" t="str">
        <f t="shared" ca="1" si="53"/>
        <v/>
      </c>
      <c r="AL108" t="str">
        <f t="shared" ca="1" si="53"/>
        <v/>
      </c>
      <c r="AM108" t="str">
        <f t="shared" ca="1" si="53"/>
        <v/>
      </c>
      <c r="AN108" t="str">
        <f t="shared" ca="1" si="53"/>
        <v/>
      </c>
      <c r="AO108" t="str">
        <f t="shared" ca="1" si="53"/>
        <v/>
      </c>
      <c r="AP108" t="str">
        <f t="shared" ca="1" si="53"/>
        <v/>
      </c>
      <c r="AQ108" t="str">
        <f t="shared" ca="1" si="53"/>
        <v/>
      </c>
      <c r="AR108" t="str">
        <f t="shared" ca="1" si="53"/>
        <v/>
      </c>
      <c r="AZ108" t="str">
        <f t="shared" ca="1" si="54"/>
        <v/>
      </c>
      <c r="BA108" t="str">
        <f t="shared" ca="1" si="54"/>
        <v/>
      </c>
      <c r="BB108" t="str">
        <f t="shared" ca="1" si="54"/>
        <v/>
      </c>
    </row>
    <row r="109" spans="1:54" x14ac:dyDescent="0.25">
      <c r="A109">
        <v>106</v>
      </c>
      <c r="B109" s="21"/>
      <c r="C109" t="str">
        <f t="shared" ca="1" si="49"/>
        <v/>
      </c>
      <c r="D109" s="17" t="str">
        <f t="shared" ca="1" si="35"/>
        <v/>
      </c>
      <c r="E109" t="str">
        <f t="shared" ca="1" si="36"/>
        <v/>
      </c>
      <c r="F109" t="str">
        <f t="shared" ca="1" si="50"/>
        <v/>
      </c>
      <c r="G109" t="str">
        <f t="shared" ca="1" si="50"/>
        <v/>
      </c>
      <c r="H109" t="str">
        <f t="shared" ca="1" si="50"/>
        <v/>
      </c>
      <c r="J109" t="str">
        <f t="shared" ca="1" si="51"/>
        <v/>
      </c>
      <c r="K109" t="str">
        <f t="shared" ca="1" si="51"/>
        <v/>
      </c>
      <c r="L109" t="str">
        <f t="shared" ca="1" si="51"/>
        <v/>
      </c>
      <c r="M109" t="str">
        <f t="shared" ca="1" si="51"/>
        <v/>
      </c>
      <c r="N109" t="str">
        <f t="shared" ca="1" si="51"/>
        <v/>
      </c>
      <c r="O109" t="str">
        <f t="shared" ca="1" si="51"/>
        <v/>
      </c>
      <c r="P109" t="str">
        <f t="shared" ca="1" si="51"/>
        <v/>
      </c>
      <c r="Q109" t="str">
        <f t="shared" ca="1" si="51"/>
        <v/>
      </c>
      <c r="R109" t="str">
        <f t="shared" ca="1" si="51"/>
        <v/>
      </c>
      <c r="S109" t="str">
        <f t="shared" ca="1" si="51"/>
        <v/>
      </c>
      <c r="T109" t="str">
        <f t="shared" ca="1" si="51"/>
        <v/>
      </c>
      <c r="U109" s="32" t="str">
        <f t="shared" ca="1" si="51"/>
        <v/>
      </c>
      <c r="V109" t="str">
        <f t="shared" ca="1" si="51"/>
        <v/>
      </c>
      <c r="W109" t="str">
        <f t="shared" ca="1" si="51"/>
        <v/>
      </c>
      <c r="X109" s="17" t="str">
        <f t="shared" ca="1" si="37"/>
        <v/>
      </c>
      <c r="Y109" t="str">
        <f t="shared" ca="1" si="52"/>
        <v/>
      </c>
      <c r="Z109" t="str">
        <f t="shared" ca="1" si="52"/>
        <v/>
      </c>
      <c r="AA109" t="str">
        <f t="shared" ca="1" si="52"/>
        <v/>
      </c>
      <c r="AB109" t="str">
        <f t="shared" ca="1" si="52"/>
        <v/>
      </c>
      <c r="AC109" t="str">
        <f t="shared" ca="1" si="52"/>
        <v/>
      </c>
      <c r="AD109" t="str">
        <f t="shared" ca="1" si="52"/>
        <v/>
      </c>
      <c r="AE109" t="str">
        <f t="shared" ca="1" si="52"/>
        <v/>
      </c>
      <c r="AF109" t="str">
        <f t="shared" ca="1" si="52"/>
        <v/>
      </c>
      <c r="AG109" t="str">
        <f t="shared" ca="1" si="52"/>
        <v/>
      </c>
      <c r="AH109" t="str">
        <f t="shared" ca="1" si="52"/>
        <v/>
      </c>
      <c r="AI109" t="str">
        <f t="shared" ca="1" si="53"/>
        <v/>
      </c>
      <c r="AJ109" t="str">
        <f t="shared" ca="1" si="53"/>
        <v/>
      </c>
      <c r="AK109" t="str">
        <f t="shared" ca="1" si="53"/>
        <v/>
      </c>
      <c r="AL109" t="str">
        <f t="shared" ca="1" si="53"/>
        <v/>
      </c>
      <c r="AM109" t="str">
        <f t="shared" ca="1" si="53"/>
        <v/>
      </c>
      <c r="AN109" t="str">
        <f t="shared" ca="1" si="53"/>
        <v/>
      </c>
      <c r="AO109" t="str">
        <f t="shared" ca="1" si="53"/>
        <v/>
      </c>
      <c r="AP109" t="str">
        <f t="shared" ca="1" si="53"/>
        <v/>
      </c>
      <c r="AQ109" t="str">
        <f t="shared" ca="1" si="53"/>
        <v/>
      </c>
      <c r="AR109" t="str">
        <f t="shared" ca="1" si="53"/>
        <v/>
      </c>
      <c r="AZ109" t="str">
        <f t="shared" ca="1" si="54"/>
        <v/>
      </c>
      <c r="BA109" t="str">
        <f t="shared" ca="1" si="54"/>
        <v/>
      </c>
      <c r="BB109" t="str">
        <f t="shared" ca="1" si="54"/>
        <v/>
      </c>
    </row>
    <row r="110" spans="1:54" x14ac:dyDescent="0.25">
      <c r="A110">
        <v>107</v>
      </c>
      <c r="B110" s="21"/>
      <c r="C110" t="str">
        <f t="shared" ca="1" si="49"/>
        <v/>
      </c>
      <c r="D110" s="17" t="str">
        <f t="shared" ca="1" si="35"/>
        <v/>
      </c>
      <c r="E110" t="str">
        <f t="shared" ca="1" si="36"/>
        <v/>
      </c>
      <c r="F110" t="str">
        <f t="shared" ca="1" si="50"/>
        <v/>
      </c>
      <c r="G110" t="str">
        <f t="shared" ca="1" si="50"/>
        <v/>
      </c>
      <c r="H110" t="str">
        <f t="shared" ca="1" si="50"/>
        <v/>
      </c>
      <c r="J110" t="str">
        <f t="shared" ca="1" si="51"/>
        <v/>
      </c>
      <c r="K110" t="str">
        <f t="shared" ca="1" si="51"/>
        <v/>
      </c>
      <c r="L110" t="str">
        <f t="shared" ca="1" si="51"/>
        <v/>
      </c>
      <c r="M110" t="str">
        <f t="shared" ca="1" si="51"/>
        <v/>
      </c>
      <c r="N110" t="str">
        <f t="shared" ca="1" si="51"/>
        <v/>
      </c>
      <c r="O110" t="str">
        <f t="shared" ca="1" si="51"/>
        <v/>
      </c>
      <c r="P110" t="str">
        <f t="shared" ca="1" si="51"/>
        <v/>
      </c>
      <c r="Q110" t="str">
        <f t="shared" ca="1" si="51"/>
        <v/>
      </c>
      <c r="R110" t="str">
        <f t="shared" ca="1" si="51"/>
        <v/>
      </c>
      <c r="S110" t="str">
        <f t="shared" ca="1" si="51"/>
        <v/>
      </c>
      <c r="T110" t="str">
        <f t="shared" ca="1" si="51"/>
        <v/>
      </c>
      <c r="U110" s="32" t="str">
        <f t="shared" ca="1" si="51"/>
        <v/>
      </c>
      <c r="V110" t="str">
        <f t="shared" ca="1" si="51"/>
        <v/>
      </c>
      <c r="W110" t="str">
        <f t="shared" ca="1" si="51"/>
        <v/>
      </c>
      <c r="X110" s="17" t="str">
        <f t="shared" ca="1" si="37"/>
        <v/>
      </c>
      <c r="Y110" t="str">
        <f t="shared" ca="1" si="52"/>
        <v/>
      </c>
      <c r="Z110" t="str">
        <f t="shared" ca="1" si="52"/>
        <v/>
      </c>
      <c r="AA110" t="str">
        <f t="shared" ca="1" si="52"/>
        <v/>
      </c>
      <c r="AB110" t="str">
        <f t="shared" ca="1" si="52"/>
        <v/>
      </c>
      <c r="AC110" t="str">
        <f t="shared" ca="1" si="52"/>
        <v/>
      </c>
      <c r="AD110" t="str">
        <f t="shared" ca="1" si="52"/>
        <v/>
      </c>
      <c r="AE110" t="str">
        <f t="shared" ca="1" si="52"/>
        <v/>
      </c>
      <c r="AF110" t="str">
        <f t="shared" ca="1" si="52"/>
        <v/>
      </c>
      <c r="AG110" t="str">
        <f t="shared" ca="1" si="52"/>
        <v/>
      </c>
      <c r="AH110" t="str">
        <f t="shared" ca="1" si="52"/>
        <v/>
      </c>
      <c r="AI110" t="str">
        <f t="shared" ca="1" si="53"/>
        <v/>
      </c>
      <c r="AJ110" t="str">
        <f t="shared" ca="1" si="53"/>
        <v/>
      </c>
      <c r="AK110" t="str">
        <f t="shared" ca="1" si="53"/>
        <v/>
      </c>
      <c r="AL110" t="str">
        <f t="shared" ca="1" si="53"/>
        <v/>
      </c>
      <c r="AM110" t="str">
        <f t="shared" ca="1" si="53"/>
        <v/>
      </c>
      <c r="AN110" t="str">
        <f t="shared" ca="1" si="53"/>
        <v/>
      </c>
      <c r="AO110" t="str">
        <f t="shared" ca="1" si="53"/>
        <v/>
      </c>
      <c r="AP110" t="str">
        <f t="shared" ca="1" si="53"/>
        <v/>
      </c>
      <c r="AQ110" t="str">
        <f t="shared" ca="1" si="53"/>
        <v/>
      </c>
      <c r="AR110" t="str">
        <f t="shared" ca="1" si="53"/>
        <v/>
      </c>
      <c r="AZ110" t="str">
        <f t="shared" ca="1" si="54"/>
        <v/>
      </c>
      <c r="BA110" t="str">
        <f t="shared" ca="1" si="54"/>
        <v/>
      </c>
      <c r="BB110" t="str">
        <f t="shared" ca="1" si="54"/>
        <v/>
      </c>
    </row>
    <row r="111" spans="1:54" x14ac:dyDescent="0.25">
      <c r="A111">
        <v>108</v>
      </c>
      <c r="B111" s="21"/>
      <c r="C111" t="str">
        <f t="shared" ca="1" si="49"/>
        <v/>
      </c>
      <c r="D111" s="17" t="str">
        <f t="shared" ca="1" si="35"/>
        <v/>
      </c>
      <c r="E111" t="str">
        <f t="shared" ca="1" si="36"/>
        <v/>
      </c>
      <c r="F111" t="str">
        <f t="shared" ca="1" si="50"/>
        <v/>
      </c>
      <c r="G111" t="str">
        <f t="shared" ca="1" si="50"/>
        <v/>
      </c>
      <c r="H111" t="str">
        <f t="shared" ca="1" si="50"/>
        <v/>
      </c>
      <c r="J111" t="str">
        <f t="shared" ca="1" si="51"/>
        <v/>
      </c>
      <c r="K111" t="str">
        <f t="shared" ca="1" si="51"/>
        <v/>
      </c>
      <c r="L111" t="str">
        <f t="shared" ca="1" si="51"/>
        <v/>
      </c>
      <c r="M111" t="str">
        <f t="shared" ca="1" si="51"/>
        <v/>
      </c>
      <c r="N111" t="str">
        <f t="shared" ca="1" si="51"/>
        <v/>
      </c>
      <c r="O111" t="str">
        <f t="shared" ca="1" si="51"/>
        <v/>
      </c>
      <c r="P111" t="str">
        <f t="shared" ca="1" si="51"/>
        <v/>
      </c>
      <c r="Q111" t="str">
        <f t="shared" ca="1" si="51"/>
        <v/>
      </c>
      <c r="R111" t="str">
        <f t="shared" ca="1" si="51"/>
        <v/>
      </c>
      <c r="S111" t="str">
        <f t="shared" ca="1" si="51"/>
        <v/>
      </c>
      <c r="T111" t="str">
        <f t="shared" ca="1" si="51"/>
        <v/>
      </c>
      <c r="U111" s="32" t="str">
        <f t="shared" ca="1" si="51"/>
        <v/>
      </c>
      <c r="V111" t="str">
        <f t="shared" ca="1" si="51"/>
        <v/>
      </c>
      <c r="W111" t="str">
        <f t="shared" ca="1" si="51"/>
        <v/>
      </c>
      <c r="X111" s="17" t="str">
        <f t="shared" ca="1" si="37"/>
        <v/>
      </c>
      <c r="Y111" t="str">
        <f t="shared" ca="1" si="52"/>
        <v/>
      </c>
      <c r="Z111" t="str">
        <f t="shared" ca="1" si="52"/>
        <v/>
      </c>
      <c r="AA111" t="str">
        <f t="shared" ca="1" si="52"/>
        <v/>
      </c>
      <c r="AB111" t="str">
        <f t="shared" ca="1" si="52"/>
        <v/>
      </c>
      <c r="AC111" t="str">
        <f t="shared" ca="1" si="52"/>
        <v/>
      </c>
      <c r="AD111" t="str">
        <f t="shared" ca="1" si="52"/>
        <v/>
      </c>
      <c r="AE111" t="str">
        <f t="shared" ca="1" si="52"/>
        <v/>
      </c>
      <c r="AF111" t="str">
        <f t="shared" ca="1" si="52"/>
        <v/>
      </c>
      <c r="AG111" t="str">
        <f t="shared" ca="1" si="52"/>
        <v/>
      </c>
      <c r="AH111" t="str">
        <f t="shared" ca="1" si="52"/>
        <v/>
      </c>
      <c r="AI111" t="str">
        <f t="shared" ca="1" si="53"/>
        <v/>
      </c>
      <c r="AJ111" t="str">
        <f t="shared" ca="1" si="53"/>
        <v/>
      </c>
      <c r="AK111" t="str">
        <f t="shared" ca="1" si="53"/>
        <v/>
      </c>
      <c r="AL111" t="str">
        <f t="shared" ca="1" si="53"/>
        <v/>
      </c>
      <c r="AM111" t="str">
        <f t="shared" ca="1" si="53"/>
        <v/>
      </c>
      <c r="AN111" t="str">
        <f t="shared" ca="1" si="53"/>
        <v/>
      </c>
      <c r="AO111" t="str">
        <f t="shared" ca="1" si="53"/>
        <v/>
      </c>
      <c r="AP111" t="str">
        <f t="shared" ca="1" si="53"/>
        <v/>
      </c>
      <c r="AQ111" t="str">
        <f t="shared" ca="1" si="53"/>
        <v/>
      </c>
      <c r="AR111" t="str">
        <f t="shared" ca="1" si="53"/>
        <v/>
      </c>
      <c r="AZ111" t="str">
        <f t="shared" ca="1" si="54"/>
        <v/>
      </c>
      <c r="BA111" t="str">
        <f t="shared" ca="1" si="54"/>
        <v/>
      </c>
      <c r="BB111" t="str">
        <f t="shared" ca="1" si="54"/>
        <v/>
      </c>
    </row>
    <row r="112" spans="1:54" x14ac:dyDescent="0.25">
      <c r="A112">
        <v>109</v>
      </c>
      <c r="B112" s="21"/>
      <c r="C112" t="str">
        <f t="shared" ca="1" si="49"/>
        <v/>
      </c>
      <c r="D112" s="17" t="str">
        <f t="shared" ca="1" si="35"/>
        <v/>
      </c>
      <c r="E112" t="str">
        <f t="shared" ca="1" si="36"/>
        <v/>
      </c>
      <c r="F112" t="str">
        <f t="shared" ca="1" si="50"/>
        <v/>
      </c>
      <c r="G112" t="str">
        <f t="shared" ca="1" si="50"/>
        <v/>
      </c>
      <c r="H112" t="str">
        <f t="shared" ca="1" si="50"/>
        <v/>
      </c>
      <c r="J112" t="str">
        <f t="shared" ca="1" si="51"/>
        <v/>
      </c>
      <c r="K112" t="str">
        <f t="shared" ca="1" si="51"/>
        <v/>
      </c>
      <c r="L112" t="str">
        <f t="shared" ca="1" si="51"/>
        <v/>
      </c>
      <c r="M112" t="str">
        <f t="shared" ca="1" si="51"/>
        <v/>
      </c>
      <c r="N112" t="str">
        <f t="shared" ca="1" si="51"/>
        <v/>
      </c>
      <c r="O112" t="str">
        <f t="shared" ca="1" si="51"/>
        <v/>
      </c>
      <c r="P112" t="str">
        <f t="shared" ca="1" si="51"/>
        <v/>
      </c>
      <c r="Q112" t="str">
        <f t="shared" ca="1" si="51"/>
        <v/>
      </c>
      <c r="R112" t="str">
        <f t="shared" ca="1" si="51"/>
        <v/>
      </c>
      <c r="S112" t="str">
        <f t="shared" ca="1" si="51"/>
        <v/>
      </c>
      <c r="T112" t="str">
        <f t="shared" ca="1" si="51"/>
        <v/>
      </c>
      <c r="U112" s="32" t="str">
        <f t="shared" ca="1" si="51"/>
        <v/>
      </c>
      <c r="V112" t="str">
        <f t="shared" ca="1" si="51"/>
        <v/>
      </c>
      <c r="W112" t="str">
        <f t="shared" ca="1" si="51"/>
        <v/>
      </c>
      <c r="X112" s="17" t="str">
        <f t="shared" ca="1" si="37"/>
        <v/>
      </c>
      <c r="Y112" t="str">
        <f t="shared" ca="1" si="52"/>
        <v/>
      </c>
      <c r="Z112" t="str">
        <f t="shared" ca="1" si="52"/>
        <v/>
      </c>
      <c r="AA112" t="str">
        <f t="shared" ca="1" si="52"/>
        <v/>
      </c>
      <c r="AB112" t="str">
        <f t="shared" ca="1" si="52"/>
        <v/>
      </c>
      <c r="AC112" t="str">
        <f t="shared" ca="1" si="52"/>
        <v/>
      </c>
      <c r="AD112" t="str">
        <f t="shared" ca="1" si="52"/>
        <v/>
      </c>
      <c r="AE112" t="str">
        <f t="shared" ca="1" si="52"/>
        <v/>
      </c>
      <c r="AF112" t="str">
        <f t="shared" ca="1" si="52"/>
        <v/>
      </c>
      <c r="AG112" t="str">
        <f t="shared" ca="1" si="52"/>
        <v/>
      </c>
      <c r="AH112" t="str">
        <f t="shared" ca="1" si="52"/>
        <v/>
      </c>
      <c r="AI112" t="str">
        <f t="shared" ca="1" si="53"/>
        <v/>
      </c>
      <c r="AJ112" t="str">
        <f t="shared" ca="1" si="53"/>
        <v/>
      </c>
      <c r="AK112" t="str">
        <f t="shared" ca="1" si="53"/>
        <v/>
      </c>
      <c r="AL112" t="str">
        <f t="shared" ca="1" si="53"/>
        <v/>
      </c>
      <c r="AM112" t="str">
        <f t="shared" ca="1" si="53"/>
        <v/>
      </c>
      <c r="AN112" t="str">
        <f t="shared" ca="1" si="53"/>
        <v/>
      </c>
      <c r="AO112" t="str">
        <f t="shared" ca="1" si="53"/>
        <v/>
      </c>
      <c r="AP112" t="str">
        <f t="shared" ca="1" si="53"/>
        <v/>
      </c>
      <c r="AQ112" t="str">
        <f t="shared" ca="1" si="53"/>
        <v/>
      </c>
      <c r="AR112" t="str">
        <f t="shared" ca="1" si="53"/>
        <v/>
      </c>
      <c r="AZ112" t="str">
        <f t="shared" ca="1" si="54"/>
        <v/>
      </c>
      <c r="BA112" t="str">
        <f t="shared" ca="1" si="54"/>
        <v/>
      </c>
      <c r="BB112" t="str">
        <f t="shared" ca="1" si="54"/>
        <v/>
      </c>
    </row>
    <row r="113" spans="1:54" x14ac:dyDescent="0.25">
      <c r="A113">
        <v>110</v>
      </c>
      <c r="B113" s="21"/>
      <c r="C113" t="str">
        <f t="shared" ca="1" si="49"/>
        <v/>
      </c>
      <c r="D113" s="17" t="str">
        <f t="shared" ca="1" si="35"/>
        <v/>
      </c>
      <c r="E113" t="str">
        <f t="shared" ca="1" si="36"/>
        <v/>
      </c>
      <c r="F113" t="str">
        <f t="shared" ca="1" si="50"/>
        <v/>
      </c>
      <c r="G113" t="str">
        <f t="shared" ca="1" si="50"/>
        <v/>
      </c>
      <c r="H113" t="str">
        <f t="shared" ca="1" si="50"/>
        <v/>
      </c>
      <c r="J113" t="str">
        <f t="shared" ca="1" si="51"/>
        <v/>
      </c>
      <c r="K113" t="str">
        <f t="shared" ca="1" si="51"/>
        <v/>
      </c>
      <c r="L113" t="str">
        <f t="shared" ca="1" si="51"/>
        <v/>
      </c>
      <c r="M113" t="str">
        <f t="shared" ca="1" si="51"/>
        <v/>
      </c>
      <c r="N113" t="str">
        <f t="shared" ca="1" si="51"/>
        <v/>
      </c>
      <c r="O113" t="str">
        <f t="shared" ca="1" si="51"/>
        <v/>
      </c>
      <c r="P113" t="str">
        <f t="shared" ca="1" si="51"/>
        <v/>
      </c>
      <c r="Q113" t="str">
        <f t="shared" ca="1" si="51"/>
        <v/>
      </c>
      <c r="R113" t="str">
        <f t="shared" ca="1" si="51"/>
        <v/>
      </c>
      <c r="S113" t="str">
        <f t="shared" ca="1" si="51"/>
        <v/>
      </c>
      <c r="T113" t="str">
        <f t="shared" ca="1" si="51"/>
        <v/>
      </c>
      <c r="U113" s="32" t="str">
        <f t="shared" ca="1" si="51"/>
        <v/>
      </c>
      <c r="V113" t="str">
        <f t="shared" ca="1" si="51"/>
        <v/>
      </c>
      <c r="W113" t="str">
        <f t="shared" ca="1" si="51"/>
        <v/>
      </c>
      <c r="X113" s="17" t="str">
        <f t="shared" ca="1" si="37"/>
        <v/>
      </c>
      <c r="Y113" t="str">
        <f t="shared" ca="1" si="52"/>
        <v/>
      </c>
      <c r="Z113" t="str">
        <f t="shared" ca="1" si="52"/>
        <v/>
      </c>
      <c r="AA113" t="str">
        <f t="shared" ca="1" si="52"/>
        <v/>
      </c>
      <c r="AB113" t="str">
        <f t="shared" ca="1" si="52"/>
        <v/>
      </c>
      <c r="AC113" t="str">
        <f t="shared" ca="1" si="52"/>
        <v/>
      </c>
      <c r="AD113" t="str">
        <f t="shared" ca="1" si="52"/>
        <v/>
      </c>
      <c r="AE113" t="str">
        <f t="shared" ca="1" si="52"/>
        <v/>
      </c>
      <c r="AF113" t="str">
        <f t="shared" ca="1" si="52"/>
        <v/>
      </c>
      <c r="AG113" t="str">
        <f t="shared" ca="1" si="52"/>
        <v/>
      </c>
      <c r="AH113" t="str">
        <f t="shared" ca="1" si="52"/>
        <v/>
      </c>
      <c r="AI113" t="str">
        <f t="shared" ca="1" si="53"/>
        <v/>
      </c>
      <c r="AJ113" t="str">
        <f t="shared" ca="1" si="53"/>
        <v/>
      </c>
      <c r="AK113" t="str">
        <f t="shared" ca="1" si="53"/>
        <v/>
      </c>
      <c r="AL113" t="str">
        <f t="shared" ca="1" si="53"/>
        <v/>
      </c>
      <c r="AM113" t="str">
        <f t="shared" ca="1" si="53"/>
        <v/>
      </c>
      <c r="AN113" t="str">
        <f t="shared" ca="1" si="53"/>
        <v/>
      </c>
      <c r="AO113" t="str">
        <f t="shared" ca="1" si="53"/>
        <v/>
      </c>
      <c r="AP113" t="str">
        <f t="shared" ca="1" si="53"/>
        <v/>
      </c>
      <c r="AQ113" t="str">
        <f t="shared" ca="1" si="53"/>
        <v/>
      </c>
      <c r="AR113" t="str">
        <f t="shared" ca="1" si="53"/>
        <v/>
      </c>
      <c r="AZ113" t="str">
        <f t="shared" ca="1" si="54"/>
        <v/>
      </c>
      <c r="BA113" t="str">
        <f t="shared" ca="1" si="54"/>
        <v/>
      </c>
      <c r="BB113" t="str">
        <f t="shared" ca="1" si="54"/>
        <v/>
      </c>
    </row>
    <row r="114" spans="1:54" x14ac:dyDescent="0.25">
      <c r="A114">
        <v>111</v>
      </c>
      <c r="B114" s="21"/>
      <c r="C114" t="str">
        <f t="shared" ca="1" si="49"/>
        <v/>
      </c>
      <c r="D114" s="17" t="str">
        <f t="shared" ca="1" si="35"/>
        <v/>
      </c>
      <c r="E114" t="str">
        <f t="shared" ca="1" si="36"/>
        <v/>
      </c>
      <c r="F114" t="str">
        <f t="shared" ca="1" si="50"/>
        <v/>
      </c>
      <c r="G114" t="str">
        <f t="shared" ca="1" si="50"/>
        <v/>
      </c>
      <c r="H114" t="str">
        <f t="shared" ca="1" si="50"/>
        <v/>
      </c>
      <c r="J114" t="str">
        <f t="shared" ref="J114:W123" ca="1" si="55">IFERROR(HLOOKUP(J$3, OFFSET(JSONstart,2*$A114-2,0,2,75), 2,FALSE),  "")</f>
        <v/>
      </c>
      <c r="K114" t="str">
        <f t="shared" ca="1" si="55"/>
        <v/>
      </c>
      <c r="L114" t="str">
        <f t="shared" ca="1" si="55"/>
        <v/>
      </c>
      <c r="M114" t="str">
        <f t="shared" ca="1" si="55"/>
        <v/>
      </c>
      <c r="N114" t="str">
        <f t="shared" ca="1" si="55"/>
        <v/>
      </c>
      <c r="O114" t="str">
        <f t="shared" ca="1" si="55"/>
        <v/>
      </c>
      <c r="P114" t="str">
        <f t="shared" ca="1" si="55"/>
        <v/>
      </c>
      <c r="Q114" t="str">
        <f t="shared" ca="1" si="55"/>
        <v/>
      </c>
      <c r="R114" t="str">
        <f t="shared" ca="1" si="55"/>
        <v/>
      </c>
      <c r="S114" t="str">
        <f t="shared" ca="1" si="55"/>
        <v/>
      </c>
      <c r="T114" t="str">
        <f t="shared" ca="1" si="55"/>
        <v/>
      </c>
      <c r="U114" s="32" t="str">
        <f t="shared" ca="1" si="55"/>
        <v/>
      </c>
      <c r="V114" t="str">
        <f t="shared" ca="1" si="55"/>
        <v/>
      </c>
      <c r="W114" t="str">
        <f t="shared" ca="1" si="55"/>
        <v/>
      </c>
      <c r="X114" s="17" t="str">
        <f t="shared" ca="1" si="37"/>
        <v/>
      </c>
      <c r="Y114" t="str">
        <f t="shared" ref="Y114:AH123" ca="1" si="56">IFERROR(HLOOKUP(Y$3, OFFSET(JSONstart,2*$A114-2,0,2,75), 2,FALSE),   "")</f>
        <v/>
      </c>
      <c r="Z114" t="str">
        <f t="shared" ca="1" si="56"/>
        <v/>
      </c>
      <c r="AA114" t="str">
        <f t="shared" ca="1" si="56"/>
        <v/>
      </c>
      <c r="AB114" t="str">
        <f t="shared" ca="1" si="56"/>
        <v/>
      </c>
      <c r="AC114" t="str">
        <f t="shared" ca="1" si="56"/>
        <v/>
      </c>
      <c r="AD114" t="str">
        <f t="shared" ca="1" si="56"/>
        <v/>
      </c>
      <c r="AE114" t="str">
        <f t="shared" ca="1" si="56"/>
        <v/>
      </c>
      <c r="AF114" t="str">
        <f t="shared" ca="1" si="56"/>
        <v/>
      </c>
      <c r="AG114" t="str">
        <f t="shared" ca="1" si="56"/>
        <v/>
      </c>
      <c r="AH114" t="str">
        <f t="shared" ca="1" si="56"/>
        <v/>
      </c>
      <c r="AI114" t="str">
        <f t="shared" ref="AI114:AR123" ca="1" si="57">IFERROR(HLOOKUP(AI$3, OFFSET(JSONstart,2*$A114-2,0,2,75), 2,FALSE),   "")</f>
        <v/>
      </c>
      <c r="AJ114" t="str">
        <f t="shared" ca="1" si="57"/>
        <v/>
      </c>
      <c r="AK114" t="str">
        <f t="shared" ca="1" si="57"/>
        <v/>
      </c>
      <c r="AL114" t="str">
        <f t="shared" ca="1" si="57"/>
        <v/>
      </c>
      <c r="AM114" t="str">
        <f t="shared" ca="1" si="57"/>
        <v/>
      </c>
      <c r="AN114" t="str">
        <f t="shared" ca="1" si="57"/>
        <v/>
      </c>
      <c r="AO114" t="str">
        <f t="shared" ca="1" si="57"/>
        <v/>
      </c>
      <c r="AP114" t="str">
        <f t="shared" ca="1" si="57"/>
        <v/>
      </c>
      <c r="AQ114" t="str">
        <f t="shared" ca="1" si="57"/>
        <v/>
      </c>
      <c r="AR114" t="str">
        <f t="shared" ca="1" si="57"/>
        <v/>
      </c>
      <c r="AZ114" t="str">
        <f t="shared" ca="1" si="54"/>
        <v/>
      </c>
      <c r="BA114" t="str">
        <f t="shared" ca="1" si="54"/>
        <v/>
      </c>
      <c r="BB114" t="str">
        <f t="shared" ca="1" si="54"/>
        <v/>
      </c>
    </row>
    <row r="115" spans="1:54" x14ac:dyDescent="0.25">
      <c r="A115">
        <v>112</v>
      </c>
      <c r="B115" s="21"/>
      <c r="C115" t="str">
        <f t="shared" ca="1" si="49"/>
        <v/>
      </c>
      <c r="D115" s="17" t="str">
        <f t="shared" ca="1" si="35"/>
        <v/>
      </c>
      <c r="E115" t="str">
        <f t="shared" ca="1" si="36"/>
        <v/>
      </c>
      <c r="F115" t="str">
        <f t="shared" ca="1" si="50"/>
        <v/>
      </c>
      <c r="G115" t="str">
        <f t="shared" ca="1" si="50"/>
        <v/>
      </c>
      <c r="H115" t="str">
        <f t="shared" ca="1" si="50"/>
        <v/>
      </c>
      <c r="J115" t="str">
        <f t="shared" ca="1" si="55"/>
        <v/>
      </c>
      <c r="K115" t="str">
        <f t="shared" ca="1" si="55"/>
        <v/>
      </c>
      <c r="L115" t="str">
        <f t="shared" ca="1" si="55"/>
        <v/>
      </c>
      <c r="M115" t="str">
        <f t="shared" ca="1" si="55"/>
        <v/>
      </c>
      <c r="N115" t="str">
        <f t="shared" ca="1" si="55"/>
        <v/>
      </c>
      <c r="O115" t="str">
        <f t="shared" ca="1" si="55"/>
        <v/>
      </c>
      <c r="P115" t="str">
        <f t="shared" ca="1" si="55"/>
        <v/>
      </c>
      <c r="Q115" t="str">
        <f t="shared" ca="1" si="55"/>
        <v/>
      </c>
      <c r="R115" t="str">
        <f t="shared" ca="1" si="55"/>
        <v/>
      </c>
      <c r="S115" t="str">
        <f t="shared" ca="1" si="55"/>
        <v/>
      </c>
      <c r="T115" t="str">
        <f t="shared" ca="1" si="55"/>
        <v/>
      </c>
      <c r="U115" s="32" t="str">
        <f t="shared" ca="1" si="55"/>
        <v/>
      </c>
      <c r="V115" t="str">
        <f t="shared" ca="1" si="55"/>
        <v/>
      </c>
      <c r="W115" t="str">
        <f t="shared" ca="1" si="55"/>
        <v/>
      </c>
      <c r="X115" s="17" t="str">
        <f t="shared" ca="1" si="37"/>
        <v/>
      </c>
      <c r="Y115" t="str">
        <f t="shared" ca="1" si="56"/>
        <v/>
      </c>
      <c r="Z115" t="str">
        <f t="shared" ca="1" si="56"/>
        <v/>
      </c>
      <c r="AA115" t="str">
        <f t="shared" ca="1" si="56"/>
        <v/>
      </c>
      <c r="AB115" t="str">
        <f t="shared" ca="1" si="56"/>
        <v/>
      </c>
      <c r="AC115" t="str">
        <f t="shared" ca="1" si="56"/>
        <v/>
      </c>
      <c r="AD115" t="str">
        <f t="shared" ca="1" si="56"/>
        <v/>
      </c>
      <c r="AE115" t="str">
        <f t="shared" ca="1" si="56"/>
        <v/>
      </c>
      <c r="AF115" t="str">
        <f t="shared" ca="1" si="56"/>
        <v/>
      </c>
      <c r="AG115" t="str">
        <f t="shared" ca="1" si="56"/>
        <v/>
      </c>
      <c r="AH115" t="str">
        <f t="shared" ca="1" si="56"/>
        <v/>
      </c>
      <c r="AI115" t="str">
        <f t="shared" ca="1" si="57"/>
        <v/>
      </c>
      <c r="AJ115" t="str">
        <f t="shared" ca="1" si="57"/>
        <v/>
      </c>
      <c r="AK115" t="str">
        <f t="shared" ca="1" si="57"/>
        <v/>
      </c>
      <c r="AL115" t="str">
        <f t="shared" ca="1" si="57"/>
        <v/>
      </c>
      <c r="AM115" t="str">
        <f t="shared" ca="1" si="57"/>
        <v/>
      </c>
      <c r="AN115" t="str">
        <f t="shared" ca="1" si="57"/>
        <v/>
      </c>
      <c r="AO115" t="str">
        <f t="shared" ca="1" si="57"/>
        <v/>
      </c>
      <c r="AP115" t="str">
        <f t="shared" ca="1" si="57"/>
        <v/>
      </c>
      <c r="AQ115" t="str">
        <f t="shared" ca="1" si="57"/>
        <v/>
      </c>
      <c r="AR115" t="str">
        <f t="shared" ca="1" si="57"/>
        <v/>
      </c>
      <c r="AZ115" t="str">
        <f t="shared" ca="1" si="54"/>
        <v/>
      </c>
      <c r="BA115" t="str">
        <f t="shared" ca="1" si="54"/>
        <v/>
      </c>
      <c r="BB115" t="str">
        <f t="shared" ca="1" si="54"/>
        <v/>
      </c>
    </row>
    <row r="116" spans="1:54" x14ac:dyDescent="0.25">
      <c r="A116">
        <v>113</v>
      </c>
      <c r="B116" s="21"/>
      <c r="C116" t="str">
        <f t="shared" ca="1" si="49"/>
        <v/>
      </c>
      <c r="D116" s="17" t="str">
        <f t="shared" ca="1" si="35"/>
        <v/>
      </c>
      <c r="E116" t="str">
        <f t="shared" ca="1" si="36"/>
        <v/>
      </c>
      <c r="F116" t="str">
        <f t="shared" ca="1" si="50"/>
        <v/>
      </c>
      <c r="G116" t="str">
        <f t="shared" ca="1" si="50"/>
        <v/>
      </c>
      <c r="H116" t="str">
        <f t="shared" ca="1" si="50"/>
        <v/>
      </c>
      <c r="J116" t="str">
        <f t="shared" ca="1" si="55"/>
        <v/>
      </c>
      <c r="K116" t="str">
        <f t="shared" ca="1" si="55"/>
        <v/>
      </c>
      <c r="L116" t="str">
        <f t="shared" ca="1" si="55"/>
        <v/>
      </c>
      <c r="M116" t="str">
        <f t="shared" ca="1" si="55"/>
        <v/>
      </c>
      <c r="N116" t="str">
        <f t="shared" ca="1" si="55"/>
        <v/>
      </c>
      <c r="O116" t="str">
        <f t="shared" ca="1" si="55"/>
        <v/>
      </c>
      <c r="P116" t="str">
        <f t="shared" ca="1" si="55"/>
        <v/>
      </c>
      <c r="Q116" t="str">
        <f t="shared" ca="1" si="55"/>
        <v/>
      </c>
      <c r="R116" t="str">
        <f t="shared" ca="1" si="55"/>
        <v/>
      </c>
      <c r="S116" t="str">
        <f t="shared" ca="1" si="55"/>
        <v/>
      </c>
      <c r="T116" t="str">
        <f t="shared" ca="1" si="55"/>
        <v/>
      </c>
      <c r="U116" s="32" t="str">
        <f t="shared" ca="1" si="55"/>
        <v/>
      </c>
      <c r="V116" t="str">
        <f t="shared" ca="1" si="55"/>
        <v/>
      </c>
      <c r="W116" t="str">
        <f t="shared" ca="1" si="55"/>
        <v/>
      </c>
      <c r="X116" s="17" t="str">
        <f t="shared" ca="1" si="37"/>
        <v/>
      </c>
      <c r="Y116" t="str">
        <f t="shared" ca="1" si="56"/>
        <v/>
      </c>
      <c r="Z116" t="str">
        <f t="shared" ca="1" si="56"/>
        <v/>
      </c>
      <c r="AA116" t="str">
        <f t="shared" ca="1" si="56"/>
        <v/>
      </c>
      <c r="AB116" t="str">
        <f t="shared" ca="1" si="56"/>
        <v/>
      </c>
      <c r="AC116" t="str">
        <f t="shared" ca="1" si="56"/>
        <v/>
      </c>
      <c r="AD116" t="str">
        <f t="shared" ca="1" si="56"/>
        <v/>
      </c>
      <c r="AE116" t="str">
        <f t="shared" ca="1" si="56"/>
        <v/>
      </c>
      <c r="AF116" t="str">
        <f t="shared" ca="1" si="56"/>
        <v/>
      </c>
      <c r="AG116" t="str">
        <f t="shared" ca="1" si="56"/>
        <v/>
      </c>
      <c r="AH116" t="str">
        <f t="shared" ca="1" si="56"/>
        <v/>
      </c>
      <c r="AI116" t="str">
        <f t="shared" ca="1" si="57"/>
        <v/>
      </c>
      <c r="AJ116" t="str">
        <f t="shared" ca="1" si="57"/>
        <v/>
      </c>
      <c r="AK116" t="str">
        <f t="shared" ca="1" si="57"/>
        <v/>
      </c>
      <c r="AL116" t="str">
        <f t="shared" ca="1" si="57"/>
        <v/>
      </c>
      <c r="AM116" t="str">
        <f t="shared" ca="1" si="57"/>
        <v/>
      </c>
      <c r="AN116" t="str">
        <f t="shared" ca="1" si="57"/>
        <v/>
      </c>
      <c r="AO116" t="str">
        <f t="shared" ca="1" si="57"/>
        <v/>
      </c>
      <c r="AP116" t="str">
        <f t="shared" ca="1" si="57"/>
        <v/>
      </c>
      <c r="AQ116" t="str">
        <f t="shared" ca="1" si="57"/>
        <v/>
      </c>
      <c r="AR116" t="str">
        <f t="shared" ca="1" si="57"/>
        <v/>
      </c>
      <c r="AZ116" t="str">
        <f t="shared" ca="1" si="54"/>
        <v/>
      </c>
      <c r="BA116" t="str">
        <f t="shared" ca="1" si="54"/>
        <v/>
      </c>
      <c r="BB116" t="str">
        <f t="shared" ca="1" si="54"/>
        <v/>
      </c>
    </row>
    <row r="117" spans="1:54" x14ac:dyDescent="0.25">
      <c r="A117">
        <v>114</v>
      </c>
      <c r="B117" s="21"/>
      <c r="C117" t="str">
        <f t="shared" ca="1" si="49"/>
        <v/>
      </c>
      <c r="D117" s="17" t="str">
        <f t="shared" ca="1" si="35"/>
        <v/>
      </c>
      <c r="E117" t="str">
        <f t="shared" ca="1" si="36"/>
        <v/>
      </c>
      <c r="F117" t="str">
        <f t="shared" ca="1" si="50"/>
        <v/>
      </c>
      <c r="G117" t="str">
        <f t="shared" ca="1" si="50"/>
        <v/>
      </c>
      <c r="H117" t="str">
        <f t="shared" ca="1" si="50"/>
        <v/>
      </c>
      <c r="J117" t="str">
        <f t="shared" ca="1" si="55"/>
        <v/>
      </c>
      <c r="K117" t="str">
        <f t="shared" ca="1" si="55"/>
        <v/>
      </c>
      <c r="L117" t="str">
        <f t="shared" ca="1" si="55"/>
        <v/>
      </c>
      <c r="M117" t="str">
        <f t="shared" ca="1" si="55"/>
        <v/>
      </c>
      <c r="N117" t="str">
        <f t="shared" ca="1" si="55"/>
        <v/>
      </c>
      <c r="O117" t="str">
        <f t="shared" ca="1" si="55"/>
        <v/>
      </c>
      <c r="P117" t="str">
        <f t="shared" ca="1" si="55"/>
        <v/>
      </c>
      <c r="Q117" t="str">
        <f t="shared" ca="1" si="55"/>
        <v/>
      </c>
      <c r="R117" t="str">
        <f t="shared" ca="1" si="55"/>
        <v/>
      </c>
      <c r="S117" t="str">
        <f t="shared" ca="1" si="55"/>
        <v/>
      </c>
      <c r="T117" t="str">
        <f t="shared" ca="1" si="55"/>
        <v/>
      </c>
      <c r="U117" s="32" t="str">
        <f t="shared" ca="1" si="55"/>
        <v/>
      </c>
      <c r="V117" t="str">
        <f t="shared" ca="1" si="55"/>
        <v/>
      </c>
      <c r="W117" t="str">
        <f t="shared" ca="1" si="55"/>
        <v/>
      </c>
      <c r="X117" s="17" t="str">
        <f t="shared" ca="1" si="37"/>
        <v/>
      </c>
      <c r="Y117" t="str">
        <f t="shared" ca="1" si="56"/>
        <v/>
      </c>
      <c r="Z117" t="str">
        <f t="shared" ca="1" si="56"/>
        <v/>
      </c>
      <c r="AA117" t="str">
        <f t="shared" ca="1" si="56"/>
        <v/>
      </c>
      <c r="AB117" t="str">
        <f t="shared" ca="1" si="56"/>
        <v/>
      </c>
      <c r="AC117" t="str">
        <f t="shared" ca="1" si="56"/>
        <v/>
      </c>
      <c r="AD117" t="str">
        <f t="shared" ca="1" si="56"/>
        <v/>
      </c>
      <c r="AE117" t="str">
        <f t="shared" ca="1" si="56"/>
        <v/>
      </c>
      <c r="AF117" t="str">
        <f t="shared" ca="1" si="56"/>
        <v/>
      </c>
      <c r="AG117" t="str">
        <f t="shared" ca="1" si="56"/>
        <v/>
      </c>
      <c r="AH117" t="str">
        <f t="shared" ca="1" si="56"/>
        <v/>
      </c>
      <c r="AI117" t="str">
        <f t="shared" ca="1" si="57"/>
        <v/>
      </c>
      <c r="AJ117" t="str">
        <f t="shared" ca="1" si="57"/>
        <v/>
      </c>
      <c r="AK117" t="str">
        <f t="shared" ca="1" si="57"/>
        <v/>
      </c>
      <c r="AL117" t="str">
        <f t="shared" ca="1" si="57"/>
        <v/>
      </c>
      <c r="AM117" t="str">
        <f t="shared" ca="1" si="57"/>
        <v/>
      </c>
      <c r="AN117" t="str">
        <f t="shared" ca="1" si="57"/>
        <v/>
      </c>
      <c r="AO117" t="str">
        <f t="shared" ca="1" si="57"/>
        <v/>
      </c>
      <c r="AP117" t="str">
        <f t="shared" ca="1" si="57"/>
        <v/>
      </c>
      <c r="AQ117" t="str">
        <f t="shared" ca="1" si="57"/>
        <v/>
      </c>
      <c r="AR117" t="str">
        <f t="shared" ca="1" si="57"/>
        <v/>
      </c>
      <c r="AZ117" t="str">
        <f t="shared" ca="1" si="54"/>
        <v/>
      </c>
      <c r="BA117" t="str">
        <f t="shared" ca="1" si="54"/>
        <v/>
      </c>
      <c r="BB117" t="str">
        <f t="shared" ca="1" si="54"/>
        <v/>
      </c>
    </row>
    <row r="118" spans="1:54" x14ac:dyDescent="0.25">
      <c r="A118">
        <v>115</v>
      </c>
      <c r="B118" s="21"/>
      <c r="C118" t="str">
        <f t="shared" ca="1" si="49"/>
        <v/>
      </c>
      <c r="D118" s="17" t="str">
        <f t="shared" ca="1" si="35"/>
        <v/>
      </c>
      <c r="E118" t="str">
        <f t="shared" ca="1" si="36"/>
        <v/>
      </c>
      <c r="F118" t="str">
        <f t="shared" ca="1" si="50"/>
        <v/>
      </c>
      <c r="G118" t="str">
        <f t="shared" ca="1" si="50"/>
        <v/>
      </c>
      <c r="H118" t="str">
        <f t="shared" ca="1" si="50"/>
        <v/>
      </c>
      <c r="J118" t="str">
        <f t="shared" ca="1" si="55"/>
        <v/>
      </c>
      <c r="K118" t="str">
        <f t="shared" ca="1" si="55"/>
        <v/>
      </c>
      <c r="L118" t="str">
        <f t="shared" ca="1" si="55"/>
        <v/>
      </c>
      <c r="M118" t="str">
        <f t="shared" ca="1" si="55"/>
        <v/>
      </c>
      <c r="N118" t="str">
        <f t="shared" ca="1" si="55"/>
        <v/>
      </c>
      <c r="O118" t="str">
        <f t="shared" ca="1" si="55"/>
        <v/>
      </c>
      <c r="P118" t="str">
        <f t="shared" ca="1" si="55"/>
        <v/>
      </c>
      <c r="Q118" t="str">
        <f t="shared" ca="1" si="55"/>
        <v/>
      </c>
      <c r="R118" t="str">
        <f t="shared" ca="1" si="55"/>
        <v/>
      </c>
      <c r="S118" t="str">
        <f t="shared" ca="1" si="55"/>
        <v/>
      </c>
      <c r="T118" t="str">
        <f t="shared" ca="1" si="55"/>
        <v/>
      </c>
      <c r="U118" s="32" t="str">
        <f t="shared" ca="1" si="55"/>
        <v/>
      </c>
      <c r="V118" t="str">
        <f t="shared" ca="1" si="55"/>
        <v/>
      </c>
      <c r="W118" t="str">
        <f t="shared" ca="1" si="55"/>
        <v/>
      </c>
      <c r="X118" s="17" t="str">
        <f t="shared" ca="1" si="37"/>
        <v/>
      </c>
      <c r="Y118" t="str">
        <f t="shared" ca="1" si="56"/>
        <v/>
      </c>
      <c r="Z118" t="str">
        <f t="shared" ca="1" si="56"/>
        <v/>
      </c>
      <c r="AA118" t="str">
        <f t="shared" ca="1" si="56"/>
        <v/>
      </c>
      <c r="AB118" t="str">
        <f t="shared" ca="1" si="56"/>
        <v/>
      </c>
      <c r="AC118" t="str">
        <f t="shared" ca="1" si="56"/>
        <v/>
      </c>
      <c r="AD118" t="str">
        <f t="shared" ca="1" si="56"/>
        <v/>
      </c>
      <c r="AE118" t="str">
        <f t="shared" ca="1" si="56"/>
        <v/>
      </c>
      <c r="AF118" t="str">
        <f t="shared" ca="1" si="56"/>
        <v/>
      </c>
      <c r="AG118" t="str">
        <f t="shared" ca="1" si="56"/>
        <v/>
      </c>
      <c r="AH118" t="str">
        <f t="shared" ca="1" si="56"/>
        <v/>
      </c>
      <c r="AI118" t="str">
        <f t="shared" ca="1" si="57"/>
        <v/>
      </c>
      <c r="AJ118" t="str">
        <f t="shared" ca="1" si="57"/>
        <v/>
      </c>
      <c r="AK118" t="str">
        <f t="shared" ca="1" si="57"/>
        <v/>
      </c>
      <c r="AL118" t="str">
        <f t="shared" ca="1" si="57"/>
        <v/>
      </c>
      <c r="AM118" t="str">
        <f t="shared" ca="1" si="57"/>
        <v/>
      </c>
      <c r="AN118" t="str">
        <f t="shared" ca="1" si="57"/>
        <v/>
      </c>
      <c r="AO118" t="str">
        <f t="shared" ca="1" si="57"/>
        <v/>
      </c>
      <c r="AP118" t="str">
        <f t="shared" ca="1" si="57"/>
        <v/>
      </c>
      <c r="AQ118" t="str">
        <f t="shared" ca="1" si="57"/>
        <v/>
      </c>
      <c r="AR118" t="str">
        <f t="shared" ca="1" si="57"/>
        <v/>
      </c>
      <c r="AZ118" t="str">
        <f t="shared" ca="1" si="54"/>
        <v/>
      </c>
      <c r="BA118" t="str">
        <f t="shared" ca="1" si="54"/>
        <v/>
      </c>
      <c r="BB118" t="str">
        <f t="shared" ca="1" si="54"/>
        <v/>
      </c>
    </row>
    <row r="119" spans="1:54" x14ac:dyDescent="0.25">
      <c r="A119">
        <v>116</v>
      </c>
      <c r="B119" s="21"/>
      <c r="C119" t="str">
        <f t="shared" ca="1" si="49"/>
        <v/>
      </c>
      <c r="D119" s="17" t="str">
        <f t="shared" ca="1" si="35"/>
        <v/>
      </c>
      <c r="E119" t="str">
        <f t="shared" ca="1" si="36"/>
        <v/>
      </c>
      <c r="F119" t="str">
        <f t="shared" ca="1" si="50"/>
        <v/>
      </c>
      <c r="G119" t="str">
        <f t="shared" ca="1" si="50"/>
        <v/>
      </c>
      <c r="H119" t="str">
        <f t="shared" ca="1" si="50"/>
        <v/>
      </c>
      <c r="J119" t="str">
        <f t="shared" ca="1" si="55"/>
        <v/>
      </c>
      <c r="K119" t="str">
        <f t="shared" ca="1" si="55"/>
        <v/>
      </c>
      <c r="L119" t="str">
        <f t="shared" ca="1" si="55"/>
        <v/>
      </c>
      <c r="M119" t="str">
        <f t="shared" ca="1" si="55"/>
        <v/>
      </c>
      <c r="N119" t="str">
        <f t="shared" ca="1" si="55"/>
        <v/>
      </c>
      <c r="O119" t="str">
        <f t="shared" ca="1" si="55"/>
        <v/>
      </c>
      <c r="P119" t="str">
        <f t="shared" ca="1" si="55"/>
        <v/>
      </c>
      <c r="Q119" t="str">
        <f t="shared" ca="1" si="55"/>
        <v/>
      </c>
      <c r="R119" t="str">
        <f t="shared" ca="1" si="55"/>
        <v/>
      </c>
      <c r="S119" t="str">
        <f t="shared" ca="1" si="55"/>
        <v/>
      </c>
      <c r="T119" t="str">
        <f t="shared" ca="1" si="55"/>
        <v/>
      </c>
      <c r="U119" s="32" t="str">
        <f t="shared" ca="1" si="55"/>
        <v/>
      </c>
      <c r="V119" t="str">
        <f t="shared" ca="1" si="55"/>
        <v/>
      </c>
      <c r="W119" t="str">
        <f t="shared" ca="1" si="55"/>
        <v/>
      </c>
      <c r="X119" s="17" t="str">
        <f t="shared" ca="1" si="37"/>
        <v/>
      </c>
      <c r="Y119" t="str">
        <f t="shared" ca="1" si="56"/>
        <v/>
      </c>
      <c r="Z119" t="str">
        <f t="shared" ca="1" si="56"/>
        <v/>
      </c>
      <c r="AA119" t="str">
        <f t="shared" ca="1" si="56"/>
        <v/>
      </c>
      <c r="AB119" t="str">
        <f t="shared" ca="1" si="56"/>
        <v/>
      </c>
      <c r="AC119" t="str">
        <f t="shared" ca="1" si="56"/>
        <v/>
      </c>
      <c r="AD119" t="str">
        <f t="shared" ca="1" si="56"/>
        <v/>
      </c>
      <c r="AE119" t="str">
        <f t="shared" ca="1" si="56"/>
        <v/>
      </c>
      <c r="AF119" t="str">
        <f t="shared" ca="1" si="56"/>
        <v/>
      </c>
      <c r="AG119" t="str">
        <f t="shared" ca="1" si="56"/>
        <v/>
      </c>
      <c r="AH119" t="str">
        <f t="shared" ca="1" si="56"/>
        <v/>
      </c>
      <c r="AI119" t="str">
        <f t="shared" ca="1" si="57"/>
        <v/>
      </c>
      <c r="AJ119" t="str">
        <f t="shared" ca="1" si="57"/>
        <v/>
      </c>
      <c r="AK119" t="str">
        <f t="shared" ca="1" si="57"/>
        <v/>
      </c>
      <c r="AL119" t="str">
        <f t="shared" ca="1" si="57"/>
        <v/>
      </c>
      <c r="AM119" t="str">
        <f t="shared" ca="1" si="57"/>
        <v/>
      </c>
      <c r="AN119" t="str">
        <f t="shared" ca="1" si="57"/>
        <v/>
      </c>
      <c r="AO119" t="str">
        <f t="shared" ca="1" si="57"/>
        <v/>
      </c>
      <c r="AP119" t="str">
        <f t="shared" ca="1" si="57"/>
        <v/>
      </c>
      <c r="AQ119" t="str">
        <f t="shared" ca="1" si="57"/>
        <v/>
      </c>
      <c r="AR119" t="str">
        <f t="shared" ca="1" si="57"/>
        <v/>
      </c>
      <c r="AZ119" t="str">
        <f t="shared" ca="1" si="54"/>
        <v/>
      </c>
      <c r="BA119" t="str">
        <f t="shared" ca="1" si="54"/>
        <v/>
      </c>
      <c r="BB119" t="str">
        <f t="shared" ca="1" si="54"/>
        <v/>
      </c>
    </row>
    <row r="120" spans="1:54" x14ac:dyDescent="0.25">
      <c r="A120">
        <v>117</v>
      </c>
      <c r="B120" s="21"/>
      <c r="C120" t="str">
        <f t="shared" ca="1" si="49"/>
        <v/>
      </c>
      <c r="D120" s="17" t="str">
        <f t="shared" ca="1" si="35"/>
        <v/>
      </c>
      <c r="E120" t="str">
        <f t="shared" ca="1" si="36"/>
        <v/>
      </c>
      <c r="F120" t="str">
        <f t="shared" ca="1" si="50"/>
        <v/>
      </c>
      <c r="G120" t="str">
        <f t="shared" ca="1" si="50"/>
        <v/>
      </c>
      <c r="H120" t="str">
        <f t="shared" ca="1" si="50"/>
        <v/>
      </c>
      <c r="J120" t="str">
        <f t="shared" ca="1" si="55"/>
        <v/>
      </c>
      <c r="K120" t="str">
        <f t="shared" ca="1" si="55"/>
        <v/>
      </c>
      <c r="L120" t="str">
        <f t="shared" ca="1" si="55"/>
        <v/>
      </c>
      <c r="M120" t="str">
        <f t="shared" ca="1" si="55"/>
        <v/>
      </c>
      <c r="N120" t="str">
        <f t="shared" ca="1" si="55"/>
        <v/>
      </c>
      <c r="O120" t="str">
        <f t="shared" ca="1" si="55"/>
        <v/>
      </c>
      <c r="P120" t="str">
        <f t="shared" ca="1" si="55"/>
        <v/>
      </c>
      <c r="Q120" t="str">
        <f t="shared" ca="1" si="55"/>
        <v/>
      </c>
      <c r="R120" t="str">
        <f t="shared" ca="1" si="55"/>
        <v/>
      </c>
      <c r="S120" t="str">
        <f t="shared" ca="1" si="55"/>
        <v/>
      </c>
      <c r="T120" t="str">
        <f t="shared" ca="1" si="55"/>
        <v/>
      </c>
      <c r="U120" s="32" t="str">
        <f t="shared" ca="1" si="55"/>
        <v/>
      </c>
      <c r="V120" t="str">
        <f t="shared" ca="1" si="55"/>
        <v/>
      </c>
      <c r="W120" t="str">
        <f t="shared" ca="1" si="55"/>
        <v/>
      </c>
      <c r="X120" s="17" t="str">
        <f t="shared" ca="1" si="37"/>
        <v/>
      </c>
      <c r="Y120" t="str">
        <f t="shared" ca="1" si="56"/>
        <v/>
      </c>
      <c r="Z120" t="str">
        <f t="shared" ca="1" si="56"/>
        <v/>
      </c>
      <c r="AA120" t="str">
        <f t="shared" ca="1" si="56"/>
        <v/>
      </c>
      <c r="AB120" t="str">
        <f t="shared" ca="1" si="56"/>
        <v/>
      </c>
      <c r="AC120" t="str">
        <f t="shared" ca="1" si="56"/>
        <v/>
      </c>
      <c r="AD120" t="str">
        <f t="shared" ca="1" si="56"/>
        <v/>
      </c>
      <c r="AE120" t="str">
        <f t="shared" ca="1" si="56"/>
        <v/>
      </c>
      <c r="AF120" t="str">
        <f t="shared" ca="1" si="56"/>
        <v/>
      </c>
      <c r="AG120" t="str">
        <f t="shared" ca="1" si="56"/>
        <v/>
      </c>
      <c r="AH120" t="str">
        <f t="shared" ca="1" si="56"/>
        <v/>
      </c>
      <c r="AI120" t="str">
        <f t="shared" ca="1" si="57"/>
        <v/>
      </c>
      <c r="AJ120" t="str">
        <f t="shared" ca="1" si="57"/>
        <v/>
      </c>
      <c r="AK120" t="str">
        <f t="shared" ca="1" si="57"/>
        <v/>
      </c>
      <c r="AL120" t="str">
        <f t="shared" ca="1" si="57"/>
        <v/>
      </c>
      <c r="AM120" t="str">
        <f t="shared" ca="1" si="57"/>
        <v/>
      </c>
      <c r="AN120" t="str">
        <f t="shared" ca="1" si="57"/>
        <v/>
      </c>
      <c r="AO120" t="str">
        <f t="shared" ca="1" si="57"/>
        <v/>
      </c>
      <c r="AP120" t="str">
        <f t="shared" ca="1" si="57"/>
        <v/>
      </c>
      <c r="AQ120" t="str">
        <f t="shared" ca="1" si="57"/>
        <v/>
      </c>
      <c r="AR120" t="str">
        <f t="shared" ca="1" si="57"/>
        <v/>
      </c>
      <c r="AZ120" t="str">
        <f t="shared" ca="1" si="54"/>
        <v/>
      </c>
      <c r="BA120" t="str">
        <f t="shared" ca="1" si="54"/>
        <v/>
      </c>
      <c r="BB120" t="str">
        <f t="shared" ca="1" si="54"/>
        <v/>
      </c>
    </row>
    <row r="121" spans="1:54" x14ac:dyDescent="0.25">
      <c r="A121">
        <v>118</v>
      </c>
      <c r="B121" s="21"/>
      <c r="C121" t="str">
        <f t="shared" ca="1" si="49"/>
        <v/>
      </c>
      <c r="D121" s="17" t="str">
        <f t="shared" ca="1" si="35"/>
        <v/>
      </c>
      <c r="E121" t="str">
        <f t="shared" ca="1" si="36"/>
        <v/>
      </c>
      <c r="F121" t="str">
        <f t="shared" ca="1" si="50"/>
        <v/>
      </c>
      <c r="G121" t="str">
        <f t="shared" ca="1" si="50"/>
        <v/>
      </c>
      <c r="H121" t="str">
        <f t="shared" ca="1" si="50"/>
        <v/>
      </c>
      <c r="J121" t="str">
        <f t="shared" ca="1" si="55"/>
        <v/>
      </c>
      <c r="K121" t="str">
        <f t="shared" ca="1" si="55"/>
        <v/>
      </c>
      <c r="L121" t="str">
        <f t="shared" ca="1" si="55"/>
        <v/>
      </c>
      <c r="M121" t="str">
        <f t="shared" ca="1" si="55"/>
        <v/>
      </c>
      <c r="N121" t="str">
        <f t="shared" ca="1" si="55"/>
        <v/>
      </c>
      <c r="O121" t="str">
        <f t="shared" ca="1" si="55"/>
        <v/>
      </c>
      <c r="P121" t="str">
        <f t="shared" ca="1" si="55"/>
        <v/>
      </c>
      <c r="Q121" t="str">
        <f t="shared" ca="1" si="55"/>
        <v/>
      </c>
      <c r="R121" t="str">
        <f t="shared" ca="1" si="55"/>
        <v/>
      </c>
      <c r="S121" t="str">
        <f t="shared" ca="1" si="55"/>
        <v/>
      </c>
      <c r="T121" t="str">
        <f t="shared" ca="1" si="55"/>
        <v/>
      </c>
      <c r="U121" s="32" t="str">
        <f t="shared" ca="1" si="55"/>
        <v/>
      </c>
      <c r="V121" t="str">
        <f t="shared" ca="1" si="55"/>
        <v/>
      </c>
      <c r="W121" t="str">
        <f t="shared" ca="1" si="55"/>
        <v/>
      </c>
      <c r="X121" s="17" t="str">
        <f t="shared" ca="1" si="37"/>
        <v/>
      </c>
      <c r="Y121" t="str">
        <f t="shared" ca="1" si="56"/>
        <v/>
      </c>
      <c r="Z121" t="str">
        <f t="shared" ca="1" si="56"/>
        <v/>
      </c>
      <c r="AA121" t="str">
        <f t="shared" ca="1" si="56"/>
        <v/>
      </c>
      <c r="AB121" t="str">
        <f t="shared" ca="1" si="56"/>
        <v/>
      </c>
      <c r="AC121" t="str">
        <f t="shared" ca="1" si="56"/>
        <v/>
      </c>
      <c r="AD121" t="str">
        <f t="shared" ca="1" si="56"/>
        <v/>
      </c>
      <c r="AE121" t="str">
        <f t="shared" ca="1" si="56"/>
        <v/>
      </c>
      <c r="AF121" t="str">
        <f t="shared" ca="1" si="56"/>
        <v/>
      </c>
      <c r="AG121" t="str">
        <f t="shared" ca="1" si="56"/>
        <v/>
      </c>
      <c r="AH121" t="str">
        <f t="shared" ca="1" si="56"/>
        <v/>
      </c>
      <c r="AI121" t="str">
        <f t="shared" ca="1" si="57"/>
        <v/>
      </c>
      <c r="AJ121" t="str">
        <f t="shared" ca="1" si="57"/>
        <v/>
      </c>
      <c r="AK121" t="str">
        <f t="shared" ca="1" si="57"/>
        <v/>
      </c>
      <c r="AL121" t="str">
        <f t="shared" ca="1" si="57"/>
        <v/>
      </c>
      <c r="AM121" t="str">
        <f t="shared" ca="1" si="57"/>
        <v/>
      </c>
      <c r="AN121" t="str">
        <f t="shared" ca="1" si="57"/>
        <v/>
      </c>
      <c r="AO121" t="str">
        <f t="shared" ca="1" si="57"/>
        <v/>
      </c>
      <c r="AP121" t="str">
        <f t="shared" ca="1" si="57"/>
        <v/>
      </c>
      <c r="AQ121" t="str">
        <f t="shared" ca="1" si="57"/>
        <v/>
      </c>
      <c r="AR121" t="str">
        <f t="shared" ca="1" si="57"/>
        <v/>
      </c>
      <c r="AZ121" t="str">
        <f t="shared" ca="1" si="54"/>
        <v/>
      </c>
      <c r="BA121" t="str">
        <f t="shared" ca="1" si="54"/>
        <v/>
      </c>
      <c r="BB121" t="str">
        <f t="shared" ca="1" si="54"/>
        <v/>
      </c>
    </row>
    <row r="122" spans="1:54" x14ac:dyDescent="0.25">
      <c r="A122">
        <v>119</v>
      </c>
      <c r="B122" s="21"/>
      <c r="C122" t="str">
        <f t="shared" ca="1" si="49"/>
        <v/>
      </c>
      <c r="D122" s="17" t="str">
        <f t="shared" ca="1" si="35"/>
        <v/>
      </c>
      <c r="E122" t="str">
        <f t="shared" ca="1" si="36"/>
        <v/>
      </c>
      <c r="F122" t="str">
        <f t="shared" ca="1" si="50"/>
        <v/>
      </c>
      <c r="G122" t="str">
        <f t="shared" ca="1" si="50"/>
        <v/>
      </c>
      <c r="H122" t="str">
        <f t="shared" ca="1" si="50"/>
        <v/>
      </c>
      <c r="J122" t="str">
        <f t="shared" ca="1" si="55"/>
        <v/>
      </c>
      <c r="K122" t="str">
        <f t="shared" ca="1" si="55"/>
        <v/>
      </c>
      <c r="L122" t="str">
        <f t="shared" ca="1" si="55"/>
        <v/>
      </c>
      <c r="M122" t="str">
        <f t="shared" ca="1" si="55"/>
        <v/>
      </c>
      <c r="N122" t="str">
        <f t="shared" ca="1" si="55"/>
        <v/>
      </c>
      <c r="O122" t="str">
        <f t="shared" ca="1" si="55"/>
        <v/>
      </c>
      <c r="P122" t="str">
        <f t="shared" ca="1" si="55"/>
        <v/>
      </c>
      <c r="Q122" t="str">
        <f t="shared" ca="1" si="55"/>
        <v/>
      </c>
      <c r="R122" t="str">
        <f t="shared" ca="1" si="55"/>
        <v/>
      </c>
      <c r="S122" t="str">
        <f t="shared" ca="1" si="55"/>
        <v/>
      </c>
      <c r="T122" t="str">
        <f t="shared" ca="1" si="55"/>
        <v/>
      </c>
      <c r="U122" s="32" t="str">
        <f t="shared" ca="1" si="55"/>
        <v/>
      </c>
      <c r="V122" t="str">
        <f t="shared" ca="1" si="55"/>
        <v/>
      </c>
      <c r="W122" t="str">
        <f t="shared" ca="1" si="55"/>
        <v/>
      </c>
      <c r="X122" s="17" t="str">
        <f t="shared" ca="1" si="37"/>
        <v/>
      </c>
      <c r="Y122" t="str">
        <f t="shared" ca="1" si="56"/>
        <v/>
      </c>
      <c r="Z122" t="str">
        <f t="shared" ca="1" si="56"/>
        <v/>
      </c>
      <c r="AA122" t="str">
        <f t="shared" ca="1" si="56"/>
        <v/>
      </c>
      <c r="AB122" t="str">
        <f t="shared" ca="1" si="56"/>
        <v/>
      </c>
      <c r="AC122" t="str">
        <f t="shared" ca="1" si="56"/>
        <v/>
      </c>
      <c r="AD122" t="str">
        <f t="shared" ca="1" si="56"/>
        <v/>
      </c>
      <c r="AE122" t="str">
        <f t="shared" ca="1" si="56"/>
        <v/>
      </c>
      <c r="AF122" t="str">
        <f t="shared" ca="1" si="56"/>
        <v/>
      </c>
      <c r="AG122" t="str">
        <f t="shared" ca="1" si="56"/>
        <v/>
      </c>
      <c r="AH122" t="str">
        <f t="shared" ca="1" si="56"/>
        <v/>
      </c>
      <c r="AI122" t="str">
        <f t="shared" ca="1" si="57"/>
        <v/>
      </c>
      <c r="AJ122" t="str">
        <f t="shared" ca="1" si="57"/>
        <v/>
      </c>
      <c r="AK122" t="str">
        <f t="shared" ca="1" si="57"/>
        <v/>
      </c>
      <c r="AL122" t="str">
        <f t="shared" ca="1" si="57"/>
        <v/>
      </c>
      <c r="AM122" t="str">
        <f t="shared" ca="1" si="57"/>
        <v/>
      </c>
      <c r="AN122" t="str">
        <f t="shared" ca="1" si="57"/>
        <v/>
      </c>
      <c r="AO122" t="str">
        <f t="shared" ca="1" si="57"/>
        <v/>
      </c>
      <c r="AP122" t="str">
        <f t="shared" ca="1" si="57"/>
        <v/>
      </c>
      <c r="AQ122" t="str">
        <f t="shared" ca="1" si="57"/>
        <v/>
      </c>
      <c r="AR122" t="str">
        <f t="shared" ca="1" si="57"/>
        <v/>
      </c>
      <c r="AZ122" t="str">
        <f t="shared" ca="1" si="54"/>
        <v/>
      </c>
      <c r="BA122" t="str">
        <f t="shared" ca="1" si="54"/>
        <v/>
      </c>
      <c r="BB122" t="str">
        <f t="shared" ca="1" si="54"/>
        <v/>
      </c>
    </row>
    <row r="123" spans="1:54" x14ac:dyDescent="0.25">
      <c r="A123">
        <v>120</v>
      </c>
      <c r="B123" s="21"/>
      <c r="C123" t="str">
        <f t="shared" ca="1" si="49"/>
        <v/>
      </c>
      <c r="D123" s="17" t="str">
        <f t="shared" ca="1" si="35"/>
        <v/>
      </c>
      <c r="E123" t="str">
        <f t="shared" ca="1" si="36"/>
        <v/>
      </c>
      <c r="F123" t="str">
        <f t="shared" ca="1" si="50"/>
        <v/>
      </c>
      <c r="G123" t="str">
        <f t="shared" ca="1" si="50"/>
        <v/>
      </c>
      <c r="H123" t="str">
        <f t="shared" ca="1" si="50"/>
        <v/>
      </c>
      <c r="J123" t="str">
        <f t="shared" ca="1" si="55"/>
        <v/>
      </c>
      <c r="K123" t="str">
        <f t="shared" ca="1" si="55"/>
        <v/>
      </c>
      <c r="L123" t="str">
        <f t="shared" ca="1" si="55"/>
        <v/>
      </c>
      <c r="M123" t="str">
        <f t="shared" ca="1" si="55"/>
        <v/>
      </c>
      <c r="N123" t="str">
        <f t="shared" ca="1" si="55"/>
        <v/>
      </c>
      <c r="O123" t="str">
        <f t="shared" ca="1" si="55"/>
        <v/>
      </c>
      <c r="P123" t="str">
        <f t="shared" ca="1" si="55"/>
        <v/>
      </c>
      <c r="Q123" t="str">
        <f t="shared" ca="1" si="55"/>
        <v/>
      </c>
      <c r="R123" t="str">
        <f t="shared" ca="1" si="55"/>
        <v/>
      </c>
      <c r="S123" t="str">
        <f t="shared" ca="1" si="55"/>
        <v/>
      </c>
      <c r="T123" t="str">
        <f t="shared" ca="1" si="55"/>
        <v/>
      </c>
      <c r="U123" s="32" t="str">
        <f t="shared" ca="1" si="55"/>
        <v/>
      </c>
      <c r="V123" t="str">
        <f t="shared" ca="1" si="55"/>
        <v/>
      </c>
      <c r="W123" t="str">
        <f t="shared" ca="1" si="55"/>
        <v/>
      </c>
      <c r="X123" s="17" t="str">
        <f t="shared" ca="1" si="37"/>
        <v/>
      </c>
      <c r="Y123" t="str">
        <f t="shared" ca="1" si="56"/>
        <v/>
      </c>
      <c r="Z123" t="str">
        <f t="shared" ca="1" si="56"/>
        <v/>
      </c>
      <c r="AA123" t="str">
        <f t="shared" ca="1" si="56"/>
        <v/>
      </c>
      <c r="AB123" t="str">
        <f t="shared" ca="1" si="56"/>
        <v/>
      </c>
      <c r="AC123" t="str">
        <f t="shared" ca="1" si="56"/>
        <v/>
      </c>
      <c r="AD123" t="str">
        <f t="shared" ca="1" si="56"/>
        <v/>
      </c>
      <c r="AE123" t="str">
        <f t="shared" ca="1" si="56"/>
        <v/>
      </c>
      <c r="AF123" t="str">
        <f t="shared" ca="1" si="56"/>
        <v/>
      </c>
      <c r="AG123" t="str">
        <f t="shared" ca="1" si="56"/>
        <v/>
      </c>
      <c r="AH123" t="str">
        <f t="shared" ca="1" si="56"/>
        <v/>
      </c>
      <c r="AI123" t="str">
        <f t="shared" ca="1" si="57"/>
        <v/>
      </c>
      <c r="AJ123" t="str">
        <f t="shared" ca="1" si="57"/>
        <v/>
      </c>
      <c r="AK123" t="str">
        <f t="shared" ca="1" si="57"/>
        <v/>
      </c>
      <c r="AL123" t="str">
        <f t="shared" ca="1" si="57"/>
        <v/>
      </c>
      <c r="AM123" t="str">
        <f t="shared" ca="1" si="57"/>
        <v/>
      </c>
      <c r="AN123" t="str">
        <f t="shared" ca="1" si="57"/>
        <v/>
      </c>
      <c r="AO123" t="str">
        <f t="shared" ca="1" si="57"/>
        <v/>
      </c>
      <c r="AP123" t="str">
        <f t="shared" ca="1" si="57"/>
        <v/>
      </c>
      <c r="AQ123" t="str">
        <f t="shared" ca="1" si="57"/>
        <v/>
      </c>
      <c r="AR123" t="str">
        <f t="shared" ca="1" si="57"/>
        <v/>
      </c>
      <c r="AZ123" t="str">
        <f t="shared" ca="1" si="54"/>
        <v/>
      </c>
      <c r="BA123" t="str">
        <f t="shared" ca="1" si="54"/>
        <v/>
      </c>
      <c r="BB123" t="str">
        <f t="shared" ca="1" si="54"/>
        <v/>
      </c>
    </row>
  </sheetData>
  <mergeCells count="2">
    <mergeCell ref="AZ2:BB2"/>
    <mergeCell ref="BG2:BN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Q64"/>
  <sheetViews>
    <sheetView showGridLines="0" workbookViewId="0">
      <pane ySplit="3" topLeftCell="A4" activePane="bottomLeft" state="frozen"/>
      <selection pane="bottomLeft" sqref="A1:P1"/>
    </sheetView>
  </sheetViews>
  <sheetFormatPr defaultRowHeight="15" x14ac:dyDescent="0.25"/>
  <cols>
    <col min="1" max="1" width="12" customWidth="1"/>
  </cols>
  <sheetData>
    <row r="1" spans="1:121" x14ac:dyDescent="0.25">
      <c r="A1" s="40" t="s">
        <v>120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58" t="s">
        <v>120</v>
      </c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 t="s">
        <v>120</v>
      </c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</row>
    <row r="2" spans="1:121" x14ac:dyDescent="0.25">
      <c r="A2" s="7" t="s">
        <v>72</v>
      </c>
      <c r="B2" s="7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7">
        <v>12</v>
      </c>
      <c r="N2" s="7">
        <v>13</v>
      </c>
      <c r="O2" s="7">
        <v>14</v>
      </c>
      <c r="P2" s="7">
        <v>15</v>
      </c>
      <c r="Q2" s="7">
        <v>16</v>
      </c>
      <c r="R2" s="7">
        <v>17</v>
      </c>
      <c r="S2" s="7">
        <v>18</v>
      </c>
      <c r="T2" s="7">
        <v>19</v>
      </c>
      <c r="U2" s="7">
        <v>20</v>
      </c>
      <c r="V2" s="7">
        <v>21</v>
      </c>
      <c r="W2" s="7">
        <v>22</v>
      </c>
      <c r="X2" s="7">
        <v>23</v>
      </c>
      <c r="Y2" s="7">
        <v>24</v>
      </c>
      <c r="Z2" s="7">
        <v>25</v>
      </c>
      <c r="AA2" s="7">
        <v>26</v>
      </c>
      <c r="AB2" s="7">
        <v>27</v>
      </c>
      <c r="AC2" s="7">
        <v>28</v>
      </c>
      <c r="AD2" s="7">
        <v>29</v>
      </c>
      <c r="AE2" s="7">
        <v>30</v>
      </c>
      <c r="AF2" s="7">
        <v>31</v>
      </c>
      <c r="AG2" s="7">
        <v>32</v>
      </c>
      <c r="AH2" s="7">
        <v>33</v>
      </c>
      <c r="AI2" s="7">
        <v>34</v>
      </c>
      <c r="AJ2" s="7">
        <v>35</v>
      </c>
      <c r="AK2" s="7">
        <v>36</v>
      </c>
      <c r="AL2" s="7">
        <v>37</v>
      </c>
      <c r="AM2" s="7">
        <v>38</v>
      </c>
      <c r="AN2" s="7">
        <v>39</v>
      </c>
      <c r="AO2" s="7">
        <v>40</v>
      </c>
      <c r="AP2" s="7">
        <v>41</v>
      </c>
      <c r="AQ2" s="7">
        <v>42</v>
      </c>
      <c r="AR2" s="7">
        <v>43</v>
      </c>
      <c r="AS2" s="7">
        <v>44</v>
      </c>
      <c r="AT2" s="7">
        <v>45</v>
      </c>
      <c r="AU2" s="7">
        <v>46</v>
      </c>
      <c r="AV2" s="7">
        <v>47</v>
      </c>
      <c r="AW2" s="7">
        <v>48</v>
      </c>
      <c r="AX2" s="7">
        <v>49</v>
      </c>
      <c r="AY2" s="7">
        <v>50</v>
      </c>
      <c r="AZ2" s="7">
        <v>51</v>
      </c>
      <c r="BA2" s="7">
        <v>52</v>
      </c>
      <c r="BB2" s="7">
        <v>53</v>
      </c>
      <c r="BC2" s="7">
        <v>54</v>
      </c>
      <c r="BD2" s="7">
        <v>55</v>
      </c>
      <c r="BE2" s="7">
        <v>56</v>
      </c>
      <c r="BF2" s="7">
        <v>57</v>
      </c>
      <c r="BG2" s="7">
        <v>58</v>
      </c>
      <c r="BH2" s="7">
        <v>59</v>
      </c>
      <c r="BI2" s="7">
        <v>60</v>
      </c>
      <c r="BJ2" s="7">
        <v>61</v>
      </c>
      <c r="BK2" s="7">
        <v>62</v>
      </c>
      <c r="BL2" s="7">
        <v>63</v>
      </c>
      <c r="BM2" s="7">
        <v>64</v>
      </c>
      <c r="BN2" s="7">
        <v>65</v>
      </c>
      <c r="BO2" s="7">
        <v>66</v>
      </c>
      <c r="BP2" s="7">
        <v>67</v>
      </c>
      <c r="BQ2" s="7">
        <v>68</v>
      </c>
      <c r="BR2" s="7">
        <v>69</v>
      </c>
      <c r="BS2" s="7">
        <v>70</v>
      </c>
      <c r="BT2" s="7">
        <v>71</v>
      </c>
      <c r="BU2" s="7">
        <v>72</v>
      </c>
      <c r="BV2" s="7">
        <v>73</v>
      </c>
      <c r="BW2" s="7">
        <v>74</v>
      </c>
      <c r="BX2" s="7">
        <v>75</v>
      </c>
      <c r="BY2" s="7">
        <v>76</v>
      </c>
      <c r="BZ2" s="7">
        <v>77</v>
      </c>
      <c r="CA2" s="7">
        <v>78</v>
      </c>
      <c r="CB2" s="7">
        <v>79</v>
      </c>
      <c r="CC2" s="7">
        <v>80</v>
      </c>
      <c r="CD2" s="7">
        <v>81</v>
      </c>
      <c r="CE2" s="7">
        <v>82</v>
      </c>
      <c r="CF2" s="7">
        <v>83</v>
      </c>
      <c r="CG2" s="7">
        <v>84</v>
      </c>
      <c r="CH2" s="7">
        <v>85</v>
      </c>
      <c r="CI2" s="7">
        <v>86</v>
      </c>
      <c r="CJ2" s="7">
        <v>87</v>
      </c>
      <c r="CK2" s="7">
        <v>88</v>
      </c>
      <c r="CL2" s="7">
        <v>89</v>
      </c>
      <c r="CM2" s="7">
        <v>90</v>
      </c>
      <c r="CN2" s="7">
        <v>91</v>
      </c>
      <c r="CO2" s="7">
        <v>92</v>
      </c>
      <c r="CP2" s="7">
        <v>93</v>
      </c>
      <c r="CQ2" s="7">
        <v>94</v>
      </c>
      <c r="CR2" s="7">
        <v>95</v>
      </c>
      <c r="CS2" s="7">
        <v>96</v>
      </c>
      <c r="CT2" s="7">
        <v>97</v>
      </c>
      <c r="CU2" s="7">
        <v>98</v>
      </c>
      <c r="CV2" s="7">
        <v>99</v>
      </c>
      <c r="CW2" s="7">
        <v>100</v>
      </c>
      <c r="CX2" s="7">
        <v>101</v>
      </c>
      <c r="CY2" s="7">
        <v>102</v>
      </c>
      <c r="CZ2" s="7">
        <v>103</v>
      </c>
      <c r="DA2" s="7">
        <v>104</v>
      </c>
      <c r="DB2" s="7">
        <v>105</v>
      </c>
      <c r="DC2" s="7">
        <v>106</v>
      </c>
      <c r="DD2" s="7">
        <v>107</v>
      </c>
      <c r="DE2" s="7">
        <v>108</v>
      </c>
      <c r="DF2" s="7">
        <v>109</v>
      </c>
      <c r="DG2" s="7">
        <v>110</v>
      </c>
      <c r="DH2" s="7">
        <v>111</v>
      </c>
      <c r="DI2" s="7">
        <v>112</v>
      </c>
      <c r="DJ2" s="7">
        <v>113</v>
      </c>
      <c r="DK2" s="7">
        <v>114</v>
      </c>
      <c r="DL2" s="7">
        <v>115</v>
      </c>
      <c r="DM2" s="7">
        <v>116</v>
      </c>
      <c r="DN2" s="7">
        <v>117</v>
      </c>
      <c r="DO2" s="7">
        <v>118</v>
      </c>
      <c r="DP2" s="7">
        <v>119</v>
      </c>
      <c r="DQ2" s="7">
        <v>120</v>
      </c>
    </row>
    <row r="3" spans="1:121" x14ac:dyDescent="0.25">
      <c r="A3" s="17" t="s">
        <v>104</v>
      </c>
      <c r="B3" t="s">
        <v>79</v>
      </c>
      <c r="C3" t="s">
        <v>80</v>
      </c>
      <c r="D3" t="s">
        <v>81</v>
      </c>
      <c r="E3" t="s">
        <v>83</v>
      </c>
      <c r="F3" t="s">
        <v>284</v>
      </c>
      <c r="G3" t="s">
        <v>85</v>
      </c>
      <c r="H3" t="s">
        <v>285</v>
      </c>
      <c r="I3" t="s">
        <v>286</v>
      </c>
      <c r="J3" t="s">
        <v>287</v>
      </c>
      <c r="K3" t="s">
        <v>288</v>
      </c>
      <c r="L3" t="s">
        <v>285</v>
      </c>
      <c r="M3" t="s">
        <v>290</v>
      </c>
      <c r="N3" t="s">
        <v>291</v>
      </c>
      <c r="O3" t="s">
        <v>292</v>
      </c>
      <c r="P3" t="s">
        <v>293</v>
      </c>
      <c r="Q3" t="s">
        <v>294</v>
      </c>
      <c r="R3" t="s">
        <v>295</v>
      </c>
      <c r="S3" t="s">
        <v>297</v>
      </c>
      <c r="T3" t="s">
        <v>298</v>
      </c>
      <c r="U3" t="s">
        <v>299</v>
      </c>
      <c r="V3" t="s">
        <v>300</v>
      </c>
      <c r="W3" t="s">
        <v>301</v>
      </c>
      <c r="X3" t="s">
        <v>302</v>
      </c>
      <c r="Y3" t="s">
        <v>303</v>
      </c>
      <c r="Z3" t="s">
        <v>304</v>
      </c>
      <c r="AA3" t="s">
        <v>305</v>
      </c>
      <c r="AB3" t="s">
        <v>306</v>
      </c>
      <c r="AC3" t="s">
        <v>308</v>
      </c>
      <c r="AD3" t="s">
        <v>309</v>
      </c>
      <c r="AE3" t="s">
        <v>310</v>
      </c>
      <c r="AF3" t="s">
        <v>311</v>
      </c>
      <c r="AG3" t="s">
        <v>312</v>
      </c>
      <c r="AH3" t="s">
        <v>313</v>
      </c>
      <c r="AI3" t="s">
        <v>314</v>
      </c>
      <c r="AJ3" t="s">
        <v>315</v>
      </c>
      <c r="AK3" t="s">
        <v>316</v>
      </c>
      <c r="AL3" t="s">
        <v>317</v>
      </c>
      <c r="AM3" t="s">
        <v>318</v>
      </c>
      <c r="AN3" t="s">
        <v>319</v>
      </c>
      <c r="AO3" t="s">
        <v>320</v>
      </c>
      <c r="AP3" t="s">
        <v>321</v>
      </c>
      <c r="AQ3" t="s">
        <v>322</v>
      </c>
      <c r="AR3" t="s">
        <v>88</v>
      </c>
      <c r="AS3" t="s">
        <v>90</v>
      </c>
      <c r="AT3" t="s">
        <v>91</v>
      </c>
      <c r="AU3" t="s">
        <v>323</v>
      </c>
      <c r="AV3" t="s">
        <v>324</v>
      </c>
      <c r="AW3" t="s">
        <v>325</v>
      </c>
      <c r="AX3" t="s">
        <v>326</v>
      </c>
      <c r="AY3" t="s">
        <v>327</v>
      </c>
      <c r="AZ3" t="s">
        <v>328</v>
      </c>
      <c r="BA3" t="s">
        <v>329</v>
      </c>
      <c r="BB3" t="s">
        <v>330</v>
      </c>
      <c r="BC3" t="s">
        <v>331</v>
      </c>
      <c r="BD3" t="s">
        <v>332</v>
      </c>
      <c r="BE3" t="s">
        <v>333</v>
      </c>
      <c r="BF3" t="s">
        <v>334</v>
      </c>
      <c r="BG3" t="s">
        <v>335</v>
      </c>
      <c r="BH3" t="s">
        <v>336</v>
      </c>
      <c r="BI3" t="s">
        <v>337</v>
      </c>
      <c r="BJ3" t="s">
        <v>338</v>
      </c>
      <c r="BK3" t="s">
        <v>339</v>
      </c>
      <c r="BL3" t="s">
        <v>340</v>
      </c>
      <c r="BM3" t="s">
        <v>341</v>
      </c>
      <c r="BN3" t="s">
        <v>342</v>
      </c>
      <c r="BO3" t="s">
        <v>343</v>
      </c>
      <c r="BP3" t="s">
        <v>344</v>
      </c>
      <c r="BQ3" t="s">
        <v>345</v>
      </c>
      <c r="BR3" t="s">
        <v>346</v>
      </c>
      <c r="BS3" t="s">
        <v>347</v>
      </c>
      <c r="BT3" t="s">
        <v>348</v>
      </c>
      <c r="BU3" t="s">
        <v>349</v>
      </c>
      <c r="BV3" t="s">
        <v>9</v>
      </c>
      <c r="BW3" t="s">
        <v>350</v>
      </c>
      <c r="BX3" t="s">
        <v>351</v>
      </c>
      <c r="BY3" t="s">
        <v>352</v>
      </c>
      <c r="BZ3" t="s">
        <v>353</v>
      </c>
      <c r="CA3" t="s">
        <v>354</v>
      </c>
      <c r="CB3" t="s">
        <v>355</v>
      </c>
      <c r="CC3" t="s">
        <v>356</v>
      </c>
      <c r="CD3" t="s">
        <v>357</v>
      </c>
      <c r="CE3" t="s">
        <v>358</v>
      </c>
      <c r="CF3" t="s">
        <v>359</v>
      </c>
    </row>
    <row r="4" spans="1:121" x14ac:dyDescent="0.25">
      <c r="A4" s="17">
        <v>41364</v>
      </c>
      <c r="B4" s="18">
        <v>63.237144000000001</v>
      </c>
      <c r="C4" s="18">
        <v>23.120000999999998</v>
      </c>
      <c r="D4" s="18">
        <v>213.300003</v>
      </c>
      <c r="E4" s="18">
        <v>56.799999</v>
      </c>
      <c r="F4" s="18">
        <v>99.690002000000007</v>
      </c>
      <c r="G4" s="18">
        <v>74.830001999999993</v>
      </c>
      <c r="H4" s="18">
        <v>40.439999</v>
      </c>
      <c r="I4" s="18">
        <v>113.120003</v>
      </c>
      <c r="J4" s="18">
        <v>48</v>
      </c>
      <c r="K4" s="18">
        <v>102.639999</v>
      </c>
      <c r="L4" s="18">
        <v>40.439999</v>
      </c>
      <c r="M4" s="18">
        <v>79.110000999999997</v>
      </c>
      <c r="N4" s="18">
        <v>38.259998000000003</v>
      </c>
      <c r="O4" s="18">
        <v>37.889999000000003</v>
      </c>
      <c r="P4" s="18">
        <v>90.110000999999997</v>
      </c>
      <c r="Q4" s="18">
        <v>118.82</v>
      </c>
      <c r="R4" s="18">
        <v>168.88999899999999</v>
      </c>
      <c r="S4" s="18">
        <v>46.75</v>
      </c>
      <c r="T4" s="18">
        <v>76.669998000000007</v>
      </c>
      <c r="U4" s="18">
        <v>62.52</v>
      </c>
      <c r="V4" s="18">
        <v>105.629997</v>
      </c>
      <c r="W4" s="18">
        <v>59.610000999999997</v>
      </c>
      <c r="X4" s="18">
        <v>43.240001999999997</v>
      </c>
      <c r="Y4" s="18">
        <v>81.529999000000004</v>
      </c>
      <c r="Z4" s="18">
        <v>28.860001</v>
      </c>
      <c r="AA4" s="18">
        <v>44.200001</v>
      </c>
      <c r="AB4" s="18">
        <v>57.209999000000003</v>
      </c>
      <c r="AC4" s="18">
        <v>40.630001</v>
      </c>
      <c r="AD4" s="18">
        <v>63.869999</v>
      </c>
      <c r="AE4" s="18">
        <v>60.869999</v>
      </c>
      <c r="AF4" s="18">
        <v>58.689999</v>
      </c>
      <c r="AG4" s="18">
        <v>92.110000999999997</v>
      </c>
      <c r="AH4" s="18">
        <v>69.779999000000004</v>
      </c>
      <c r="AI4" s="18">
        <v>42.23</v>
      </c>
      <c r="AJ4" s="18">
        <v>60.02</v>
      </c>
      <c r="AK4" s="18">
        <v>64.480002999999996</v>
      </c>
      <c r="AL4" s="18">
        <v>41.342865000000003</v>
      </c>
      <c r="AM4" s="18">
        <v>16.459999</v>
      </c>
      <c r="AN4" s="18">
        <v>43.23</v>
      </c>
      <c r="AO4" s="18">
        <v>71.205001999999993</v>
      </c>
      <c r="AP4" s="18">
        <v>51.439999</v>
      </c>
      <c r="AQ4" s="18">
        <v>325.86999500000002</v>
      </c>
      <c r="AR4" s="18">
        <v>28.785</v>
      </c>
      <c r="AS4" s="18">
        <v>19.899999999999999</v>
      </c>
      <c r="AT4" s="18">
        <v>25.152000000000001</v>
      </c>
      <c r="AU4" s="18">
        <v>41.439999</v>
      </c>
      <c r="AV4" s="18">
        <v>29.23</v>
      </c>
      <c r="AW4" s="18">
        <v>77.680000000000007</v>
      </c>
      <c r="AX4" s="18">
        <v>72.589995999999999</v>
      </c>
      <c r="AY4" s="18">
        <v>46.919998</v>
      </c>
      <c r="AZ4" s="18">
        <v>79.940002000000007</v>
      </c>
      <c r="BA4" s="18">
        <v>68.339995999999999</v>
      </c>
      <c r="BB4" s="18">
        <v>47.459999000000003</v>
      </c>
      <c r="BC4" s="18">
        <v>12.18</v>
      </c>
      <c r="BD4" s="18">
        <v>42.459999000000003</v>
      </c>
      <c r="BE4" s="18">
        <v>44.240001999999997</v>
      </c>
      <c r="BF4" s="18">
        <v>147.14999399999999</v>
      </c>
      <c r="BG4" s="18">
        <v>33.93</v>
      </c>
      <c r="BH4" s="18">
        <v>36.990001999999997</v>
      </c>
      <c r="BI4" s="18">
        <v>54.112999000000002</v>
      </c>
      <c r="BJ4" s="18">
        <v>6.81</v>
      </c>
      <c r="BK4" s="18">
        <v>67.459998999999996</v>
      </c>
      <c r="BL4" s="18">
        <v>106.30999799999999</v>
      </c>
      <c r="BM4" s="18">
        <v>74.950644999999994</v>
      </c>
      <c r="BN4" s="18">
        <v>47.119030000000002</v>
      </c>
      <c r="BO4" s="18">
        <v>60.939999</v>
      </c>
      <c r="BP4" s="18">
        <v>127.30999799999999</v>
      </c>
      <c r="BQ4" s="18">
        <v>115.80999799999999</v>
      </c>
      <c r="BR4" s="18">
        <v>53.419998</v>
      </c>
      <c r="BS4" s="18">
        <v>65.949996999999996</v>
      </c>
      <c r="BT4" s="18">
        <v>47.130001</v>
      </c>
      <c r="BU4" s="18">
        <v>50.716667000000001</v>
      </c>
      <c r="BV4" s="18">
        <v>28.610001</v>
      </c>
      <c r="BW4" s="18">
        <v>21.84</v>
      </c>
      <c r="BX4" s="18">
        <v>49.150002000000001</v>
      </c>
      <c r="BY4" s="18">
        <v>44.707500000000003</v>
      </c>
      <c r="BZ4" s="18">
        <v>65.660004000000001</v>
      </c>
      <c r="CA4" s="18">
        <v>50.560001</v>
      </c>
      <c r="CB4" s="18">
        <v>81.419998000000007</v>
      </c>
      <c r="CC4" s="18">
        <v>12.83</v>
      </c>
      <c r="CD4" s="18">
        <v>25.58</v>
      </c>
      <c r="CE4" s="18">
        <v>10.826521</v>
      </c>
      <c r="CF4" s="18">
        <v>9.98</v>
      </c>
    </row>
    <row r="5" spans="1:121" x14ac:dyDescent="0.25">
      <c r="A5" s="17">
        <v>41394</v>
      </c>
      <c r="B5" s="18">
        <v>63.254283999999998</v>
      </c>
      <c r="C5" s="18">
        <v>22.290001</v>
      </c>
      <c r="D5" s="18">
        <v>202.53999300000001</v>
      </c>
      <c r="E5" s="18">
        <v>62.84</v>
      </c>
      <c r="F5" s="18">
        <v>102.139999</v>
      </c>
      <c r="G5" s="18">
        <v>77.720000999999996</v>
      </c>
      <c r="H5" s="18">
        <v>42.330002</v>
      </c>
      <c r="I5" s="18">
        <v>110.879997</v>
      </c>
      <c r="J5" s="18">
        <v>49.02</v>
      </c>
      <c r="K5" s="18">
        <v>116.300003</v>
      </c>
      <c r="L5" s="18">
        <v>42.330002</v>
      </c>
      <c r="M5" s="18">
        <v>82.470000999999996</v>
      </c>
      <c r="N5" s="18">
        <v>39.979999999999997</v>
      </c>
      <c r="O5" s="18">
        <v>53.990001999999997</v>
      </c>
      <c r="P5" s="18">
        <v>88.989998</v>
      </c>
      <c r="Q5" s="18">
        <v>122.010002</v>
      </c>
      <c r="R5" s="18">
        <v>183.11000100000001</v>
      </c>
      <c r="S5" s="18">
        <v>41.57</v>
      </c>
      <c r="T5" s="18">
        <v>77.190002000000007</v>
      </c>
      <c r="U5" s="18">
        <v>61.25</v>
      </c>
      <c r="V5" s="18">
        <v>106.82</v>
      </c>
      <c r="W5" s="18">
        <v>61.59</v>
      </c>
      <c r="X5" s="18">
        <v>45.349997999999999</v>
      </c>
      <c r="Y5" s="18">
        <v>85.230002999999996</v>
      </c>
      <c r="Z5" s="18">
        <v>29.07</v>
      </c>
      <c r="AA5" s="18">
        <v>47</v>
      </c>
      <c r="AB5" s="18">
        <v>59.93</v>
      </c>
      <c r="AC5" s="18">
        <v>39.889999000000003</v>
      </c>
      <c r="AD5" s="18">
        <v>66.589995999999999</v>
      </c>
      <c r="AE5" s="18">
        <v>66.779999000000004</v>
      </c>
      <c r="AF5" s="18">
        <v>60.5</v>
      </c>
      <c r="AG5" s="18">
        <v>105.730003</v>
      </c>
      <c r="AH5" s="18">
        <v>73.349997999999999</v>
      </c>
      <c r="AI5" s="18">
        <v>43.060001</v>
      </c>
      <c r="AJ5" s="18">
        <v>55.84</v>
      </c>
      <c r="AK5" s="18">
        <v>60.080002</v>
      </c>
      <c r="AL5" s="18">
        <v>40.160477</v>
      </c>
      <c r="AM5" s="18">
        <v>15.24</v>
      </c>
      <c r="AN5" s="18">
        <v>42.68</v>
      </c>
      <c r="AO5" s="18">
        <v>73.980002999999996</v>
      </c>
      <c r="AP5" s="18">
        <v>55.200001</v>
      </c>
      <c r="AQ5" s="18">
        <v>363.19000199999999</v>
      </c>
      <c r="AR5" s="18">
        <v>27.74</v>
      </c>
      <c r="AS5" s="18">
        <v>20.049999</v>
      </c>
      <c r="AT5" s="18">
        <v>25.384001000000001</v>
      </c>
      <c r="AU5" s="18">
        <v>41.880001</v>
      </c>
      <c r="AV5" s="18">
        <v>28.48</v>
      </c>
      <c r="AW5" s="18">
        <v>82.029999000000004</v>
      </c>
      <c r="AX5" s="18">
        <v>75.199996999999996</v>
      </c>
      <c r="AY5" s="18">
        <v>48.23</v>
      </c>
      <c r="AZ5" s="18">
        <v>82.849997999999999</v>
      </c>
      <c r="BA5" s="18">
        <v>72.879997000000003</v>
      </c>
      <c r="BB5" s="18">
        <v>49.009998000000003</v>
      </c>
      <c r="BC5" s="18">
        <v>12.31</v>
      </c>
      <c r="BD5" s="18">
        <v>42.115001999999997</v>
      </c>
      <c r="BE5" s="18">
        <v>46.66</v>
      </c>
      <c r="BF5" s="18">
        <v>146.070007</v>
      </c>
      <c r="BG5" s="18">
        <v>33.279998999999997</v>
      </c>
      <c r="BH5" s="18">
        <v>37.979999999999997</v>
      </c>
      <c r="BI5" s="18">
        <v>55.292999000000002</v>
      </c>
      <c r="BJ5" s="18">
        <v>7.25</v>
      </c>
      <c r="BK5" s="18">
        <v>68.410004000000001</v>
      </c>
      <c r="BL5" s="18">
        <v>104.709999</v>
      </c>
      <c r="BM5" s="18">
        <v>73.150238000000002</v>
      </c>
      <c r="BN5" s="18">
        <v>46.201667999999998</v>
      </c>
      <c r="BO5" s="18">
        <v>64.559997999999993</v>
      </c>
      <c r="BP5" s="18">
        <v>119.650002</v>
      </c>
      <c r="BQ5" s="18">
        <v>106.389999</v>
      </c>
      <c r="BR5" s="18">
        <v>52.029998999999997</v>
      </c>
      <c r="BS5" s="18">
        <v>69.489998</v>
      </c>
      <c r="BT5" s="18">
        <v>46.650002000000001</v>
      </c>
      <c r="BU5" s="18">
        <v>49.860000999999997</v>
      </c>
      <c r="BV5" s="18">
        <v>33.099997999999999</v>
      </c>
      <c r="BW5" s="18">
        <v>23.950001</v>
      </c>
      <c r="BX5" s="18">
        <v>53.91</v>
      </c>
      <c r="BY5" s="18">
        <v>41.110000999999997</v>
      </c>
      <c r="BZ5" s="18">
        <v>59.639999000000003</v>
      </c>
      <c r="CA5" s="18">
        <v>47.93</v>
      </c>
      <c r="CB5" s="18">
        <v>80.860000999999997</v>
      </c>
      <c r="CC5" s="18">
        <v>13.77</v>
      </c>
      <c r="CD5" s="18">
        <v>27.77</v>
      </c>
      <c r="CE5" s="18">
        <v>9.3551319999999993</v>
      </c>
      <c r="CF5" s="18">
        <v>9.42</v>
      </c>
    </row>
    <row r="6" spans="1:121" x14ac:dyDescent="0.25">
      <c r="A6" s="17">
        <v>41425</v>
      </c>
      <c r="B6" s="18">
        <v>64.247146999999998</v>
      </c>
      <c r="C6" s="18">
        <v>23.32</v>
      </c>
      <c r="D6" s="18">
        <v>208.020004</v>
      </c>
      <c r="E6" s="18">
        <v>63.080002</v>
      </c>
      <c r="F6" s="18">
        <v>96.57</v>
      </c>
      <c r="G6" s="18">
        <v>74.839995999999999</v>
      </c>
      <c r="H6" s="18">
        <v>39.990001999999997</v>
      </c>
      <c r="I6" s="18">
        <v>111.16999800000001</v>
      </c>
      <c r="J6" s="18">
        <v>51.450001</v>
      </c>
      <c r="K6" s="18">
        <v>117.550003</v>
      </c>
      <c r="L6" s="18">
        <v>39.990001999999997</v>
      </c>
      <c r="M6" s="18">
        <v>80.769997000000004</v>
      </c>
      <c r="N6" s="18">
        <v>37.57</v>
      </c>
      <c r="O6" s="18">
        <v>97.760002</v>
      </c>
      <c r="P6" s="18">
        <v>90.470000999999996</v>
      </c>
      <c r="Q6" s="18">
        <v>122.75</v>
      </c>
      <c r="R6" s="18">
        <v>188.529999</v>
      </c>
      <c r="S6" s="18">
        <v>46.700001</v>
      </c>
      <c r="T6" s="18">
        <v>80.290001000000004</v>
      </c>
      <c r="U6" s="18">
        <v>66.919998000000007</v>
      </c>
      <c r="V6" s="18">
        <v>100.639999</v>
      </c>
      <c r="W6" s="18">
        <v>60.82</v>
      </c>
      <c r="X6" s="18">
        <v>47.27</v>
      </c>
      <c r="Y6" s="18">
        <v>84.18</v>
      </c>
      <c r="Z6" s="18">
        <v>27.23</v>
      </c>
      <c r="AA6" s="18">
        <v>46.700001</v>
      </c>
      <c r="AB6" s="18">
        <v>62.630001</v>
      </c>
      <c r="AC6" s="18">
        <v>39.060001</v>
      </c>
      <c r="AD6" s="18">
        <v>69.139999000000003</v>
      </c>
      <c r="AE6" s="18">
        <v>66.489998</v>
      </c>
      <c r="AF6" s="18">
        <v>58.5</v>
      </c>
      <c r="AG6" s="18">
        <v>123.290001</v>
      </c>
      <c r="AH6" s="18">
        <v>78.660004000000001</v>
      </c>
      <c r="AI6" s="18">
        <v>42.009998000000003</v>
      </c>
      <c r="AJ6" s="18">
        <v>57.509998000000003</v>
      </c>
      <c r="AK6" s="18">
        <v>58.119999</v>
      </c>
      <c r="AL6" s="18">
        <v>39.032448000000002</v>
      </c>
      <c r="AM6" s="18">
        <v>15.97</v>
      </c>
      <c r="AN6" s="18">
        <v>41.119999</v>
      </c>
      <c r="AO6" s="18">
        <v>77.309997999999993</v>
      </c>
      <c r="AP6" s="18">
        <v>59.27</v>
      </c>
      <c r="AQ6" s="18">
        <v>361</v>
      </c>
      <c r="AR6" s="18">
        <v>26.565000999999999</v>
      </c>
      <c r="AS6" s="18">
        <v>19.73</v>
      </c>
      <c r="AT6" s="18">
        <v>24.872</v>
      </c>
      <c r="AU6" s="18">
        <v>39.939999</v>
      </c>
      <c r="AV6" s="18">
        <v>28.370000999999998</v>
      </c>
      <c r="AW6" s="18">
        <v>75.620002999999997</v>
      </c>
      <c r="AX6" s="18">
        <v>66.930000000000007</v>
      </c>
      <c r="AY6" s="18">
        <v>43.900002000000001</v>
      </c>
      <c r="AZ6" s="18">
        <v>81.300003000000004</v>
      </c>
      <c r="BA6" s="18">
        <v>66.610000999999997</v>
      </c>
      <c r="BB6" s="18">
        <v>54.59</v>
      </c>
      <c r="BC6" s="18">
        <v>13.66</v>
      </c>
      <c r="BD6" s="18">
        <v>44.534999999999997</v>
      </c>
      <c r="BE6" s="18">
        <v>51.990001999999997</v>
      </c>
      <c r="BF6" s="18">
        <v>162.08000200000001</v>
      </c>
      <c r="BG6" s="18">
        <v>35.060001</v>
      </c>
      <c r="BH6" s="18">
        <v>40.549999</v>
      </c>
      <c r="BI6" s="18">
        <v>57.025002000000001</v>
      </c>
      <c r="BJ6" s="18">
        <v>7.2</v>
      </c>
      <c r="BK6" s="18">
        <v>75.709998999999996</v>
      </c>
      <c r="BL6" s="18">
        <v>110.269997</v>
      </c>
      <c r="BM6" s="18">
        <v>78.044158999999993</v>
      </c>
      <c r="BN6" s="18">
        <v>46.868839000000001</v>
      </c>
      <c r="BO6" s="18">
        <v>70.129997000000003</v>
      </c>
      <c r="BP6" s="18">
        <v>124.220001</v>
      </c>
      <c r="BQ6" s="18">
        <v>119.629997</v>
      </c>
      <c r="BR6" s="18">
        <v>55.049999</v>
      </c>
      <c r="BS6" s="18">
        <v>71.220000999999996</v>
      </c>
      <c r="BT6" s="18">
        <v>45.66</v>
      </c>
      <c r="BU6" s="18">
        <v>54.496665999999998</v>
      </c>
      <c r="BV6" s="18">
        <v>34.900002000000001</v>
      </c>
      <c r="BW6" s="18">
        <v>24.280000999999999</v>
      </c>
      <c r="BX6" s="18">
        <v>48.48</v>
      </c>
      <c r="BY6" s="18">
        <v>42.330002</v>
      </c>
      <c r="BZ6" s="18">
        <v>58.439999</v>
      </c>
      <c r="CA6" s="18">
        <v>48.23</v>
      </c>
      <c r="CB6" s="18">
        <v>74.5</v>
      </c>
      <c r="CC6" s="18">
        <v>14.47</v>
      </c>
      <c r="CD6" s="18">
        <v>24.35</v>
      </c>
      <c r="CE6" s="18">
        <v>11.089918000000001</v>
      </c>
      <c r="CF6" s="18">
        <v>11.68</v>
      </c>
    </row>
    <row r="7" spans="1:121" x14ac:dyDescent="0.25">
      <c r="A7" s="17">
        <v>41455</v>
      </c>
      <c r="B7" s="18">
        <v>56.647143999999997</v>
      </c>
      <c r="C7" s="18">
        <v>23.190000999999999</v>
      </c>
      <c r="D7" s="18">
        <v>191.11000100000001</v>
      </c>
      <c r="E7" s="18">
        <v>63.150002000000001</v>
      </c>
      <c r="F7" s="18">
        <v>99</v>
      </c>
      <c r="G7" s="18">
        <v>74.489998</v>
      </c>
      <c r="H7" s="18">
        <v>40.110000999999997</v>
      </c>
      <c r="I7" s="18">
        <v>112.489998</v>
      </c>
      <c r="J7" s="18">
        <v>52.41</v>
      </c>
      <c r="K7" s="18">
        <v>120.660004</v>
      </c>
      <c r="L7" s="18">
        <v>40.110000999999997</v>
      </c>
      <c r="M7" s="18">
        <v>81.790001000000004</v>
      </c>
      <c r="N7" s="18">
        <v>37.25</v>
      </c>
      <c r="O7" s="18">
        <v>107.360001</v>
      </c>
      <c r="P7" s="18">
        <v>90.349997999999999</v>
      </c>
      <c r="Q7" s="18">
        <v>118.339996</v>
      </c>
      <c r="R7" s="18">
        <v>176.60000600000001</v>
      </c>
      <c r="S7" s="18">
        <v>48.205002</v>
      </c>
      <c r="T7" s="18">
        <v>75.160004000000001</v>
      </c>
      <c r="U7" s="18">
        <v>62.290000999999997</v>
      </c>
      <c r="V7" s="18">
        <v>98.800003000000004</v>
      </c>
      <c r="W7" s="18">
        <v>53.810001</v>
      </c>
      <c r="X7" s="18">
        <v>48.310001</v>
      </c>
      <c r="Y7" s="18">
        <v>85.860000999999997</v>
      </c>
      <c r="Z7" s="18">
        <v>28.01</v>
      </c>
      <c r="AA7" s="18">
        <v>46.450001</v>
      </c>
      <c r="AB7" s="18">
        <v>65.480002999999996</v>
      </c>
      <c r="AC7" s="18">
        <v>36.060001</v>
      </c>
      <c r="AD7" s="18">
        <v>66.959998999999996</v>
      </c>
      <c r="AE7" s="18">
        <v>65.819999999999993</v>
      </c>
      <c r="AF7" s="18">
        <v>55.900002000000001</v>
      </c>
      <c r="AG7" s="18">
        <v>126.220001</v>
      </c>
      <c r="AH7" s="18">
        <v>77.470000999999996</v>
      </c>
      <c r="AI7" s="18">
        <v>40.369999</v>
      </c>
      <c r="AJ7" s="18">
        <v>60.150002000000001</v>
      </c>
      <c r="AK7" s="18">
        <v>57.23</v>
      </c>
      <c r="AL7" s="18">
        <v>37.333613999999997</v>
      </c>
      <c r="AM7" s="18">
        <v>16</v>
      </c>
      <c r="AN7" s="18">
        <v>40.360000999999997</v>
      </c>
      <c r="AO7" s="18">
        <v>77.139999000000003</v>
      </c>
      <c r="AP7" s="18">
        <v>58.150002000000001</v>
      </c>
      <c r="AQ7" s="18">
        <v>364.35000600000001</v>
      </c>
      <c r="AR7" s="18">
        <v>26.834999</v>
      </c>
      <c r="AS7" s="18">
        <v>19.510000000000002</v>
      </c>
      <c r="AT7" s="18">
        <v>25.032</v>
      </c>
      <c r="AU7" s="18">
        <v>41.23</v>
      </c>
      <c r="AV7" s="18">
        <v>28.700001</v>
      </c>
      <c r="AW7" s="18">
        <v>81.480002999999996</v>
      </c>
      <c r="AX7" s="18">
        <v>67.5</v>
      </c>
      <c r="AY7" s="18">
        <v>44.130001</v>
      </c>
      <c r="AZ7" s="18">
        <v>81.760002</v>
      </c>
      <c r="BA7" s="18">
        <v>67.010002</v>
      </c>
      <c r="BB7" s="18">
        <v>52.790000999999997</v>
      </c>
      <c r="BC7" s="18">
        <v>12.86</v>
      </c>
      <c r="BD7" s="18">
        <v>45.6875</v>
      </c>
      <c r="BE7" s="18">
        <v>47.970001000000003</v>
      </c>
      <c r="BF7" s="18">
        <v>151.25</v>
      </c>
      <c r="BG7" s="18">
        <v>36.150002000000001</v>
      </c>
      <c r="BH7" s="18">
        <v>41.27</v>
      </c>
      <c r="BI7" s="18">
        <v>57.450001</v>
      </c>
      <c r="BJ7" s="18">
        <v>6.47</v>
      </c>
      <c r="BK7" s="18">
        <v>74.760002</v>
      </c>
      <c r="BL7" s="18">
        <v>109.349998</v>
      </c>
      <c r="BM7" s="18">
        <v>78.919494999999998</v>
      </c>
      <c r="BN7" s="18">
        <v>47.990901999999998</v>
      </c>
      <c r="BO7" s="18">
        <v>69.169998000000007</v>
      </c>
      <c r="BP7" s="18">
        <v>124.220001</v>
      </c>
      <c r="BQ7" s="18">
        <v>108.459999</v>
      </c>
      <c r="BR7" s="18">
        <v>53.810001</v>
      </c>
      <c r="BS7" s="18">
        <v>69.309997999999993</v>
      </c>
      <c r="BT7" s="18">
        <v>43.439999</v>
      </c>
      <c r="BU7" s="18">
        <v>56.696666999999998</v>
      </c>
      <c r="BV7" s="18">
        <v>34.540000999999997</v>
      </c>
      <c r="BW7" s="18">
        <v>24.23</v>
      </c>
      <c r="BX7" s="18">
        <v>50.34</v>
      </c>
      <c r="BY7" s="18">
        <v>38.18</v>
      </c>
      <c r="BZ7" s="18">
        <v>61.040000999999997</v>
      </c>
      <c r="CA7" s="18">
        <v>47.82</v>
      </c>
      <c r="CB7" s="18">
        <v>73.099997999999999</v>
      </c>
      <c r="CC7" s="18">
        <v>14.04</v>
      </c>
      <c r="CD7" s="18">
        <v>24.879999000000002</v>
      </c>
      <c r="CE7" s="18">
        <v>11.262487999999999</v>
      </c>
      <c r="CF7" s="18">
        <v>14.33</v>
      </c>
    </row>
    <row r="8" spans="1:121" x14ac:dyDescent="0.25">
      <c r="A8" s="17">
        <v>41486</v>
      </c>
      <c r="B8" s="18">
        <v>64.647141000000005</v>
      </c>
      <c r="C8" s="18">
        <v>24.370000999999998</v>
      </c>
      <c r="D8" s="18">
        <v>195.03999300000001</v>
      </c>
      <c r="E8" s="18">
        <v>64.650002000000001</v>
      </c>
      <c r="F8" s="18">
        <v>98.080001999999993</v>
      </c>
      <c r="G8" s="18">
        <v>77.940002000000007</v>
      </c>
      <c r="H8" s="18">
        <v>40.080002</v>
      </c>
      <c r="I8" s="18">
        <v>118.989998</v>
      </c>
      <c r="J8" s="18">
        <v>52.779998999999997</v>
      </c>
      <c r="K8" s="18">
        <v>121.900002</v>
      </c>
      <c r="L8" s="18">
        <v>40.080002</v>
      </c>
      <c r="M8" s="18">
        <v>83.540001000000004</v>
      </c>
      <c r="N8" s="18">
        <v>37.139999000000003</v>
      </c>
      <c r="O8" s="18">
        <v>134.279999</v>
      </c>
      <c r="P8" s="18">
        <v>93.75</v>
      </c>
      <c r="Q8" s="18">
        <v>125.889999</v>
      </c>
      <c r="R8" s="18">
        <v>174.16999799999999</v>
      </c>
      <c r="S8" s="18">
        <v>52.009998000000003</v>
      </c>
      <c r="T8" s="18">
        <v>80.680000000000007</v>
      </c>
      <c r="U8" s="18">
        <v>62.009998000000003</v>
      </c>
      <c r="V8" s="18">
        <v>98.779999000000004</v>
      </c>
      <c r="W8" s="18">
        <v>41.09</v>
      </c>
      <c r="X8" s="18">
        <v>50.25</v>
      </c>
      <c r="Y8" s="18">
        <v>93.5</v>
      </c>
      <c r="Z8" s="18">
        <v>29.23</v>
      </c>
      <c r="AA8" s="18">
        <v>48.169998</v>
      </c>
      <c r="AB8" s="18">
        <v>72.849997999999999</v>
      </c>
      <c r="AC8" s="18">
        <v>39</v>
      </c>
      <c r="AD8" s="18">
        <v>69.949996999999996</v>
      </c>
      <c r="AE8" s="18">
        <v>74.930000000000007</v>
      </c>
      <c r="AF8" s="18">
        <v>65.510002</v>
      </c>
      <c r="AG8" s="18">
        <v>134.270004</v>
      </c>
      <c r="AH8" s="18">
        <v>79.029999000000004</v>
      </c>
      <c r="AI8" s="18">
        <v>41.57</v>
      </c>
      <c r="AJ8" s="18">
        <v>47.130001</v>
      </c>
      <c r="AK8" s="18">
        <v>62.299999</v>
      </c>
      <c r="AL8" s="18">
        <v>39.290672000000001</v>
      </c>
      <c r="AM8" s="18">
        <v>18.010000000000002</v>
      </c>
      <c r="AN8" s="18">
        <v>45.25</v>
      </c>
      <c r="AO8" s="18">
        <v>79.294998000000007</v>
      </c>
      <c r="AP8" s="18">
        <v>62.580002</v>
      </c>
      <c r="AQ8" s="18">
        <v>412.26998900000001</v>
      </c>
      <c r="AR8" s="18">
        <v>32.110000999999997</v>
      </c>
      <c r="AS8" s="18">
        <v>21.799999</v>
      </c>
      <c r="AT8" s="18">
        <v>27.087999</v>
      </c>
      <c r="AU8" s="18">
        <v>42.68</v>
      </c>
      <c r="AV8" s="18">
        <v>29.9</v>
      </c>
      <c r="AW8" s="18">
        <v>86.610000999999997</v>
      </c>
      <c r="AX8" s="18">
        <v>71</v>
      </c>
      <c r="AY8" s="18">
        <v>44.84</v>
      </c>
      <c r="AZ8" s="18">
        <v>87.629997000000003</v>
      </c>
      <c r="BA8" s="18">
        <v>70.699996999999996</v>
      </c>
      <c r="BB8" s="18">
        <v>55.73</v>
      </c>
      <c r="BC8" s="18">
        <v>14.6</v>
      </c>
      <c r="BD8" s="18">
        <v>44.252499</v>
      </c>
      <c r="BE8" s="18">
        <v>52.139999000000003</v>
      </c>
      <c r="BF8" s="18">
        <v>164.029999</v>
      </c>
      <c r="BG8" s="18">
        <v>37.32</v>
      </c>
      <c r="BH8" s="18">
        <v>43.5</v>
      </c>
      <c r="BI8" s="18">
        <v>61.061000999999997</v>
      </c>
      <c r="BJ8" s="18">
        <v>7.32</v>
      </c>
      <c r="BK8" s="18">
        <v>73.769997000000004</v>
      </c>
      <c r="BL8" s="18">
        <v>117.43</v>
      </c>
      <c r="BM8" s="18">
        <v>82.540206999999995</v>
      </c>
      <c r="BN8" s="18">
        <v>51.053829</v>
      </c>
      <c r="BO8" s="18">
        <v>72.040001000000004</v>
      </c>
      <c r="BP8" s="18">
        <v>125.959999</v>
      </c>
      <c r="BQ8" s="18">
        <v>121.19000200000001</v>
      </c>
      <c r="BR8" s="18">
        <v>59.650002000000001</v>
      </c>
      <c r="BS8" s="18">
        <v>72.160004000000001</v>
      </c>
      <c r="BT8" s="18">
        <v>46.169998</v>
      </c>
      <c r="BU8" s="18">
        <v>59.646667000000001</v>
      </c>
      <c r="BV8" s="18">
        <v>31.84</v>
      </c>
      <c r="BW8" s="18">
        <v>23.34</v>
      </c>
      <c r="BX8" s="18">
        <v>49.48</v>
      </c>
      <c r="BY8" s="18">
        <v>43.75</v>
      </c>
      <c r="BZ8" s="18">
        <v>63.919998</v>
      </c>
      <c r="CA8" s="18">
        <v>51.77</v>
      </c>
      <c r="CB8" s="18">
        <v>79.839995999999999</v>
      </c>
      <c r="CC8" s="18">
        <v>14.44</v>
      </c>
      <c r="CD8" s="18">
        <v>36.799999</v>
      </c>
      <c r="CE8" s="18">
        <v>11.662126000000001</v>
      </c>
      <c r="CF8" s="18">
        <v>13.24</v>
      </c>
    </row>
    <row r="9" spans="1:121" x14ac:dyDescent="0.25">
      <c r="A9" s="17">
        <v>41517</v>
      </c>
      <c r="B9" s="18">
        <v>69.602858999999995</v>
      </c>
      <c r="C9" s="18">
        <v>23.139999</v>
      </c>
      <c r="D9" s="18">
        <v>182.270004</v>
      </c>
      <c r="E9" s="18">
        <v>60.830002</v>
      </c>
      <c r="F9" s="18">
        <v>94.360000999999997</v>
      </c>
      <c r="G9" s="18">
        <v>72.980002999999996</v>
      </c>
      <c r="H9" s="18">
        <v>38.18</v>
      </c>
      <c r="I9" s="18">
        <v>117.489998</v>
      </c>
      <c r="J9" s="18">
        <v>52.09</v>
      </c>
      <c r="K9" s="18">
        <v>120.790001</v>
      </c>
      <c r="L9" s="18">
        <v>38.18</v>
      </c>
      <c r="M9" s="18">
        <v>79.730002999999996</v>
      </c>
      <c r="N9" s="18">
        <v>35.939999</v>
      </c>
      <c r="O9" s="18">
        <v>169</v>
      </c>
      <c r="P9" s="18">
        <v>87.160004000000001</v>
      </c>
      <c r="Q9" s="18">
        <v>120.43</v>
      </c>
      <c r="R9" s="18">
        <v>172.39999399999999</v>
      </c>
      <c r="S9" s="18">
        <v>50.59</v>
      </c>
      <c r="T9" s="18">
        <v>79.010002</v>
      </c>
      <c r="U9" s="18">
        <v>62.369999</v>
      </c>
      <c r="V9" s="18">
        <v>97.889999000000003</v>
      </c>
      <c r="W9" s="18">
        <v>41.650002000000001</v>
      </c>
      <c r="X9" s="18">
        <v>52.709999000000003</v>
      </c>
      <c r="Y9" s="18">
        <v>86.410004000000001</v>
      </c>
      <c r="Z9" s="18">
        <v>28.209999</v>
      </c>
      <c r="AA9" s="18">
        <v>47.290000999999997</v>
      </c>
      <c r="AB9" s="18">
        <v>71.739998</v>
      </c>
      <c r="AC9" s="18">
        <v>38.189999</v>
      </c>
      <c r="AD9" s="18">
        <v>67.75</v>
      </c>
      <c r="AE9" s="18">
        <v>70.910004000000001</v>
      </c>
      <c r="AF9" s="18">
        <v>65.800003000000004</v>
      </c>
      <c r="AG9" s="18">
        <v>135.179993</v>
      </c>
      <c r="AH9" s="18">
        <v>74.489998</v>
      </c>
      <c r="AI9" s="18">
        <v>39.990001999999997</v>
      </c>
      <c r="AJ9" s="18">
        <v>46.759998000000003</v>
      </c>
      <c r="AK9" s="18">
        <v>59.360000999999997</v>
      </c>
      <c r="AL9" s="18">
        <v>38.176234999999998</v>
      </c>
      <c r="AM9" s="18">
        <v>19.149999999999999</v>
      </c>
      <c r="AN9" s="18">
        <v>43.400002000000001</v>
      </c>
      <c r="AO9" s="18">
        <v>76.769997000000004</v>
      </c>
      <c r="AP9" s="18">
        <v>61.439999</v>
      </c>
      <c r="AQ9" s="18">
        <v>408.17001299999998</v>
      </c>
      <c r="AR9" s="18">
        <v>26.299999</v>
      </c>
      <c r="AS9" s="18">
        <v>19.950001</v>
      </c>
      <c r="AT9" s="18">
        <v>24.295999999999999</v>
      </c>
      <c r="AU9" s="18">
        <v>40.740001999999997</v>
      </c>
      <c r="AV9" s="18">
        <v>30.459999</v>
      </c>
      <c r="AW9" s="18">
        <v>80.360000999999997</v>
      </c>
      <c r="AX9" s="18">
        <v>65.599997999999999</v>
      </c>
      <c r="AY9" s="18">
        <v>41.619999</v>
      </c>
      <c r="AZ9" s="18">
        <v>84.419998000000007</v>
      </c>
      <c r="BA9" s="18">
        <v>66.870002999999997</v>
      </c>
      <c r="BB9" s="18">
        <v>50.529998999999997</v>
      </c>
      <c r="BC9" s="18">
        <v>14.12</v>
      </c>
      <c r="BD9" s="18">
        <v>43.604999999999997</v>
      </c>
      <c r="BE9" s="18">
        <v>48.330002</v>
      </c>
      <c r="BF9" s="18">
        <v>152.13000500000001</v>
      </c>
      <c r="BG9" s="18">
        <v>36.130001</v>
      </c>
      <c r="BH9" s="18">
        <v>41.080002</v>
      </c>
      <c r="BI9" s="18">
        <v>60.608001999999999</v>
      </c>
      <c r="BJ9" s="18">
        <v>7.11</v>
      </c>
      <c r="BK9" s="18">
        <v>71.910004000000001</v>
      </c>
      <c r="BL9" s="18">
        <v>113.58000199999999</v>
      </c>
      <c r="BM9" s="18">
        <v>79.148276999999993</v>
      </c>
      <c r="BN9" s="18">
        <v>49.673996000000002</v>
      </c>
      <c r="BO9" s="18">
        <v>71.470000999999996</v>
      </c>
      <c r="BP9" s="18">
        <v>123.699997</v>
      </c>
      <c r="BQ9" s="18">
        <v>123.199997</v>
      </c>
      <c r="BR9" s="18">
        <v>59.369999</v>
      </c>
      <c r="BS9" s="18">
        <v>66.650002000000001</v>
      </c>
      <c r="BT9" s="18">
        <v>45.599997999999999</v>
      </c>
      <c r="BU9" s="18">
        <v>61.98</v>
      </c>
      <c r="BV9" s="18">
        <v>33.400002000000001</v>
      </c>
      <c r="BW9" s="18">
        <v>21.98</v>
      </c>
      <c r="BX9" s="18">
        <v>47.380001</v>
      </c>
      <c r="BY9" s="18">
        <v>49.130001</v>
      </c>
      <c r="BZ9" s="18">
        <v>63.529998999999997</v>
      </c>
      <c r="CA9" s="18">
        <v>50.52</v>
      </c>
      <c r="CB9" s="18">
        <v>83.980002999999996</v>
      </c>
      <c r="CC9" s="18">
        <v>14.75</v>
      </c>
      <c r="CD9" s="18">
        <v>41.290000999999997</v>
      </c>
      <c r="CE9" s="18">
        <v>10.145322999999999</v>
      </c>
      <c r="CF9" s="18">
        <v>13.57</v>
      </c>
    </row>
    <row r="10" spans="1:121" x14ac:dyDescent="0.25">
      <c r="A10" s="17">
        <v>41547</v>
      </c>
      <c r="B10" s="18">
        <v>68.107140000000001</v>
      </c>
      <c r="C10" s="18">
        <v>23.889999</v>
      </c>
      <c r="D10" s="18">
        <v>185.179993</v>
      </c>
      <c r="E10" s="18">
        <v>64.489998</v>
      </c>
      <c r="F10" s="18">
        <v>96.209998999999996</v>
      </c>
      <c r="G10" s="18">
        <v>73.959998999999996</v>
      </c>
      <c r="H10" s="18">
        <v>37.880001</v>
      </c>
      <c r="I10" s="18">
        <v>130.25</v>
      </c>
      <c r="J10" s="18">
        <v>56.07</v>
      </c>
      <c r="K10" s="18">
        <v>128.029999</v>
      </c>
      <c r="L10" s="18">
        <v>37.880001</v>
      </c>
      <c r="M10" s="18">
        <v>79.5</v>
      </c>
      <c r="N10" s="18">
        <v>38.139999000000003</v>
      </c>
      <c r="O10" s="18">
        <v>193.36999499999999</v>
      </c>
      <c r="P10" s="18">
        <v>86.040001000000004</v>
      </c>
      <c r="Q10" s="18">
        <v>121.5</v>
      </c>
      <c r="R10" s="18">
        <v>182.179993</v>
      </c>
      <c r="S10" s="18">
        <v>52.330002</v>
      </c>
      <c r="T10" s="18">
        <v>82.300003000000004</v>
      </c>
      <c r="U10" s="18">
        <v>62.939999</v>
      </c>
      <c r="V10" s="18">
        <v>104.370003</v>
      </c>
      <c r="W10" s="18">
        <v>43.02</v>
      </c>
      <c r="X10" s="18">
        <v>55.029998999999997</v>
      </c>
      <c r="Y10" s="18">
        <v>86.690002000000007</v>
      </c>
      <c r="Z10" s="18">
        <v>28.73</v>
      </c>
      <c r="AA10" s="18">
        <v>47.610000999999997</v>
      </c>
      <c r="AB10" s="18">
        <v>71.610000999999997</v>
      </c>
      <c r="AC10" s="18">
        <v>42.75</v>
      </c>
      <c r="AD10" s="18">
        <v>74.989998</v>
      </c>
      <c r="AE10" s="18">
        <v>78.849997999999999</v>
      </c>
      <c r="AF10" s="18">
        <v>76</v>
      </c>
      <c r="AG10" s="18">
        <v>144</v>
      </c>
      <c r="AH10" s="18">
        <v>75.849997999999999</v>
      </c>
      <c r="AI10" s="18">
        <v>42.060001</v>
      </c>
      <c r="AJ10" s="18">
        <v>51.810001</v>
      </c>
      <c r="AK10" s="18">
        <v>60.970001000000003</v>
      </c>
      <c r="AL10" s="18">
        <v>39.698391000000001</v>
      </c>
      <c r="AM10" s="18">
        <v>18.989999999999998</v>
      </c>
      <c r="AN10" s="18">
        <v>42.959999000000003</v>
      </c>
      <c r="AO10" s="18">
        <v>77.669998000000007</v>
      </c>
      <c r="AP10" s="18">
        <v>67.949996999999996</v>
      </c>
      <c r="AQ10" s="18">
        <v>428.79998799999998</v>
      </c>
      <c r="AR10" s="18">
        <v>27.559999000000001</v>
      </c>
      <c r="AS10" s="18">
        <v>20.32</v>
      </c>
      <c r="AT10" s="18">
        <v>24.73</v>
      </c>
      <c r="AU10" s="18">
        <v>41.279998999999997</v>
      </c>
      <c r="AV10" s="18">
        <v>32.159999999999997</v>
      </c>
      <c r="AW10" s="18">
        <v>80.160004000000001</v>
      </c>
      <c r="AX10" s="18">
        <v>66.779999000000004</v>
      </c>
      <c r="AY10" s="18">
        <v>41.18</v>
      </c>
      <c r="AZ10" s="18">
        <v>85.599997999999999</v>
      </c>
      <c r="BA10" s="18">
        <v>65.980002999999996</v>
      </c>
      <c r="BB10" s="18">
        <v>51.689999</v>
      </c>
      <c r="BC10" s="18">
        <v>13.8</v>
      </c>
      <c r="BD10" s="18">
        <v>47.775002000000001</v>
      </c>
      <c r="BE10" s="18">
        <v>48.509998000000003</v>
      </c>
      <c r="BF10" s="18">
        <v>158.21000699999999</v>
      </c>
      <c r="BG10" s="18">
        <v>36.580002</v>
      </c>
      <c r="BH10" s="18">
        <v>41.32</v>
      </c>
      <c r="BI10" s="18">
        <v>67.278000000000006</v>
      </c>
      <c r="BJ10" s="18">
        <v>8.17</v>
      </c>
      <c r="BK10" s="18">
        <v>75.519997000000004</v>
      </c>
      <c r="BL10" s="18">
        <v>119.410004</v>
      </c>
      <c r="BM10" s="18">
        <v>82.599891999999997</v>
      </c>
      <c r="BN10" s="18">
        <v>52.554966</v>
      </c>
      <c r="BO10" s="18">
        <v>76.269997000000004</v>
      </c>
      <c r="BP10" s="18">
        <v>132.86999499999999</v>
      </c>
      <c r="BQ10" s="18">
        <v>132.86999499999999</v>
      </c>
      <c r="BR10" s="18">
        <v>65.25</v>
      </c>
      <c r="BS10" s="18">
        <v>73.629997000000003</v>
      </c>
      <c r="BT10" s="18">
        <v>45.560001</v>
      </c>
      <c r="BU10" s="18">
        <v>69.636664999999994</v>
      </c>
      <c r="BV10" s="18">
        <v>33.279998999999997</v>
      </c>
      <c r="BW10" s="18">
        <v>22.92</v>
      </c>
      <c r="BX10" s="18">
        <v>46.669998</v>
      </c>
      <c r="BY10" s="18">
        <v>51.91</v>
      </c>
      <c r="BZ10" s="18">
        <v>66.309997999999993</v>
      </c>
      <c r="CA10" s="18">
        <v>46.139999000000003</v>
      </c>
      <c r="CB10" s="18">
        <v>86.519997000000004</v>
      </c>
      <c r="CC10" s="18">
        <v>15.56</v>
      </c>
      <c r="CD10" s="18">
        <v>50.23</v>
      </c>
      <c r="CE10" s="18">
        <v>9.5322440000000004</v>
      </c>
      <c r="CF10" s="18">
        <v>17.469999000000001</v>
      </c>
    </row>
    <row r="11" spans="1:121" x14ac:dyDescent="0.25">
      <c r="A11" s="17">
        <v>41578</v>
      </c>
      <c r="B11" s="18">
        <v>74.671424999999999</v>
      </c>
      <c r="C11" s="18">
        <v>26.139999</v>
      </c>
      <c r="D11" s="18">
        <v>179.21000699999999</v>
      </c>
      <c r="E11" s="18">
        <v>68.589995999999999</v>
      </c>
      <c r="F11" s="18">
        <v>96.519997000000004</v>
      </c>
      <c r="G11" s="18">
        <v>76.75</v>
      </c>
      <c r="H11" s="18">
        <v>39.57</v>
      </c>
      <c r="I11" s="18">
        <v>132.41999799999999</v>
      </c>
      <c r="J11" s="18">
        <v>54.380001</v>
      </c>
      <c r="K11" s="18">
        <v>129.41999799999999</v>
      </c>
      <c r="L11" s="18">
        <v>39.57</v>
      </c>
      <c r="M11" s="18">
        <v>84.089995999999999</v>
      </c>
      <c r="N11" s="18">
        <v>39.959999000000003</v>
      </c>
      <c r="O11" s="18">
        <v>159.94000199999999</v>
      </c>
      <c r="P11" s="18">
        <v>89.620002999999997</v>
      </c>
      <c r="Q11" s="18">
        <v>119.959999</v>
      </c>
      <c r="R11" s="18">
        <v>188</v>
      </c>
      <c r="S11" s="18">
        <v>53.709999000000003</v>
      </c>
      <c r="T11" s="18">
        <v>82.650002000000001</v>
      </c>
      <c r="U11" s="18">
        <v>66.190002000000007</v>
      </c>
      <c r="V11" s="18">
        <v>104.879997</v>
      </c>
      <c r="W11" s="18">
        <v>45.849997999999999</v>
      </c>
      <c r="X11" s="18">
        <v>58.720001000000003</v>
      </c>
      <c r="Y11" s="18">
        <v>92.610000999999997</v>
      </c>
      <c r="Z11" s="18">
        <v>30.690000999999999</v>
      </c>
      <c r="AA11" s="18">
        <v>45.09</v>
      </c>
      <c r="AB11" s="18">
        <v>68.260002</v>
      </c>
      <c r="AC11" s="18">
        <v>47.139999000000003</v>
      </c>
      <c r="AD11" s="18">
        <v>80.559997999999993</v>
      </c>
      <c r="AE11" s="18">
        <v>88.519997000000004</v>
      </c>
      <c r="AF11" s="18">
        <v>78.349997999999999</v>
      </c>
      <c r="AG11" s="18">
        <v>154.58000200000001</v>
      </c>
      <c r="AH11" s="18">
        <v>77.889999000000003</v>
      </c>
      <c r="AI11" s="18">
        <v>45.080002</v>
      </c>
      <c r="AJ11" s="18">
        <v>58.970001000000003</v>
      </c>
      <c r="AK11" s="18">
        <v>66.400002000000001</v>
      </c>
      <c r="AL11" s="18">
        <v>39.888660000000002</v>
      </c>
      <c r="AM11" s="18">
        <v>21.98</v>
      </c>
      <c r="AN11" s="18">
        <v>47.599997999999999</v>
      </c>
      <c r="AO11" s="18">
        <v>75.699996999999996</v>
      </c>
      <c r="AP11" s="18">
        <v>67.059997999999993</v>
      </c>
      <c r="AQ11" s="18">
        <v>526.96997099999999</v>
      </c>
      <c r="AR11" s="18">
        <v>28.48</v>
      </c>
      <c r="AS11" s="18">
        <v>21.799999</v>
      </c>
      <c r="AT11" s="18">
        <v>25.18</v>
      </c>
      <c r="AU11" s="18">
        <v>42.869999</v>
      </c>
      <c r="AV11" s="18">
        <v>32.049999</v>
      </c>
      <c r="AW11" s="18">
        <v>84.75</v>
      </c>
      <c r="AX11" s="18">
        <v>71.730002999999996</v>
      </c>
      <c r="AY11" s="18">
        <v>40.909999999999997</v>
      </c>
      <c r="AZ11" s="18">
        <v>91.139999000000003</v>
      </c>
      <c r="BA11" s="18">
        <v>69.139999000000003</v>
      </c>
      <c r="BB11" s="18">
        <v>51.540000999999997</v>
      </c>
      <c r="BC11" s="18">
        <v>13.97</v>
      </c>
      <c r="BD11" s="18">
        <v>49.167499999999997</v>
      </c>
      <c r="BE11" s="18">
        <v>48.779998999999997</v>
      </c>
      <c r="BF11" s="18">
        <v>160.86000100000001</v>
      </c>
      <c r="BG11" s="18">
        <v>37.360000999999997</v>
      </c>
      <c r="BH11" s="18">
        <v>42.689999</v>
      </c>
      <c r="BI11" s="18">
        <v>71.709998999999996</v>
      </c>
      <c r="BJ11" s="18">
        <v>8.91</v>
      </c>
      <c r="BK11" s="18">
        <v>81.800003000000004</v>
      </c>
      <c r="BL11" s="18">
        <v>125.849998</v>
      </c>
      <c r="BM11" s="18">
        <v>86.270331999999996</v>
      </c>
      <c r="BN11" s="18">
        <v>54.655040999999997</v>
      </c>
      <c r="BO11" s="18">
        <v>78.790001000000004</v>
      </c>
      <c r="BP11" s="18">
        <v>126.80999799999999</v>
      </c>
      <c r="BQ11" s="18">
        <v>127.019997</v>
      </c>
      <c r="BR11" s="18">
        <v>69.150002000000001</v>
      </c>
      <c r="BS11" s="18">
        <v>72.089995999999999</v>
      </c>
      <c r="BT11" s="18">
        <v>48.310001</v>
      </c>
      <c r="BU11" s="18">
        <v>75.883330999999998</v>
      </c>
      <c r="BV11" s="18">
        <v>35.409999999999997</v>
      </c>
      <c r="BW11" s="18">
        <v>24.469999000000001</v>
      </c>
      <c r="BX11" s="18">
        <v>50.509998000000003</v>
      </c>
      <c r="BY11" s="18">
        <v>53.360000999999997</v>
      </c>
      <c r="BZ11" s="18">
        <v>71.410004000000001</v>
      </c>
      <c r="CA11" s="18">
        <v>43.27</v>
      </c>
      <c r="CB11" s="18">
        <v>87.449996999999996</v>
      </c>
      <c r="CC11" s="18">
        <v>15.19</v>
      </c>
      <c r="CD11" s="18">
        <v>50.209999000000003</v>
      </c>
      <c r="CE11" s="18">
        <v>11.067211</v>
      </c>
      <c r="CF11" s="18">
        <v>17.68</v>
      </c>
    </row>
    <row r="12" spans="1:121" x14ac:dyDescent="0.25">
      <c r="A12" s="17">
        <v>41608</v>
      </c>
      <c r="B12" s="18">
        <v>79.438568000000004</v>
      </c>
      <c r="C12" s="18">
        <v>26.66</v>
      </c>
      <c r="D12" s="18">
        <v>179.679993</v>
      </c>
      <c r="E12" s="18">
        <v>70.540001000000004</v>
      </c>
      <c r="F12" s="18">
        <v>97.370002999999997</v>
      </c>
      <c r="G12" s="18">
        <v>81.010002</v>
      </c>
      <c r="H12" s="18">
        <v>40.189999</v>
      </c>
      <c r="I12" s="18">
        <v>140.020004</v>
      </c>
      <c r="J12" s="18">
        <v>56.040000999999997</v>
      </c>
      <c r="K12" s="18">
        <v>125.050003</v>
      </c>
      <c r="L12" s="18">
        <v>40.189999</v>
      </c>
      <c r="M12" s="18">
        <v>84.459998999999996</v>
      </c>
      <c r="N12" s="18">
        <v>42.360000999999997</v>
      </c>
      <c r="O12" s="18">
        <v>127.279999</v>
      </c>
      <c r="P12" s="18">
        <v>93.480002999999996</v>
      </c>
      <c r="Q12" s="18">
        <v>122.44000200000001</v>
      </c>
      <c r="R12" s="18">
        <v>183.029999</v>
      </c>
      <c r="S12" s="18">
        <v>56.290000999999997</v>
      </c>
      <c r="T12" s="18">
        <v>88.349997999999999</v>
      </c>
      <c r="U12" s="18">
        <v>68.709998999999996</v>
      </c>
      <c r="V12" s="18">
        <v>113.33000199999999</v>
      </c>
      <c r="W12" s="18">
        <v>47.900002000000001</v>
      </c>
      <c r="X12" s="18">
        <v>58.580002</v>
      </c>
      <c r="Y12" s="18">
        <v>94.660004000000001</v>
      </c>
      <c r="Z12" s="18">
        <v>31.73</v>
      </c>
      <c r="AA12" s="18">
        <v>49.830002</v>
      </c>
      <c r="AB12" s="18">
        <v>74.480002999999996</v>
      </c>
      <c r="AC12" s="18">
        <v>46.419998</v>
      </c>
      <c r="AD12" s="18">
        <v>82.43</v>
      </c>
      <c r="AE12" s="18">
        <v>92.309997999999993</v>
      </c>
      <c r="AF12" s="18">
        <v>95</v>
      </c>
      <c r="AG12" s="18">
        <v>163.070007</v>
      </c>
      <c r="AH12" s="18">
        <v>80.669998000000007</v>
      </c>
      <c r="AI12" s="18">
        <v>47.02</v>
      </c>
      <c r="AJ12" s="18">
        <v>63.689999</v>
      </c>
      <c r="AK12" s="18">
        <v>71.709998999999996</v>
      </c>
      <c r="AL12" s="18">
        <v>42.334983999999999</v>
      </c>
      <c r="AM12" s="18">
        <v>26.290001</v>
      </c>
      <c r="AN12" s="18">
        <v>48.369999</v>
      </c>
      <c r="AO12" s="18">
        <v>81.019997000000004</v>
      </c>
      <c r="AP12" s="18">
        <v>69.129997000000003</v>
      </c>
      <c r="AQ12" s="18">
        <v>523.85998500000005</v>
      </c>
      <c r="AR12" s="18">
        <v>29.18</v>
      </c>
      <c r="AS12" s="18">
        <v>22.860001</v>
      </c>
      <c r="AT12" s="18">
        <v>24.07</v>
      </c>
      <c r="AU12" s="18">
        <v>42.349997999999999</v>
      </c>
      <c r="AV12" s="18">
        <v>34.75</v>
      </c>
      <c r="AW12" s="18">
        <v>84.589995999999999</v>
      </c>
      <c r="AX12" s="18">
        <v>69.959998999999996</v>
      </c>
      <c r="AY12" s="18">
        <v>40.630001</v>
      </c>
      <c r="AZ12" s="18">
        <v>88.440002000000007</v>
      </c>
      <c r="BA12" s="18">
        <v>66.739998</v>
      </c>
      <c r="BB12" s="18">
        <v>57.220001000000003</v>
      </c>
      <c r="BC12" s="18">
        <v>15.82</v>
      </c>
      <c r="BD12" s="18">
        <v>50.865001999999997</v>
      </c>
      <c r="BE12" s="18">
        <v>52.919998</v>
      </c>
      <c r="BF12" s="18">
        <v>168.94000199999999</v>
      </c>
      <c r="BG12" s="18">
        <v>39.220001000000003</v>
      </c>
      <c r="BH12" s="18">
        <v>44.02</v>
      </c>
      <c r="BI12" s="18">
        <v>76.081001000000001</v>
      </c>
      <c r="BJ12" s="18">
        <v>8.94</v>
      </c>
      <c r="BK12" s="18">
        <v>85.800003000000004</v>
      </c>
      <c r="BL12" s="18">
        <v>133.509995</v>
      </c>
      <c r="BM12" s="18">
        <v>88.040893999999994</v>
      </c>
      <c r="BN12" s="18">
        <v>56.709629</v>
      </c>
      <c r="BO12" s="18">
        <v>79.580001999999993</v>
      </c>
      <c r="BP12" s="18">
        <v>129.699997</v>
      </c>
      <c r="BQ12" s="18">
        <v>132.36000100000001</v>
      </c>
      <c r="BR12" s="18">
        <v>71.330001999999993</v>
      </c>
      <c r="BS12" s="18">
        <v>72.120002999999997</v>
      </c>
      <c r="BT12" s="18">
        <v>51.84</v>
      </c>
      <c r="BU12" s="18">
        <v>73.613335000000006</v>
      </c>
      <c r="BV12" s="18">
        <v>38.130001</v>
      </c>
      <c r="BW12" s="18">
        <v>23.84</v>
      </c>
      <c r="BX12" s="18">
        <v>49.619999</v>
      </c>
      <c r="BY12" s="18">
        <v>52.09</v>
      </c>
      <c r="BZ12" s="18">
        <v>74.230002999999996</v>
      </c>
      <c r="CA12" s="18">
        <v>46.849997999999999</v>
      </c>
      <c r="CB12" s="18">
        <v>85.669998000000007</v>
      </c>
      <c r="CC12" s="18">
        <v>15.6</v>
      </c>
      <c r="CD12" s="18">
        <v>47.009998000000003</v>
      </c>
      <c r="CE12" s="18">
        <v>12.420527</v>
      </c>
      <c r="CF12" s="18">
        <v>21.1</v>
      </c>
    </row>
    <row r="13" spans="1:121" x14ac:dyDescent="0.25">
      <c r="A13" s="17">
        <v>41639</v>
      </c>
      <c r="B13" s="18">
        <v>80.145713999999998</v>
      </c>
      <c r="C13" s="18">
        <v>28.030000999999999</v>
      </c>
      <c r="D13" s="18">
        <v>187.570007</v>
      </c>
      <c r="E13" s="18">
        <v>76.400002000000001</v>
      </c>
      <c r="F13" s="18">
        <v>97.029999000000004</v>
      </c>
      <c r="G13" s="18">
        <v>78.690002000000007</v>
      </c>
      <c r="H13" s="18">
        <v>41.310001</v>
      </c>
      <c r="I13" s="18">
        <v>148.89999399999999</v>
      </c>
      <c r="J13" s="18">
        <v>58.139999000000003</v>
      </c>
      <c r="K13" s="18">
        <v>121.91999800000001</v>
      </c>
      <c r="L13" s="18">
        <v>41.310001</v>
      </c>
      <c r="M13" s="18">
        <v>82.940002000000007</v>
      </c>
      <c r="N13" s="18">
        <v>41.349997999999999</v>
      </c>
      <c r="O13" s="18">
        <v>150.429993</v>
      </c>
      <c r="P13" s="18">
        <v>101.199997</v>
      </c>
      <c r="Q13" s="18">
        <v>124.910004</v>
      </c>
      <c r="R13" s="18">
        <v>183.5</v>
      </c>
      <c r="S13" s="18">
        <v>61.034999999999997</v>
      </c>
      <c r="T13" s="18">
        <v>85.980002999999996</v>
      </c>
      <c r="U13" s="18">
        <v>63.389999000000003</v>
      </c>
      <c r="V13" s="18">
        <v>116.550003</v>
      </c>
      <c r="W13" s="18">
        <v>47.27</v>
      </c>
      <c r="X13" s="18">
        <v>62.220001000000003</v>
      </c>
      <c r="Y13" s="18">
        <v>91.589995999999999</v>
      </c>
      <c r="Z13" s="18">
        <v>30.629999000000002</v>
      </c>
      <c r="AA13" s="18">
        <v>50.049999</v>
      </c>
      <c r="AB13" s="18">
        <v>75.300003000000004</v>
      </c>
      <c r="AC13" s="18">
        <v>47.709999000000003</v>
      </c>
      <c r="AD13" s="18">
        <v>81.260002</v>
      </c>
      <c r="AE13" s="18">
        <v>113.08000199999999</v>
      </c>
      <c r="AF13" s="18">
        <v>98.900002000000001</v>
      </c>
      <c r="AG13" s="18">
        <v>168</v>
      </c>
      <c r="AH13" s="18">
        <v>82.339995999999999</v>
      </c>
      <c r="AI13" s="18">
        <v>49.349997999999999</v>
      </c>
      <c r="AJ13" s="18">
        <v>69.660004000000001</v>
      </c>
      <c r="AK13" s="18">
        <v>73.690002000000007</v>
      </c>
      <c r="AL13" s="18">
        <v>45.433661999999998</v>
      </c>
      <c r="AM13" s="18">
        <v>30.459999</v>
      </c>
      <c r="AN13" s="18">
        <v>49.459999000000003</v>
      </c>
      <c r="AO13" s="18">
        <v>84</v>
      </c>
      <c r="AP13" s="18">
        <v>69.650002000000001</v>
      </c>
      <c r="AQ13" s="18">
        <v>532.78002900000001</v>
      </c>
      <c r="AR13" s="18">
        <v>28.73</v>
      </c>
      <c r="AS13" s="18">
        <v>23.07</v>
      </c>
      <c r="AT13" s="18">
        <v>23.59</v>
      </c>
      <c r="AU13" s="18">
        <v>42.259998000000003</v>
      </c>
      <c r="AV13" s="18">
        <v>35.509998000000003</v>
      </c>
      <c r="AW13" s="18">
        <v>85.620002999999997</v>
      </c>
      <c r="AX13" s="18">
        <v>69.010002</v>
      </c>
      <c r="AY13" s="18">
        <v>41.110000999999997</v>
      </c>
      <c r="AZ13" s="18">
        <v>89.760002</v>
      </c>
      <c r="BA13" s="18">
        <v>66.389999000000003</v>
      </c>
      <c r="BB13" s="18">
        <v>58.48</v>
      </c>
      <c r="BC13" s="18">
        <v>15.57</v>
      </c>
      <c r="BD13" s="18">
        <v>55.669998</v>
      </c>
      <c r="BE13" s="18">
        <v>52.110000999999997</v>
      </c>
      <c r="BF13" s="18">
        <v>177.259995</v>
      </c>
      <c r="BG13" s="18">
        <v>40.400002000000001</v>
      </c>
      <c r="BH13" s="18">
        <v>45.400002000000001</v>
      </c>
      <c r="BI13" s="18">
        <v>83.545997999999997</v>
      </c>
      <c r="BJ13" s="18">
        <v>9.07</v>
      </c>
      <c r="BK13" s="18">
        <v>90.730002999999996</v>
      </c>
      <c r="BL13" s="18">
        <v>140.25</v>
      </c>
      <c r="BM13" s="18">
        <v>90.885741999999993</v>
      </c>
      <c r="BN13" s="18">
        <v>58.52919</v>
      </c>
      <c r="BO13" s="18">
        <v>84.080001999999993</v>
      </c>
      <c r="BP13" s="18">
        <v>138.679993</v>
      </c>
      <c r="BQ13" s="18">
        <v>140.970001</v>
      </c>
      <c r="BR13" s="18">
        <v>73.849997999999999</v>
      </c>
      <c r="BS13" s="18">
        <v>74.300003000000004</v>
      </c>
      <c r="BT13" s="18">
        <v>54.080002</v>
      </c>
      <c r="BU13" s="18">
        <v>79.906670000000005</v>
      </c>
      <c r="BV13" s="18">
        <v>37.409999999999997</v>
      </c>
      <c r="BW13" s="18">
        <v>25.959999</v>
      </c>
      <c r="BX13" s="18">
        <v>49.139999000000003</v>
      </c>
      <c r="BY13" s="18">
        <v>55.189999</v>
      </c>
      <c r="BZ13" s="18">
        <v>76.319999999999993</v>
      </c>
      <c r="CA13" s="18">
        <v>56.040000999999997</v>
      </c>
      <c r="CB13" s="18">
        <v>87.199996999999996</v>
      </c>
      <c r="CC13" s="18">
        <v>16.02</v>
      </c>
      <c r="CD13" s="18">
        <v>54.650002000000001</v>
      </c>
      <c r="CE13" s="18">
        <v>12.706631</v>
      </c>
      <c r="CF13" s="18">
        <v>21.75</v>
      </c>
    </row>
    <row r="14" spans="1:121" x14ac:dyDescent="0.25">
      <c r="A14" s="17">
        <v>41670</v>
      </c>
      <c r="B14" s="18">
        <v>71.514281999999994</v>
      </c>
      <c r="C14" s="18">
        <v>25.129999000000002</v>
      </c>
      <c r="D14" s="18">
        <v>176.679993</v>
      </c>
      <c r="E14" s="18">
        <v>72.610000999999997</v>
      </c>
      <c r="F14" s="18">
        <v>94.169998000000007</v>
      </c>
      <c r="G14" s="18">
        <v>74.680000000000007</v>
      </c>
      <c r="H14" s="18">
        <v>37.82</v>
      </c>
      <c r="I14" s="18">
        <v>142.179993</v>
      </c>
      <c r="J14" s="18">
        <v>54.18</v>
      </c>
      <c r="K14" s="18">
        <v>114.760002</v>
      </c>
      <c r="L14" s="18">
        <v>37.82</v>
      </c>
      <c r="M14" s="18">
        <v>80.360000999999997</v>
      </c>
      <c r="N14" s="18">
        <v>37.509998000000003</v>
      </c>
      <c r="O14" s="18">
        <v>181.41000399999999</v>
      </c>
      <c r="P14" s="18">
        <v>92.160004000000001</v>
      </c>
      <c r="Q14" s="18">
        <v>111.629997</v>
      </c>
      <c r="R14" s="18">
        <v>183.259995</v>
      </c>
      <c r="S14" s="18">
        <v>60.77</v>
      </c>
      <c r="T14" s="18">
        <v>86.68</v>
      </c>
      <c r="U14" s="18">
        <v>64.180000000000007</v>
      </c>
      <c r="V14" s="18">
        <v>106.550003</v>
      </c>
      <c r="W14" s="18">
        <v>44.66</v>
      </c>
      <c r="X14" s="18">
        <v>59.389999000000003</v>
      </c>
      <c r="Y14" s="18">
        <v>88.470000999999996</v>
      </c>
      <c r="Z14" s="18">
        <v>30.4</v>
      </c>
      <c r="AA14" s="18">
        <v>52.970001000000003</v>
      </c>
      <c r="AB14" s="18">
        <v>72.279999000000004</v>
      </c>
      <c r="AC14" s="18">
        <v>50.27</v>
      </c>
      <c r="AD14" s="18">
        <v>82.019997000000004</v>
      </c>
      <c r="AE14" s="18">
        <v>102.620003</v>
      </c>
      <c r="AF14" s="18">
        <v>101.959999</v>
      </c>
      <c r="AG14" s="18">
        <v>188.979996</v>
      </c>
      <c r="AH14" s="18">
        <v>76.849997999999999</v>
      </c>
      <c r="AI14" s="18">
        <v>49.299999</v>
      </c>
      <c r="AJ14" s="18">
        <v>64.980002999999996</v>
      </c>
      <c r="AK14" s="18">
        <v>70.940002000000007</v>
      </c>
      <c r="AL14" s="18">
        <v>44.088183999999998</v>
      </c>
      <c r="AM14" s="18">
        <v>27.15</v>
      </c>
      <c r="AN14" s="18">
        <v>47.790000999999997</v>
      </c>
      <c r="AO14" s="18">
        <v>87.120002999999997</v>
      </c>
      <c r="AP14" s="18">
        <v>70.610000999999997</v>
      </c>
      <c r="AQ14" s="18">
        <v>551.96002199999998</v>
      </c>
      <c r="AR14" s="18">
        <v>28.4</v>
      </c>
      <c r="AS14" s="18">
        <v>23.290001</v>
      </c>
      <c r="AT14" s="18">
        <v>23.950001</v>
      </c>
      <c r="AU14" s="18">
        <v>42.57</v>
      </c>
      <c r="AV14" s="18">
        <v>33.700001</v>
      </c>
      <c r="AW14" s="18">
        <v>91.93</v>
      </c>
      <c r="AX14" s="18">
        <v>70.620002999999997</v>
      </c>
      <c r="AY14" s="18">
        <v>41.240001999999997</v>
      </c>
      <c r="AZ14" s="18">
        <v>92.709998999999996</v>
      </c>
      <c r="BA14" s="18">
        <v>68.220000999999996</v>
      </c>
      <c r="BB14" s="18">
        <v>55.360000999999997</v>
      </c>
      <c r="BC14" s="18">
        <v>16.75</v>
      </c>
      <c r="BD14" s="18">
        <v>53.857498</v>
      </c>
      <c r="BE14" s="18">
        <v>47.43</v>
      </c>
      <c r="BF14" s="18">
        <v>164.11999499999999</v>
      </c>
      <c r="BG14" s="18">
        <v>39.729999999999997</v>
      </c>
      <c r="BH14" s="18">
        <v>45.34</v>
      </c>
      <c r="BI14" s="18">
        <v>75.680000000000007</v>
      </c>
      <c r="BJ14" s="18">
        <v>8.64</v>
      </c>
      <c r="BK14" s="18">
        <v>85.019997000000004</v>
      </c>
      <c r="BL14" s="18">
        <v>128.19000199999999</v>
      </c>
      <c r="BM14" s="18">
        <v>90.746482999999998</v>
      </c>
      <c r="BN14" s="18">
        <v>56.398788000000003</v>
      </c>
      <c r="BO14" s="18">
        <v>78.870002999999997</v>
      </c>
      <c r="BP14" s="18">
        <v>137.240005</v>
      </c>
      <c r="BQ14" s="18">
        <v>126.980003</v>
      </c>
      <c r="BR14" s="18">
        <v>72.010002</v>
      </c>
      <c r="BS14" s="18">
        <v>69.319999999999993</v>
      </c>
      <c r="BT14" s="18">
        <v>54.959999000000003</v>
      </c>
      <c r="BU14" s="18">
        <v>82.193336000000002</v>
      </c>
      <c r="BV14" s="18">
        <v>37.840000000000003</v>
      </c>
      <c r="BW14" s="18">
        <v>24.540001</v>
      </c>
      <c r="BX14" s="18">
        <v>48.02</v>
      </c>
      <c r="BY14" s="18">
        <v>60.529998999999997</v>
      </c>
      <c r="BZ14" s="18">
        <v>73.25</v>
      </c>
      <c r="CA14" s="18">
        <v>56.5</v>
      </c>
      <c r="CB14" s="18">
        <v>78.529999000000004</v>
      </c>
      <c r="CC14" s="18">
        <v>15.7</v>
      </c>
      <c r="CD14" s="18">
        <v>62.57</v>
      </c>
      <c r="CE14" s="18">
        <v>13.169846</v>
      </c>
      <c r="CF14" s="18">
        <v>23.040001</v>
      </c>
    </row>
    <row r="15" spans="1:121" x14ac:dyDescent="0.25">
      <c r="A15" s="17">
        <v>41698</v>
      </c>
      <c r="B15" s="18">
        <v>75.177138999999997</v>
      </c>
      <c r="C15" s="18">
        <v>25.469999000000001</v>
      </c>
      <c r="D15" s="18">
        <v>185.16999799999999</v>
      </c>
      <c r="E15" s="18">
        <v>80.809997999999993</v>
      </c>
      <c r="F15" s="18">
        <v>95.150002000000001</v>
      </c>
      <c r="G15" s="18">
        <v>74.699996999999996</v>
      </c>
      <c r="H15" s="18">
        <v>38.200001</v>
      </c>
      <c r="I15" s="18">
        <v>141.529999</v>
      </c>
      <c r="J15" s="18">
        <v>58.459999000000003</v>
      </c>
      <c r="K15" s="18">
        <v>115.300003</v>
      </c>
      <c r="L15" s="18">
        <v>38.200001</v>
      </c>
      <c r="M15" s="18">
        <v>80.069999999999993</v>
      </c>
      <c r="N15" s="18">
        <v>36.049999</v>
      </c>
      <c r="O15" s="18">
        <v>244.80999800000001</v>
      </c>
      <c r="P15" s="18">
        <v>96.269997000000004</v>
      </c>
      <c r="Q15" s="18">
        <v>115.33000199999999</v>
      </c>
      <c r="R15" s="18">
        <v>200.479996</v>
      </c>
      <c r="S15" s="18">
        <v>66.665001000000004</v>
      </c>
      <c r="T15" s="18">
        <v>93.790001000000004</v>
      </c>
      <c r="U15" s="18">
        <v>65.989998</v>
      </c>
      <c r="V15" s="18">
        <v>110.019997</v>
      </c>
      <c r="W15" s="18">
        <v>48.860000999999997</v>
      </c>
      <c r="X15" s="18">
        <v>57.110000999999997</v>
      </c>
      <c r="Y15" s="18">
        <v>92.120002999999997</v>
      </c>
      <c r="Z15" s="18">
        <v>32.110000999999997</v>
      </c>
      <c r="AA15" s="18">
        <v>56.990001999999997</v>
      </c>
      <c r="AB15" s="18">
        <v>77.269997000000004</v>
      </c>
      <c r="AC15" s="18">
        <v>51.200001</v>
      </c>
      <c r="AD15" s="18">
        <v>80.279999000000004</v>
      </c>
      <c r="AE15" s="18">
        <v>101.41999800000001</v>
      </c>
      <c r="AF15" s="18">
        <v>111.610001</v>
      </c>
      <c r="AG15" s="18">
        <v>220.820007</v>
      </c>
      <c r="AH15" s="18">
        <v>82.029999000000004</v>
      </c>
      <c r="AI15" s="18">
        <v>54.23</v>
      </c>
      <c r="AJ15" s="18">
        <v>78.529999000000004</v>
      </c>
      <c r="AK15" s="18">
        <v>72.879997000000003</v>
      </c>
      <c r="AL15" s="18">
        <v>44.414360000000002</v>
      </c>
      <c r="AM15" s="18">
        <v>28.16</v>
      </c>
      <c r="AN15" s="18">
        <v>52.16</v>
      </c>
      <c r="AO15" s="18">
        <v>90.190002000000007</v>
      </c>
      <c r="AP15" s="18">
        <v>79.059997999999993</v>
      </c>
      <c r="AQ15" s="18">
        <v>565.21002199999998</v>
      </c>
      <c r="AR15" s="18">
        <v>30.030000999999999</v>
      </c>
      <c r="AS15" s="18">
        <v>23.51</v>
      </c>
      <c r="AT15" s="18">
        <v>25.190000999999999</v>
      </c>
      <c r="AU15" s="18">
        <v>44.84</v>
      </c>
      <c r="AV15" s="18">
        <v>32.840000000000003</v>
      </c>
      <c r="AW15" s="18">
        <v>91.389999000000003</v>
      </c>
      <c r="AX15" s="18">
        <v>70.879997000000003</v>
      </c>
      <c r="AY15" s="18">
        <v>42.349997999999999</v>
      </c>
      <c r="AZ15" s="18">
        <v>94.470000999999996</v>
      </c>
      <c r="BA15" s="18">
        <v>71.760002</v>
      </c>
      <c r="BB15" s="18">
        <v>56.82</v>
      </c>
      <c r="BC15" s="18">
        <v>16.530000999999999</v>
      </c>
      <c r="BD15" s="18">
        <v>56.485000999999997</v>
      </c>
      <c r="BE15" s="18">
        <v>48.630001</v>
      </c>
      <c r="BF15" s="18">
        <v>166.449997</v>
      </c>
      <c r="BG15" s="18">
        <v>41.139999000000003</v>
      </c>
      <c r="BH15" s="18">
        <v>46.419998</v>
      </c>
      <c r="BI15" s="18">
        <v>77.720000999999996</v>
      </c>
      <c r="BJ15" s="18">
        <v>9.0500000000000007</v>
      </c>
      <c r="BK15" s="18">
        <v>91.279999000000004</v>
      </c>
      <c r="BL15" s="18">
        <v>134.729996</v>
      </c>
      <c r="BM15" s="18">
        <v>93.939468000000005</v>
      </c>
      <c r="BN15" s="18">
        <v>57.990901999999998</v>
      </c>
      <c r="BO15" s="18">
        <v>82.5</v>
      </c>
      <c r="BP15" s="18">
        <v>135.61999499999999</v>
      </c>
      <c r="BQ15" s="18">
        <v>145.91999799999999</v>
      </c>
      <c r="BR15" s="18">
        <v>75.069999999999993</v>
      </c>
      <c r="BS15" s="18">
        <v>73.160004000000001</v>
      </c>
      <c r="BT15" s="18">
        <v>68.989998</v>
      </c>
      <c r="BU15" s="18">
        <v>98.853333000000006</v>
      </c>
      <c r="BV15" s="18">
        <v>38.310001</v>
      </c>
      <c r="BW15" s="18">
        <v>24.76</v>
      </c>
      <c r="BX15" s="18">
        <v>47.580002</v>
      </c>
      <c r="BY15" s="18">
        <v>62.369999</v>
      </c>
      <c r="BZ15" s="18">
        <v>78.150002000000001</v>
      </c>
      <c r="CA15" s="18">
        <v>58.990001999999997</v>
      </c>
      <c r="CB15" s="18">
        <v>83.519997000000004</v>
      </c>
      <c r="CC15" s="18">
        <v>18.379999000000002</v>
      </c>
      <c r="CD15" s="18">
        <v>68.459998999999996</v>
      </c>
      <c r="CE15" s="18">
        <v>13.569482000000001</v>
      </c>
      <c r="CF15" s="18">
        <v>24.190000999999999</v>
      </c>
    </row>
    <row r="16" spans="1:121" x14ac:dyDescent="0.25">
      <c r="A16" s="17">
        <v>41729</v>
      </c>
      <c r="B16" s="18">
        <v>76.677138999999997</v>
      </c>
      <c r="C16" s="18">
        <v>25.889999</v>
      </c>
      <c r="D16" s="18">
        <v>192.490005</v>
      </c>
      <c r="E16" s="18">
        <v>80.069999999999993</v>
      </c>
      <c r="F16" s="18">
        <v>98.029999000000004</v>
      </c>
      <c r="G16" s="18">
        <v>76.430000000000007</v>
      </c>
      <c r="H16" s="18">
        <v>38.659999999999997</v>
      </c>
      <c r="I16" s="18">
        <v>135.979996</v>
      </c>
      <c r="J16" s="18">
        <v>61.32</v>
      </c>
      <c r="K16" s="18">
        <v>112.900002</v>
      </c>
      <c r="L16" s="18">
        <v>38.659999999999997</v>
      </c>
      <c r="M16" s="18">
        <v>83.5</v>
      </c>
      <c r="N16" s="18">
        <v>35.340000000000003</v>
      </c>
      <c r="O16" s="18">
        <v>208.449997</v>
      </c>
      <c r="P16" s="18">
        <v>97.68</v>
      </c>
      <c r="Q16" s="18">
        <v>118.910004</v>
      </c>
      <c r="R16" s="18">
        <v>197.13000500000001</v>
      </c>
      <c r="S16" s="18">
        <v>66.180000000000007</v>
      </c>
      <c r="T16" s="18">
        <v>95.669998000000007</v>
      </c>
      <c r="U16" s="18">
        <v>66.419998000000007</v>
      </c>
      <c r="V16" s="18">
        <v>113.769997</v>
      </c>
      <c r="W16" s="18">
        <v>50</v>
      </c>
      <c r="X16" s="18">
        <v>61.279998999999997</v>
      </c>
      <c r="Y16" s="18">
        <v>98.230002999999996</v>
      </c>
      <c r="Z16" s="18">
        <v>32.119999</v>
      </c>
      <c r="AA16" s="18">
        <v>56.77</v>
      </c>
      <c r="AB16" s="18">
        <v>81.989998</v>
      </c>
      <c r="AC16" s="18">
        <v>52.5</v>
      </c>
      <c r="AD16" s="18">
        <v>82.07</v>
      </c>
      <c r="AE16" s="18">
        <v>94.029999000000004</v>
      </c>
      <c r="AF16" s="18">
        <v>111</v>
      </c>
      <c r="AG16" s="18">
        <v>205.85000600000001</v>
      </c>
      <c r="AH16" s="18">
        <v>79.129997000000003</v>
      </c>
      <c r="AI16" s="18">
        <v>56.02</v>
      </c>
      <c r="AJ16" s="18">
        <v>72.5</v>
      </c>
      <c r="AK16" s="18">
        <v>73.230002999999996</v>
      </c>
      <c r="AL16" s="18">
        <v>44.033821000000003</v>
      </c>
      <c r="AM16" s="18">
        <v>24.57</v>
      </c>
      <c r="AN16" s="18">
        <v>53.810001</v>
      </c>
      <c r="AO16" s="18">
        <v>93.830001999999993</v>
      </c>
      <c r="AP16" s="18">
        <v>76.970000999999996</v>
      </c>
      <c r="AQ16" s="18">
        <v>568.04998799999998</v>
      </c>
      <c r="AR16" s="18">
        <v>32.290000999999997</v>
      </c>
      <c r="AS16" s="18">
        <v>23.940000999999999</v>
      </c>
      <c r="AT16" s="18">
        <v>25.07</v>
      </c>
      <c r="AU16" s="18">
        <v>45.400002000000001</v>
      </c>
      <c r="AV16" s="18">
        <v>34.169998</v>
      </c>
      <c r="AW16" s="18">
        <v>95.620002999999997</v>
      </c>
      <c r="AX16" s="18">
        <v>71.220000999999996</v>
      </c>
      <c r="AY16" s="18">
        <v>43.939999</v>
      </c>
      <c r="AZ16" s="18">
        <v>96.760002</v>
      </c>
      <c r="BA16" s="18">
        <v>74.290001000000004</v>
      </c>
      <c r="BB16" s="18">
        <v>60.709999000000003</v>
      </c>
      <c r="BC16" s="18">
        <v>17.200001</v>
      </c>
      <c r="BD16" s="18">
        <v>53.965000000000003</v>
      </c>
      <c r="BE16" s="18">
        <v>47.599997999999999</v>
      </c>
      <c r="BF16" s="18">
        <v>163.85000600000001</v>
      </c>
      <c r="BG16" s="18">
        <v>42.860000999999997</v>
      </c>
      <c r="BH16" s="18">
        <v>49.740001999999997</v>
      </c>
      <c r="BI16" s="18">
        <v>74.699996999999996</v>
      </c>
      <c r="BJ16" s="18">
        <v>9.58</v>
      </c>
      <c r="BK16" s="18">
        <v>90.029999000000004</v>
      </c>
      <c r="BL16" s="18">
        <v>135.66000399999999</v>
      </c>
      <c r="BM16" s="18">
        <v>92.268371999999999</v>
      </c>
      <c r="BN16" s="18">
        <v>56.861258999999997</v>
      </c>
      <c r="BO16" s="18">
        <v>81.330001999999993</v>
      </c>
      <c r="BP16" s="18">
        <v>133.509995</v>
      </c>
      <c r="BQ16" s="18">
        <v>148.990005</v>
      </c>
      <c r="BR16" s="18">
        <v>72.889999000000003</v>
      </c>
      <c r="BS16" s="18">
        <v>70.489998</v>
      </c>
      <c r="BT16" s="18">
        <v>69.410004000000001</v>
      </c>
      <c r="BU16" s="18">
        <v>88.07</v>
      </c>
      <c r="BV16" s="18">
        <v>40.990001999999997</v>
      </c>
      <c r="BW16" s="18">
        <v>25.809999000000001</v>
      </c>
      <c r="BX16" s="18">
        <v>47.57</v>
      </c>
      <c r="BY16" s="18">
        <v>57.09</v>
      </c>
      <c r="BZ16" s="18">
        <v>77.730002999999996</v>
      </c>
      <c r="CA16" s="18">
        <v>52.98</v>
      </c>
      <c r="CB16" s="18">
        <v>77.019997000000004</v>
      </c>
      <c r="CC16" s="18">
        <v>17.91</v>
      </c>
      <c r="CD16" s="18">
        <v>60.240001999999997</v>
      </c>
      <c r="CE16" s="18">
        <v>14.695731</v>
      </c>
      <c r="CF16" s="18">
        <v>23.66</v>
      </c>
    </row>
    <row r="17" spans="1:84" x14ac:dyDescent="0.25">
      <c r="A17" s="17">
        <v>41759</v>
      </c>
      <c r="B17" s="18">
        <v>84.298569000000001</v>
      </c>
      <c r="C17" s="18">
        <v>26.889999</v>
      </c>
      <c r="D17" s="18">
        <v>196.470001</v>
      </c>
      <c r="E17" s="18">
        <v>79.339995999999999</v>
      </c>
      <c r="F17" s="18">
        <v>101.379997</v>
      </c>
      <c r="G17" s="18">
        <v>79.709998999999996</v>
      </c>
      <c r="H17" s="18">
        <v>40.790000999999997</v>
      </c>
      <c r="I17" s="18">
        <v>132.41000399999999</v>
      </c>
      <c r="J17" s="18">
        <v>59.02</v>
      </c>
      <c r="K17" s="18">
        <v>108.41999800000001</v>
      </c>
      <c r="L17" s="18">
        <v>40.790000999999997</v>
      </c>
      <c r="M17" s="18">
        <v>85.889999000000003</v>
      </c>
      <c r="N17" s="18">
        <v>33.299999</v>
      </c>
      <c r="O17" s="18">
        <v>207.88999899999999</v>
      </c>
      <c r="P17" s="18">
        <v>102.410004</v>
      </c>
      <c r="Q17" s="18">
        <v>125.519997</v>
      </c>
      <c r="R17" s="18">
        <v>199.83999600000001</v>
      </c>
      <c r="S17" s="18">
        <v>71.199996999999996</v>
      </c>
      <c r="T17" s="18">
        <v>98.519997000000004</v>
      </c>
      <c r="U17" s="18">
        <v>67.040001000000004</v>
      </c>
      <c r="V17" s="18">
        <v>110.699997</v>
      </c>
      <c r="W17" s="18">
        <v>50.040000999999997</v>
      </c>
      <c r="X17" s="18">
        <v>61.209999000000003</v>
      </c>
      <c r="Y17" s="18">
        <v>101.290001</v>
      </c>
      <c r="Z17" s="18">
        <v>31.280000999999999</v>
      </c>
      <c r="AA17" s="18">
        <v>58.560001</v>
      </c>
      <c r="AB17" s="18">
        <v>75.040001000000004</v>
      </c>
      <c r="AC17" s="18">
        <v>52</v>
      </c>
      <c r="AD17" s="18">
        <v>81.790001000000004</v>
      </c>
      <c r="AE17" s="18">
        <v>100.010002</v>
      </c>
      <c r="AF17" s="18">
        <v>112.33000199999999</v>
      </c>
      <c r="AG17" s="18">
        <v>204.33000200000001</v>
      </c>
      <c r="AH17" s="18">
        <v>79.510002</v>
      </c>
      <c r="AI17" s="18">
        <v>57.93</v>
      </c>
      <c r="AJ17" s="18">
        <v>70.989998</v>
      </c>
      <c r="AK17" s="18">
        <v>71.339995999999999</v>
      </c>
      <c r="AL17" s="18">
        <v>46.779139999999998</v>
      </c>
      <c r="AM17" s="18">
        <v>22.190000999999999</v>
      </c>
      <c r="AN17" s="18">
        <v>56.279998999999997</v>
      </c>
      <c r="AO17" s="18">
        <v>95.214995999999999</v>
      </c>
      <c r="AP17" s="18">
        <v>74.379997000000003</v>
      </c>
      <c r="AQ17" s="18">
        <v>498.5</v>
      </c>
      <c r="AR17" s="18">
        <v>30.360001</v>
      </c>
      <c r="AS17" s="18">
        <v>22.5</v>
      </c>
      <c r="AT17" s="18">
        <v>25.09</v>
      </c>
      <c r="AU17" s="18">
        <v>45.529998999999997</v>
      </c>
      <c r="AV17" s="18">
        <v>32.5</v>
      </c>
      <c r="AW17" s="18">
        <v>99.849997999999999</v>
      </c>
      <c r="AX17" s="18">
        <v>74.489998</v>
      </c>
      <c r="AY17" s="18">
        <v>45.830002</v>
      </c>
      <c r="AZ17" s="18">
        <v>98.610000999999997</v>
      </c>
      <c r="BA17" s="18">
        <v>78.139999000000003</v>
      </c>
      <c r="BB17" s="18">
        <v>55.98</v>
      </c>
      <c r="BC17" s="18">
        <v>15.14</v>
      </c>
      <c r="BD17" s="18">
        <v>50.652500000000003</v>
      </c>
      <c r="BE17" s="18">
        <v>47.91</v>
      </c>
      <c r="BF17" s="18">
        <v>159.820007</v>
      </c>
      <c r="BG17" s="18">
        <v>40.779998999999997</v>
      </c>
      <c r="BH17" s="18">
        <v>49.639999000000003</v>
      </c>
      <c r="BI17" s="18">
        <v>73.550003000000004</v>
      </c>
      <c r="BJ17" s="18">
        <v>9.9600000000000009</v>
      </c>
      <c r="BK17" s="18">
        <v>87.43</v>
      </c>
      <c r="BL17" s="18">
        <v>139.08999600000001</v>
      </c>
      <c r="BM17" s="18">
        <v>92.407630999999995</v>
      </c>
      <c r="BN17" s="18">
        <v>55.633057000000001</v>
      </c>
      <c r="BO17" s="18">
        <v>85.230002999999996</v>
      </c>
      <c r="BP17" s="18">
        <v>138.949997</v>
      </c>
      <c r="BQ17" s="18">
        <v>150.85000600000001</v>
      </c>
      <c r="BR17" s="18">
        <v>74.569999999999993</v>
      </c>
      <c r="BS17" s="18">
        <v>74.349997999999999</v>
      </c>
      <c r="BT17" s="18">
        <v>69.440002000000007</v>
      </c>
      <c r="BU17" s="18">
        <v>84.160004000000001</v>
      </c>
      <c r="BV17" s="18">
        <v>40.400002000000001</v>
      </c>
      <c r="BW17" s="18">
        <v>26.690000999999999</v>
      </c>
      <c r="BX17" s="18">
        <v>46.73</v>
      </c>
      <c r="BY17" s="18">
        <v>51.650002000000001</v>
      </c>
      <c r="BZ17" s="18">
        <v>75.75</v>
      </c>
      <c r="CA17" s="18">
        <v>48.650002000000001</v>
      </c>
      <c r="CB17" s="18">
        <v>76.309997999999993</v>
      </c>
      <c r="CC17" s="18">
        <v>18.469999000000001</v>
      </c>
      <c r="CD17" s="18">
        <v>59.779998999999997</v>
      </c>
      <c r="CE17" s="18">
        <v>15.013624</v>
      </c>
      <c r="CF17" s="18">
        <v>26.120000999999998</v>
      </c>
    </row>
    <row r="18" spans="1:84" x14ac:dyDescent="0.25">
      <c r="A18" s="17">
        <v>41790</v>
      </c>
      <c r="B18" s="18">
        <v>90.428573999999998</v>
      </c>
      <c r="C18" s="18">
        <v>26.790001</v>
      </c>
      <c r="D18" s="18">
        <v>184.36000100000001</v>
      </c>
      <c r="E18" s="18">
        <v>84.010002</v>
      </c>
      <c r="F18" s="18">
        <v>101.43</v>
      </c>
      <c r="G18" s="18">
        <v>76.769997000000004</v>
      </c>
      <c r="H18" s="18">
        <v>40.909999999999997</v>
      </c>
      <c r="I18" s="18">
        <v>135.66000399999999</v>
      </c>
      <c r="J18" s="18">
        <v>57.73</v>
      </c>
      <c r="K18" s="18">
        <v>113.110001</v>
      </c>
      <c r="L18" s="18">
        <v>40.909999999999997</v>
      </c>
      <c r="M18" s="18">
        <v>88.330001999999993</v>
      </c>
      <c r="N18" s="18">
        <v>35.18</v>
      </c>
      <c r="O18" s="18">
        <v>207.770004</v>
      </c>
      <c r="P18" s="18">
        <v>100.529999</v>
      </c>
      <c r="Q18" s="18">
        <v>122.790001</v>
      </c>
      <c r="R18" s="18">
        <v>204.61000100000001</v>
      </c>
      <c r="S18" s="18">
        <v>80.849997999999999</v>
      </c>
      <c r="T18" s="18">
        <v>99.260002</v>
      </c>
      <c r="U18" s="18">
        <v>69.190002000000007</v>
      </c>
      <c r="V18" s="18">
        <v>121.849998</v>
      </c>
      <c r="W18" s="18">
        <v>49.990001999999997</v>
      </c>
      <c r="X18" s="18">
        <v>59.950001</v>
      </c>
      <c r="Y18" s="18">
        <v>101.459999</v>
      </c>
      <c r="Z18" s="18">
        <v>29.629999000000002</v>
      </c>
      <c r="AA18" s="18">
        <v>57.860000999999997</v>
      </c>
      <c r="AB18" s="18">
        <v>79.629997000000003</v>
      </c>
      <c r="AC18" s="18">
        <v>52.990001999999997</v>
      </c>
      <c r="AD18" s="18">
        <v>89.57</v>
      </c>
      <c r="AE18" s="18">
        <v>95.739998</v>
      </c>
      <c r="AF18" s="18">
        <v>106.540001</v>
      </c>
      <c r="AG18" s="18">
        <v>211.53999300000001</v>
      </c>
      <c r="AH18" s="18">
        <v>80.230002999999996</v>
      </c>
      <c r="AI18" s="18">
        <v>61.619999</v>
      </c>
      <c r="AJ18" s="18">
        <v>73.300003000000004</v>
      </c>
      <c r="AK18" s="18">
        <v>73.930000000000007</v>
      </c>
      <c r="AL18" s="18">
        <v>54.090927000000001</v>
      </c>
      <c r="AM18" s="18">
        <v>25.1</v>
      </c>
      <c r="AN18" s="18">
        <v>61.16</v>
      </c>
      <c r="AO18" s="18">
        <v>99.635002</v>
      </c>
      <c r="AP18" s="18">
        <v>72.449996999999996</v>
      </c>
      <c r="AQ18" s="18">
        <v>547.09002699999996</v>
      </c>
      <c r="AR18" s="18">
        <v>30.280000999999999</v>
      </c>
      <c r="AS18" s="18">
        <v>22.059999000000001</v>
      </c>
      <c r="AT18" s="18">
        <v>25.379999000000002</v>
      </c>
      <c r="AU18" s="18">
        <v>48.610000999999997</v>
      </c>
      <c r="AV18" s="18">
        <v>32.07</v>
      </c>
      <c r="AW18" s="18">
        <v>97.360000999999997</v>
      </c>
      <c r="AX18" s="18">
        <v>71.080001999999993</v>
      </c>
      <c r="AY18" s="18">
        <v>43.779998999999997</v>
      </c>
      <c r="AZ18" s="18">
        <v>100.349998</v>
      </c>
      <c r="BA18" s="18">
        <v>76.120002999999997</v>
      </c>
      <c r="BB18" s="18">
        <v>55.57</v>
      </c>
      <c r="BC18" s="18">
        <v>15.14</v>
      </c>
      <c r="BD18" s="18">
        <v>53.707500000000003</v>
      </c>
      <c r="BE18" s="18">
        <v>47.57</v>
      </c>
      <c r="BF18" s="18">
        <v>159.80999800000001</v>
      </c>
      <c r="BG18" s="18">
        <v>42.189999</v>
      </c>
      <c r="BH18" s="18">
        <v>50.779998999999997</v>
      </c>
      <c r="BI18" s="18">
        <v>76.449996999999996</v>
      </c>
      <c r="BJ18" s="18">
        <v>10.220000000000001</v>
      </c>
      <c r="BK18" s="18">
        <v>91.5</v>
      </c>
      <c r="BL18" s="18">
        <v>142.550003</v>
      </c>
      <c r="BM18" s="18">
        <v>92.656302999999994</v>
      </c>
      <c r="BN18" s="18">
        <v>59.461711999999999</v>
      </c>
      <c r="BO18" s="18">
        <v>86.550003000000004</v>
      </c>
      <c r="BP18" s="18">
        <v>141.679993</v>
      </c>
      <c r="BQ18" s="18">
        <v>152.929993</v>
      </c>
      <c r="BR18" s="18">
        <v>76.680000000000007</v>
      </c>
      <c r="BS18" s="18">
        <v>81.540001000000004</v>
      </c>
      <c r="BT18" s="18">
        <v>74.300003000000004</v>
      </c>
      <c r="BU18" s="18">
        <v>79.606667000000002</v>
      </c>
      <c r="BV18" s="18">
        <v>40.939999</v>
      </c>
      <c r="BW18" s="18">
        <v>27.32</v>
      </c>
      <c r="BX18" s="18">
        <v>49.959999000000003</v>
      </c>
      <c r="BY18" s="18">
        <v>52.630001</v>
      </c>
      <c r="BZ18" s="18">
        <v>79.290001000000004</v>
      </c>
      <c r="CA18" s="18">
        <v>50.119999</v>
      </c>
      <c r="CB18" s="18">
        <v>73.449996999999996</v>
      </c>
      <c r="CC18" s="18">
        <v>19</v>
      </c>
      <c r="CD18" s="18">
        <v>63.299999</v>
      </c>
      <c r="CE18" s="18">
        <v>15.213442000000001</v>
      </c>
      <c r="CF18" s="18">
        <v>28.59</v>
      </c>
    </row>
    <row r="19" spans="1:84" x14ac:dyDescent="0.25">
      <c r="A19" s="17">
        <v>41820</v>
      </c>
      <c r="B19" s="18">
        <v>92.93</v>
      </c>
      <c r="C19" s="18">
        <v>26.280000999999999</v>
      </c>
      <c r="D19" s="18">
        <v>181.270004</v>
      </c>
      <c r="E19" s="18">
        <v>85.739998</v>
      </c>
      <c r="F19" s="18">
        <v>100.739998</v>
      </c>
      <c r="G19" s="18">
        <v>75.069999999999993</v>
      </c>
      <c r="H19" s="18">
        <v>42.360000999999997</v>
      </c>
      <c r="I19" s="18">
        <v>138.33999600000001</v>
      </c>
      <c r="J19" s="18">
        <v>56.560001</v>
      </c>
      <c r="K19" s="18">
        <v>119.660004</v>
      </c>
      <c r="L19" s="18">
        <v>42.360000999999997</v>
      </c>
      <c r="M19" s="18">
        <v>89.339995999999999</v>
      </c>
      <c r="N19" s="18">
        <v>34.990001999999997</v>
      </c>
      <c r="O19" s="18">
        <v>240.05999800000001</v>
      </c>
      <c r="P19" s="18">
        <v>100.68</v>
      </c>
      <c r="Q19" s="18">
        <v>130.550003</v>
      </c>
      <c r="R19" s="18">
        <v>206.91000399999999</v>
      </c>
      <c r="S19" s="18">
        <v>83.760002</v>
      </c>
      <c r="T19" s="18">
        <v>104.279999</v>
      </c>
      <c r="U19" s="18">
        <v>71.5</v>
      </c>
      <c r="V19" s="18">
        <v>124.739998</v>
      </c>
      <c r="W19" s="18">
        <v>49.450001</v>
      </c>
      <c r="X19" s="18">
        <v>56.860000999999997</v>
      </c>
      <c r="Y19" s="18">
        <v>104.620003</v>
      </c>
      <c r="Z19" s="18">
        <v>29.68</v>
      </c>
      <c r="AA19" s="18">
        <v>57.849997999999999</v>
      </c>
      <c r="AB19" s="18">
        <v>81.75</v>
      </c>
      <c r="AC19" s="18">
        <v>56.380001</v>
      </c>
      <c r="AD19" s="18">
        <v>95.760002</v>
      </c>
      <c r="AE19" s="18">
        <v>88.489998</v>
      </c>
      <c r="AF19" s="18">
        <v>140.240005</v>
      </c>
      <c r="AG19" s="18">
        <v>223.050003</v>
      </c>
      <c r="AH19" s="18">
        <v>80.959998999999996</v>
      </c>
      <c r="AI19" s="18">
        <v>64.099997999999999</v>
      </c>
      <c r="AJ19" s="18">
        <v>78.760002</v>
      </c>
      <c r="AK19" s="18">
        <v>75.720000999999996</v>
      </c>
      <c r="AL19" s="18">
        <v>56.414935999999997</v>
      </c>
      <c r="AM19" s="18">
        <v>25.1</v>
      </c>
      <c r="AN19" s="18">
        <v>60.98</v>
      </c>
      <c r="AO19" s="18">
        <v>99.75</v>
      </c>
      <c r="AP19" s="18">
        <v>73.089995999999999</v>
      </c>
      <c r="AQ19" s="18">
        <v>592.51000999999997</v>
      </c>
      <c r="AR19" s="18">
        <v>33.229999999999997</v>
      </c>
      <c r="AS19" s="18">
        <v>24.200001</v>
      </c>
      <c r="AT19" s="18">
        <v>26.219999000000001</v>
      </c>
      <c r="AU19" s="18">
        <v>49.450001</v>
      </c>
      <c r="AV19" s="18">
        <v>33.869999</v>
      </c>
      <c r="AW19" s="18">
        <v>102.480003</v>
      </c>
      <c r="AX19" s="18">
        <v>74.190002000000007</v>
      </c>
      <c r="AY19" s="18">
        <v>45.380001</v>
      </c>
      <c r="AZ19" s="18">
        <v>104.709999</v>
      </c>
      <c r="BA19" s="18">
        <v>77.870002999999997</v>
      </c>
      <c r="BB19" s="18">
        <v>57.619999</v>
      </c>
      <c r="BC19" s="18">
        <v>15.37</v>
      </c>
      <c r="BD19" s="18">
        <v>52.677501999999997</v>
      </c>
      <c r="BE19" s="18">
        <v>47.099997999999999</v>
      </c>
      <c r="BF19" s="18">
        <v>167.44000199999999</v>
      </c>
      <c r="BG19" s="18">
        <v>43.32</v>
      </c>
      <c r="BH19" s="18">
        <v>52.560001</v>
      </c>
      <c r="BI19" s="18">
        <v>73.470000999999996</v>
      </c>
      <c r="BJ19" s="18">
        <v>10.42</v>
      </c>
      <c r="BK19" s="18">
        <v>94.870002999999997</v>
      </c>
      <c r="BL19" s="18">
        <v>143.240005</v>
      </c>
      <c r="BM19" s="18">
        <v>92.457367000000005</v>
      </c>
      <c r="BN19" s="18">
        <v>59.689158999999997</v>
      </c>
      <c r="BO19" s="18">
        <v>87.559997999999993</v>
      </c>
      <c r="BP19" s="18">
        <v>146.009995</v>
      </c>
      <c r="BQ19" s="18">
        <v>154.28999300000001</v>
      </c>
      <c r="BR19" s="18">
        <v>80.739998</v>
      </c>
      <c r="BS19" s="18">
        <v>80.190002000000007</v>
      </c>
      <c r="BT19" s="18">
        <v>82.32</v>
      </c>
      <c r="BU19" s="18">
        <v>82.720000999999996</v>
      </c>
      <c r="BV19" s="18">
        <v>41.700001</v>
      </c>
      <c r="BW19" s="18">
        <v>30.9</v>
      </c>
      <c r="BX19" s="18">
        <v>48.93</v>
      </c>
      <c r="BY19" s="18">
        <v>58.080002</v>
      </c>
      <c r="BZ19" s="18">
        <v>80.529999000000004</v>
      </c>
      <c r="CA19" s="18">
        <v>55.27</v>
      </c>
      <c r="CB19" s="18">
        <v>75.819999999999993</v>
      </c>
      <c r="CC19" s="18">
        <v>18.540001</v>
      </c>
      <c r="CD19" s="18">
        <v>67.290001000000004</v>
      </c>
      <c r="CE19" s="18">
        <v>15.295185999999999</v>
      </c>
      <c r="CF19" s="18">
        <v>32.950001</v>
      </c>
    </row>
    <row r="20" spans="1:84" x14ac:dyDescent="0.25">
      <c r="A20" s="17">
        <v>41851</v>
      </c>
      <c r="B20" s="18">
        <v>95.599997999999999</v>
      </c>
      <c r="C20" s="18">
        <v>25.15</v>
      </c>
      <c r="D20" s="18">
        <v>191.66999799999999</v>
      </c>
      <c r="E20" s="18">
        <v>85.879997000000003</v>
      </c>
      <c r="F20" s="18">
        <v>94.559997999999993</v>
      </c>
      <c r="G20" s="18">
        <v>73.580001999999993</v>
      </c>
      <c r="H20" s="18">
        <v>39.290000999999997</v>
      </c>
      <c r="I20" s="18">
        <v>124.769997</v>
      </c>
      <c r="J20" s="18">
        <v>54.759998000000003</v>
      </c>
      <c r="K20" s="18">
        <v>117.989998</v>
      </c>
      <c r="L20" s="18">
        <v>39.290000999999997</v>
      </c>
      <c r="M20" s="18">
        <v>88.099997999999999</v>
      </c>
      <c r="N20" s="18">
        <v>34.880001</v>
      </c>
      <c r="O20" s="18">
        <v>223.300003</v>
      </c>
      <c r="P20" s="18">
        <v>98.940002000000007</v>
      </c>
      <c r="Q20" s="18">
        <v>129.240005</v>
      </c>
      <c r="R20" s="18">
        <v>206.229996</v>
      </c>
      <c r="S20" s="18">
        <v>87.389999000000003</v>
      </c>
      <c r="T20" s="18">
        <v>100.989998</v>
      </c>
      <c r="U20" s="18">
        <v>61.34</v>
      </c>
      <c r="V20" s="18">
        <v>113.089996</v>
      </c>
      <c r="W20" s="18">
        <v>46.110000999999997</v>
      </c>
      <c r="X20" s="18">
        <v>53.200001</v>
      </c>
      <c r="Y20" s="18">
        <v>100.089996</v>
      </c>
      <c r="Z20" s="18">
        <v>28.700001</v>
      </c>
      <c r="AA20" s="18">
        <v>56.740001999999997</v>
      </c>
      <c r="AB20" s="18">
        <v>81.050003000000004</v>
      </c>
      <c r="AC20" s="18">
        <v>65.309997999999993</v>
      </c>
      <c r="AD20" s="18">
        <v>106.599998</v>
      </c>
      <c r="AE20" s="18">
        <v>90.940002000000007</v>
      </c>
      <c r="AF20" s="18">
        <v>141.259995</v>
      </c>
      <c r="AG20" s="18">
        <v>214.259995</v>
      </c>
      <c r="AH20" s="18">
        <v>80.849997999999999</v>
      </c>
      <c r="AI20" s="18">
        <v>64.709998999999996</v>
      </c>
      <c r="AJ20" s="18">
        <v>79.419998000000007</v>
      </c>
      <c r="AK20" s="18">
        <v>75.550003000000004</v>
      </c>
      <c r="AL20" s="18">
        <v>50.666035000000001</v>
      </c>
      <c r="AM20" s="18">
        <v>24.950001</v>
      </c>
      <c r="AN20" s="18">
        <v>58.830002</v>
      </c>
      <c r="AO20" s="18">
        <v>98.309997999999993</v>
      </c>
      <c r="AP20" s="18">
        <v>72</v>
      </c>
      <c r="AQ20" s="18">
        <v>672.5</v>
      </c>
      <c r="AR20" s="18">
        <v>30.549999</v>
      </c>
      <c r="AS20" s="18">
        <v>22.77</v>
      </c>
      <c r="AT20" s="18">
        <v>23.780000999999999</v>
      </c>
      <c r="AU20" s="18">
        <v>47.77</v>
      </c>
      <c r="AV20" s="18">
        <v>31.889999</v>
      </c>
      <c r="AW20" s="18">
        <v>93.889999000000003</v>
      </c>
      <c r="AX20" s="18">
        <v>72.129997000000003</v>
      </c>
      <c r="AY20" s="18">
        <v>43.290000999999997</v>
      </c>
      <c r="AZ20" s="18">
        <v>99.709998999999996</v>
      </c>
      <c r="BA20" s="18">
        <v>73.819999999999993</v>
      </c>
      <c r="BB20" s="18">
        <v>57.669998</v>
      </c>
      <c r="BC20" s="18">
        <v>15.25</v>
      </c>
      <c r="BD20" s="18">
        <v>52.752499</v>
      </c>
      <c r="BE20" s="18">
        <v>48.91</v>
      </c>
      <c r="BF20" s="18">
        <v>172.86999499999999</v>
      </c>
      <c r="BG20" s="18">
        <v>42.029998999999997</v>
      </c>
      <c r="BH20" s="18">
        <v>50.900002000000001</v>
      </c>
      <c r="BI20" s="18">
        <v>74.150002000000001</v>
      </c>
      <c r="BJ20" s="18">
        <v>9.9700000000000006</v>
      </c>
      <c r="BK20" s="18">
        <v>88</v>
      </c>
      <c r="BL20" s="18">
        <v>140.88999899999999</v>
      </c>
      <c r="BM20" s="18">
        <v>91.343299999999999</v>
      </c>
      <c r="BN20" s="18">
        <v>56.012130999999997</v>
      </c>
      <c r="BO20" s="18">
        <v>82.370002999999997</v>
      </c>
      <c r="BP20" s="18">
        <v>144.070007</v>
      </c>
      <c r="BQ20" s="18">
        <v>139.38999899999999</v>
      </c>
      <c r="BR20" s="18">
        <v>75.819999999999993</v>
      </c>
      <c r="BS20" s="18">
        <v>75.169998000000007</v>
      </c>
      <c r="BT20" s="18">
        <v>80.069999999999993</v>
      </c>
      <c r="BU20" s="18">
        <v>72.860000999999997</v>
      </c>
      <c r="BV20" s="18">
        <v>43.16</v>
      </c>
      <c r="BW20" s="18">
        <v>33.889999000000003</v>
      </c>
      <c r="BX20" s="18">
        <v>50.419998</v>
      </c>
      <c r="BY20" s="18">
        <v>54.25</v>
      </c>
      <c r="BZ20" s="18">
        <v>81.970000999999996</v>
      </c>
      <c r="CA20" s="18">
        <v>58.119999</v>
      </c>
      <c r="CB20" s="18">
        <v>76.940002000000007</v>
      </c>
      <c r="CC20" s="18">
        <v>17.5</v>
      </c>
      <c r="CD20" s="18">
        <v>72.650002000000001</v>
      </c>
      <c r="CE20" s="18">
        <v>16.171661</v>
      </c>
      <c r="CF20" s="18">
        <v>30.549999</v>
      </c>
    </row>
    <row r="21" spans="1:84" x14ac:dyDescent="0.25">
      <c r="A21" s="17">
        <v>41882</v>
      </c>
      <c r="B21" s="18">
        <v>102.5</v>
      </c>
      <c r="C21" s="18">
        <v>25.98</v>
      </c>
      <c r="D21" s="18">
        <v>192.300003</v>
      </c>
      <c r="E21" s="18">
        <v>89.879997000000003</v>
      </c>
      <c r="F21" s="18">
        <v>93.720000999999996</v>
      </c>
      <c r="G21" s="18">
        <v>75.5</v>
      </c>
      <c r="H21" s="18">
        <v>41.720001000000003</v>
      </c>
      <c r="I21" s="18">
        <v>146.020004</v>
      </c>
      <c r="J21" s="18">
        <v>56.66</v>
      </c>
      <c r="K21" s="18">
        <v>114.32</v>
      </c>
      <c r="L21" s="18">
        <v>41.720001000000003</v>
      </c>
      <c r="M21" s="18">
        <v>92.489998</v>
      </c>
      <c r="N21" s="18">
        <v>34.049999</v>
      </c>
      <c r="O21" s="18">
        <v>269.70001200000002</v>
      </c>
      <c r="P21" s="18">
        <v>99.459998999999996</v>
      </c>
      <c r="Q21" s="18">
        <v>129.449997</v>
      </c>
      <c r="R21" s="18">
        <v>218.11000100000001</v>
      </c>
      <c r="S21" s="18">
        <v>97.129997000000003</v>
      </c>
      <c r="T21" s="18">
        <v>101.589996</v>
      </c>
      <c r="U21" s="18">
        <v>63.580002</v>
      </c>
      <c r="V21" s="18">
        <v>115.650002</v>
      </c>
      <c r="W21" s="18">
        <v>47.759998000000003</v>
      </c>
      <c r="X21" s="18">
        <v>57.73</v>
      </c>
      <c r="Y21" s="18">
        <v>103.730003</v>
      </c>
      <c r="Z21" s="18">
        <v>29.389999</v>
      </c>
      <c r="AA21" s="18">
        <v>60.110000999999997</v>
      </c>
      <c r="AB21" s="18">
        <v>86.68</v>
      </c>
      <c r="AC21" s="18">
        <v>69.819999999999993</v>
      </c>
      <c r="AD21" s="18">
        <v>114.44000200000001</v>
      </c>
      <c r="AE21" s="18">
        <v>117.83000199999999</v>
      </c>
      <c r="AF21" s="18">
        <v>161.16000399999999</v>
      </c>
      <c r="AG21" s="18">
        <v>226.979996</v>
      </c>
      <c r="AH21" s="18">
        <v>93.5</v>
      </c>
      <c r="AI21" s="18">
        <v>69.400002000000001</v>
      </c>
      <c r="AJ21" s="18">
        <v>85.900002000000001</v>
      </c>
      <c r="AK21" s="18">
        <v>80.940002000000007</v>
      </c>
      <c r="AL21" s="18">
        <v>48.056838999999997</v>
      </c>
      <c r="AM21" s="18">
        <v>26.01</v>
      </c>
      <c r="AN21" s="18">
        <v>61.09</v>
      </c>
      <c r="AO21" s="18">
        <v>105.269997</v>
      </c>
      <c r="AP21" s="18">
        <v>75.449996999999996</v>
      </c>
      <c r="AQ21" s="18">
        <v>678.65002400000003</v>
      </c>
      <c r="AR21" s="18">
        <v>32.299999</v>
      </c>
      <c r="AS21" s="18">
        <v>24.360001</v>
      </c>
      <c r="AT21" s="18">
        <v>25.01</v>
      </c>
      <c r="AU21" s="18">
        <v>50.610000999999997</v>
      </c>
      <c r="AV21" s="18">
        <v>32.950001</v>
      </c>
      <c r="AW21" s="18">
        <v>98.449996999999996</v>
      </c>
      <c r="AX21" s="18">
        <v>73.989998</v>
      </c>
      <c r="AY21" s="18">
        <v>44.400002000000001</v>
      </c>
      <c r="AZ21" s="18">
        <v>105.970001</v>
      </c>
      <c r="BA21" s="18">
        <v>78.25</v>
      </c>
      <c r="BB21" s="18">
        <v>59.450001</v>
      </c>
      <c r="BC21" s="18">
        <v>16.09</v>
      </c>
      <c r="BD21" s="18">
        <v>53.130001</v>
      </c>
      <c r="BE21" s="18">
        <v>51.650002000000001</v>
      </c>
      <c r="BF21" s="18">
        <v>179.11000100000001</v>
      </c>
      <c r="BG21" s="18">
        <v>42.279998999999997</v>
      </c>
      <c r="BH21" s="18">
        <v>51.439999</v>
      </c>
      <c r="BI21" s="18">
        <v>75.809997999999993</v>
      </c>
      <c r="BJ21" s="18">
        <v>9.92</v>
      </c>
      <c r="BK21" s="18">
        <v>89.550003000000004</v>
      </c>
      <c r="BL21" s="18">
        <v>144</v>
      </c>
      <c r="BM21" s="18">
        <v>94.725280999999995</v>
      </c>
      <c r="BN21" s="18">
        <v>58.081879000000001</v>
      </c>
      <c r="BO21" s="18">
        <v>88.209998999999996</v>
      </c>
      <c r="BP21" s="18">
        <v>150.55999800000001</v>
      </c>
      <c r="BQ21" s="18">
        <v>145.11000100000001</v>
      </c>
      <c r="BR21" s="18">
        <v>76.940002000000007</v>
      </c>
      <c r="BS21" s="18">
        <v>81.059997999999993</v>
      </c>
      <c r="BT21" s="18">
        <v>78.029999000000004</v>
      </c>
      <c r="BU21" s="18">
        <v>86.230002999999996</v>
      </c>
      <c r="BV21" s="18">
        <v>45.43</v>
      </c>
      <c r="BW21" s="18">
        <v>34.919998</v>
      </c>
      <c r="BX21" s="18">
        <v>49.82</v>
      </c>
      <c r="BY21" s="18">
        <v>59.09</v>
      </c>
      <c r="BZ21" s="18">
        <v>83.18</v>
      </c>
      <c r="CA21" s="18">
        <v>60.919998</v>
      </c>
      <c r="CB21" s="18">
        <v>81.300003000000004</v>
      </c>
      <c r="CC21" s="18">
        <v>19.450001</v>
      </c>
      <c r="CD21" s="18">
        <v>74.819999999999993</v>
      </c>
      <c r="CE21" s="18">
        <v>17.257038000000001</v>
      </c>
      <c r="CF21" s="18">
        <v>32.599997999999999</v>
      </c>
    </row>
    <row r="22" spans="1:84" x14ac:dyDescent="0.25">
      <c r="A22" s="17">
        <v>41912</v>
      </c>
      <c r="B22" s="18">
        <v>100.75</v>
      </c>
      <c r="C22" s="18">
        <v>25.620000999999998</v>
      </c>
      <c r="D22" s="18">
        <v>189.83000200000001</v>
      </c>
      <c r="E22" s="18">
        <v>89.029999000000004</v>
      </c>
      <c r="F22" s="18">
        <v>94.809997999999993</v>
      </c>
      <c r="G22" s="18">
        <v>76.470000999999996</v>
      </c>
      <c r="H22" s="18">
        <v>42.66</v>
      </c>
      <c r="I22" s="18">
        <v>134.820007</v>
      </c>
      <c r="J22" s="18">
        <v>53.919998</v>
      </c>
      <c r="K22" s="18">
        <v>117.529999</v>
      </c>
      <c r="L22" s="18">
        <v>42.66</v>
      </c>
      <c r="M22" s="18">
        <v>93.089995999999999</v>
      </c>
      <c r="N22" s="18">
        <v>34.279998999999997</v>
      </c>
      <c r="O22" s="18">
        <v>242.679993</v>
      </c>
      <c r="P22" s="18">
        <v>94.050003000000004</v>
      </c>
      <c r="Q22" s="18">
        <v>119.32</v>
      </c>
      <c r="R22" s="18">
        <v>218.990005</v>
      </c>
      <c r="S22" s="18">
        <v>86.589995999999999</v>
      </c>
      <c r="T22" s="18">
        <v>95.879997000000003</v>
      </c>
      <c r="U22" s="18">
        <v>58.900002000000001</v>
      </c>
      <c r="V22" s="18">
        <v>112.510002</v>
      </c>
      <c r="W22" s="18">
        <v>44.41</v>
      </c>
      <c r="X22" s="18">
        <v>55</v>
      </c>
      <c r="Y22" s="18">
        <v>106.589996</v>
      </c>
      <c r="Z22" s="18">
        <v>29.57</v>
      </c>
      <c r="AA22" s="18">
        <v>59.279998999999997</v>
      </c>
      <c r="AB22" s="18">
        <v>86.25</v>
      </c>
      <c r="AC22" s="18">
        <v>70.519997000000004</v>
      </c>
      <c r="AD22" s="18">
        <v>104.5</v>
      </c>
      <c r="AE22" s="18">
        <v>128.64999399999999</v>
      </c>
      <c r="AF22" s="18">
        <v>153.86000100000001</v>
      </c>
      <c r="AG22" s="18">
        <v>241.279999</v>
      </c>
      <c r="AH22" s="18">
        <v>91.739998</v>
      </c>
      <c r="AI22" s="18">
        <v>69.900002000000001</v>
      </c>
      <c r="AJ22" s="18">
        <v>87.620002999999997</v>
      </c>
      <c r="AK22" s="18">
        <v>81.260002</v>
      </c>
      <c r="AL22" s="18">
        <v>48.495888000000001</v>
      </c>
      <c r="AM22" s="18">
        <v>25.77</v>
      </c>
      <c r="AN22" s="18">
        <v>60.52</v>
      </c>
      <c r="AO22" s="18">
        <v>108.41999800000001</v>
      </c>
      <c r="AP22" s="18">
        <v>76.959998999999996</v>
      </c>
      <c r="AQ22" s="18">
        <v>666.59002699999996</v>
      </c>
      <c r="AR22" s="18">
        <v>30.42</v>
      </c>
      <c r="AS22" s="18">
        <v>22.440000999999999</v>
      </c>
      <c r="AT22" s="18">
        <v>23.530000999999999</v>
      </c>
      <c r="AU22" s="18">
        <v>48.23</v>
      </c>
      <c r="AV22" s="18">
        <v>32.5</v>
      </c>
      <c r="AW22" s="18">
        <v>93.879997000000003</v>
      </c>
      <c r="AX22" s="18">
        <v>74.769997000000004</v>
      </c>
      <c r="AY22" s="18">
        <v>43.650002000000001</v>
      </c>
      <c r="AZ22" s="18">
        <v>105.379997</v>
      </c>
      <c r="BA22" s="18">
        <v>76.080001999999993</v>
      </c>
      <c r="BB22" s="18">
        <v>60.240001999999997</v>
      </c>
      <c r="BC22" s="18">
        <v>17.049999</v>
      </c>
      <c r="BD22" s="18">
        <v>53.342498999999997</v>
      </c>
      <c r="BE22" s="18">
        <v>51.82</v>
      </c>
      <c r="BF22" s="18">
        <v>183.570007</v>
      </c>
      <c r="BG22" s="18">
        <v>41.830002</v>
      </c>
      <c r="BH22" s="18">
        <v>51.869999</v>
      </c>
      <c r="BI22" s="18">
        <v>73.919998000000007</v>
      </c>
      <c r="BJ22" s="18">
        <v>9.5</v>
      </c>
      <c r="BK22" s="18">
        <v>87.540001000000004</v>
      </c>
      <c r="BL22" s="18">
        <v>141.679993</v>
      </c>
      <c r="BM22" s="18">
        <v>92.626464999999996</v>
      </c>
      <c r="BN22" s="18">
        <v>57.604244000000001</v>
      </c>
      <c r="BO22" s="18">
        <v>84.419998000000007</v>
      </c>
      <c r="BP22" s="18">
        <v>146.28999300000001</v>
      </c>
      <c r="BQ22" s="18">
        <v>131.979996</v>
      </c>
      <c r="BR22" s="18">
        <v>72.370002999999997</v>
      </c>
      <c r="BS22" s="18">
        <v>76.069999999999993</v>
      </c>
      <c r="BT22" s="18">
        <v>70.970000999999996</v>
      </c>
      <c r="BU22" s="18">
        <v>88.129997000000003</v>
      </c>
      <c r="BV22" s="18">
        <v>46.360000999999997</v>
      </c>
      <c r="BW22" s="18">
        <v>34.82</v>
      </c>
      <c r="BX22" s="18">
        <v>49.990001999999997</v>
      </c>
      <c r="BY22" s="18">
        <v>57.529998999999997</v>
      </c>
      <c r="BZ22" s="18">
        <v>87.650002000000001</v>
      </c>
      <c r="CA22" s="18">
        <v>56.150002000000001</v>
      </c>
      <c r="CB22" s="18">
        <v>75.669998000000007</v>
      </c>
      <c r="CC22" s="18">
        <v>18.450001</v>
      </c>
      <c r="CD22" s="18">
        <v>79.040001000000004</v>
      </c>
      <c r="CE22" s="18">
        <v>16.108084000000002</v>
      </c>
      <c r="CF22" s="18">
        <v>34.259998000000003</v>
      </c>
    </row>
    <row r="23" spans="1:84" x14ac:dyDescent="0.25">
      <c r="A23" s="17">
        <v>41943</v>
      </c>
      <c r="B23" s="18">
        <v>108</v>
      </c>
      <c r="C23" s="18">
        <v>25.809999000000001</v>
      </c>
      <c r="D23" s="18">
        <v>164.39999399999999</v>
      </c>
      <c r="E23" s="18">
        <v>91.379997000000003</v>
      </c>
      <c r="F23" s="18">
        <v>93.730002999999996</v>
      </c>
      <c r="G23" s="18">
        <v>76.269997000000004</v>
      </c>
      <c r="H23" s="18">
        <v>41.880001</v>
      </c>
      <c r="I23" s="18">
        <v>142.03999300000001</v>
      </c>
      <c r="J23" s="18">
        <v>59.700001</v>
      </c>
      <c r="K23" s="18">
        <v>121.349998</v>
      </c>
      <c r="L23" s="18">
        <v>41.880001</v>
      </c>
      <c r="M23" s="18">
        <v>96.169998000000007</v>
      </c>
      <c r="N23" s="18">
        <v>32.119999</v>
      </c>
      <c r="O23" s="18">
        <v>241.699997</v>
      </c>
      <c r="P23" s="18">
        <v>96.709998999999996</v>
      </c>
      <c r="Q23" s="18">
        <v>119.949997</v>
      </c>
      <c r="R23" s="18">
        <v>229.55999800000001</v>
      </c>
      <c r="S23" s="18">
        <v>70.550003000000004</v>
      </c>
      <c r="T23" s="18">
        <v>99.150002000000001</v>
      </c>
      <c r="U23" s="18">
        <v>58.380001</v>
      </c>
      <c r="V23" s="18">
        <v>115.040001</v>
      </c>
      <c r="W23" s="18">
        <v>44.310001</v>
      </c>
      <c r="X23" s="18">
        <v>59.240001999999997</v>
      </c>
      <c r="Y23" s="18">
        <v>107.779999</v>
      </c>
      <c r="Z23" s="18">
        <v>29.950001</v>
      </c>
      <c r="AA23" s="18">
        <v>57.939999</v>
      </c>
      <c r="AB23" s="18">
        <v>95.010002</v>
      </c>
      <c r="AC23" s="18">
        <v>70.050003000000004</v>
      </c>
      <c r="AD23" s="18">
        <v>103.709999</v>
      </c>
      <c r="AE23" s="18">
        <v>130.970001</v>
      </c>
      <c r="AF23" s="18">
        <v>161.94000199999999</v>
      </c>
      <c r="AG23" s="18">
        <v>242.740005</v>
      </c>
      <c r="AH23" s="18">
        <v>97.519997000000004</v>
      </c>
      <c r="AI23" s="18">
        <v>75.75</v>
      </c>
      <c r="AJ23" s="18">
        <v>84.970000999999996</v>
      </c>
      <c r="AK23" s="18">
        <v>77.669998000000007</v>
      </c>
      <c r="AL23" s="18">
        <v>47.680515</v>
      </c>
      <c r="AM23" s="18">
        <v>27.49</v>
      </c>
      <c r="AN23" s="18">
        <v>59.220001000000003</v>
      </c>
      <c r="AO23" s="18">
        <v>116.449997</v>
      </c>
      <c r="AP23" s="18">
        <v>88.790001000000004</v>
      </c>
      <c r="AQ23" s="18">
        <v>638</v>
      </c>
      <c r="AR23" s="18">
        <v>35.779998999999997</v>
      </c>
      <c r="AS23" s="18">
        <v>26.030000999999999</v>
      </c>
      <c r="AT23" s="18">
        <v>26.200001</v>
      </c>
      <c r="AU23" s="18">
        <v>53.369999</v>
      </c>
      <c r="AV23" s="18">
        <v>37.169998</v>
      </c>
      <c r="AW23" s="18">
        <v>100.220001</v>
      </c>
      <c r="AX23" s="18">
        <v>82.150002000000001</v>
      </c>
      <c r="AY23" s="18">
        <v>46.360000999999997</v>
      </c>
      <c r="AZ23" s="18">
        <v>110</v>
      </c>
      <c r="BA23" s="18">
        <v>82.160004000000001</v>
      </c>
      <c r="BB23" s="18">
        <v>60.48</v>
      </c>
      <c r="BC23" s="18">
        <v>17.16</v>
      </c>
      <c r="BD23" s="18">
        <v>60.357498</v>
      </c>
      <c r="BE23" s="18">
        <v>53.529998999999997</v>
      </c>
      <c r="BF23" s="18">
        <v>189.990005</v>
      </c>
      <c r="BG23" s="18">
        <v>42.599997999999999</v>
      </c>
      <c r="BH23" s="18">
        <v>53.09</v>
      </c>
      <c r="BI23" s="18">
        <v>83.75</v>
      </c>
      <c r="BJ23" s="18">
        <v>8.77</v>
      </c>
      <c r="BK23" s="18">
        <v>89.949996999999996</v>
      </c>
      <c r="BL23" s="18">
        <v>153.770004</v>
      </c>
      <c r="BM23" s="18">
        <v>95.610564999999994</v>
      </c>
      <c r="BN23" s="18">
        <v>60.955269000000001</v>
      </c>
      <c r="BO23" s="18">
        <v>91.050003000000004</v>
      </c>
      <c r="BP23" s="18">
        <v>158.300003</v>
      </c>
      <c r="BQ23" s="18">
        <v>146.179993</v>
      </c>
      <c r="BR23" s="18">
        <v>74.910004000000001</v>
      </c>
      <c r="BS23" s="18">
        <v>76.550003000000004</v>
      </c>
      <c r="BT23" s="18">
        <v>73.75</v>
      </c>
      <c r="BU23" s="18">
        <v>88.5</v>
      </c>
      <c r="BV23" s="18">
        <v>46.950001</v>
      </c>
      <c r="BW23" s="18">
        <v>34.009998000000003</v>
      </c>
      <c r="BX23" s="18">
        <v>50.25</v>
      </c>
      <c r="BY23" s="18">
        <v>63.990001999999997</v>
      </c>
      <c r="BZ23" s="18">
        <v>88.010002</v>
      </c>
      <c r="CA23" s="18">
        <v>58.919998</v>
      </c>
      <c r="CB23" s="18">
        <v>78.559997999999993</v>
      </c>
      <c r="CC23" s="18">
        <v>19.540001</v>
      </c>
      <c r="CD23" s="18">
        <v>74.989998</v>
      </c>
      <c r="CE23" s="18">
        <v>16.294277000000001</v>
      </c>
      <c r="CF23" s="18">
        <v>33.090000000000003</v>
      </c>
    </row>
    <row r="24" spans="1:84" x14ac:dyDescent="0.25">
      <c r="A24" s="17">
        <v>41973</v>
      </c>
      <c r="B24" s="18">
        <v>118.93</v>
      </c>
      <c r="C24" s="18">
        <v>26.49</v>
      </c>
      <c r="D24" s="18">
        <v>162.16999799999999</v>
      </c>
      <c r="E24" s="18">
        <v>92.510002</v>
      </c>
      <c r="F24" s="18">
        <v>96.809997999999993</v>
      </c>
      <c r="G24" s="18">
        <v>87.540001000000004</v>
      </c>
      <c r="H24" s="18">
        <v>44.830002</v>
      </c>
      <c r="I24" s="18">
        <v>153.58999600000001</v>
      </c>
      <c r="J24" s="18">
        <v>59.41</v>
      </c>
      <c r="K24" s="18">
        <v>123.129997</v>
      </c>
      <c r="L24" s="18">
        <v>44.830002</v>
      </c>
      <c r="M24" s="18">
        <v>100.099998</v>
      </c>
      <c r="N24" s="18">
        <v>30.32</v>
      </c>
      <c r="O24" s="18">
        <v>244.520004</v>
      </c>
      <c r="P24" s="18">
        <v>90.540001000000004</v>
      </c>
      <c r="Q24" s="18">
        <v>108.870003</v>
      </c>
      <c r="R24" s="18">
        <v>244.86000100000001</v>
      </c>
      <c r="S24" s="18">
        <v>63.599997999999999</v>
      </c>
      <c r="T24" s="18">
        <v>101.16999800000001</v>
      </c>
      <c r="U24" s="18">
        <v>59.040000999999997</v>
      </c>
      <c r="V24" s="18">
        <v>119.910004</v>
      </c>
      <c r="W24" s="18">
        <v>45.77</v>
      </c>
      <c r="X24" s="18">
        <v>61.029998999999997</v>
      </c>
      <c r="Y24" s="18">
        <v>108.25</v>
      </c>
      <c r="Z24" s="18">
        <v>31.15</v>
      </c>
      <c r="AA24" s="18">
        <v>60.400002000000001</v>
      </c>
      <c r="AB24" s="18">
        <v>98.629997000000003</v>
      </c>
      <c r="AC24" s="18">
        <v>69.690002000000007</v>
      </c>
      <c r="AD24" s="18">
        <v>104.620003</v>
      </c>
      <c r="AE24" s="18">
        <v>132.570007</v>
      </c>
      <c r="AF24" s="18">
        <v>143.490005</v>
      </c>
      <c r="AG24" s="18">
        <v>270.60998499999999</v>
      </c>
      <c r="AH24" s="18">
        <v>99.400002000000001</v>
      </c>
      <c r="AI24" s="18">
        <v>78.790001000000004</v>
      </c>
      <c r="AJ24" s="18">
        <v>87.110000999999997</v>
      </c>
      <c r="AK24" s="18">
        <v>83.360000999999997</v>
      </c>
      <c r="AL24" s="18">
        <v>53.162331000000002</v>
      </c>
      <c r="AM24" s="18">
        <v>24.969999000000001</v>
      </c>
      <c r="AN24" s="18">
        <v>58.93</v>
      </c>
      <c r="AO24" s="18">
        <v>116.769997</v>
      </c>
      <c r="AP24" s="18">
        <v>93.849997999999999</v>
      </c>
      <c r="AQ24" s="18">
        <v>663.61999500000002</v>
      </c>
      <c r="AR24" s="18">
        <v>34.889999000000003</v>
      </c>
      <c r="AS24" s="18">
        <v>25.07</v>
      </c>
      <c r="AT24" s="18">
        <v>26.58</v>
      </c>
      <c r="AU24" s="18">
        <v>53.049999</v>
      </c>
      <c r="AV24" s="18">
        <v>34.849997999999999</v>
      </c>
      <c r="AW24" s="18">
        <v>104.389999</v>
      </c>
      <c r="AX24" s="18">
        <v>80.900002000000001</v>
      </c>
      <c r="AY24" s="18">
        <v>47.43</v>
      </c>
      <c r="AZ24" s="18">
        <v>111.730003</v>
      </c>
      <c r="BA24" s="18">
        <v>81.459998999999996</v>
      </c>
      <c r="BB24" s="18">
        <v>60.16</v>
      </c>
      <c r="BC24" s="18">
        <v>17.040001</v>
      </c>
      <c r="BD24" s="18">
        <v>64.547500999999997</v>
      </c>
      <c r="BE24" s="18">
        <v>53.970001000000003</v>
      </c>
      <c r="BF24" s="18">
        <v>188.41000399999999</v>
      </c>
      <c r="BG24" s="18">
        <v>44.200001</v>
      </c>
      <c r="BH24" s="18">
        <v>54.48</v>
      </c>
      <c r="BI24" s="18">
        <v>87.290001000000004</v>
      </c>
      <c r="BJ24" s="18">
        <v>8.9</v>
      </c>
      <c r="BK24" s="18">
        <v>92.419998000000007</v>
      </c>
      <c r="BL24" s="18">
        <v>160.08999600000001</v>
      </c>
      <c r="BM24" s="18">
        <v>98.544929999999994</v>
      </c>
      <c r="BN24" s="18">
        <v>63.351025</v>
      </c>
      <c r="BO24" s="18">
        <v>94.93</v>
      </c>
      <c r="BP24" s="18">
        <v>157.820007</v>
      </c>
      <c r="BQ24" s="18">
        <v>145.61999499999999</v>
      </c>
      <c r="BR24" s="18">
        <v>76.809997999999993</v>
      </c>
      <c r="BS24" s="18">
        <v>78.150002000000001</v>
      </c>
      <c r="BT24" s="18">
        <v>73.150002000000001</v>
      </c>
      <c r="BU24" s="18">
        <v>95.639999000000003</v>
      </c>
      <c r="BV24" s="18">
        <v>47.810001</v>
      </c>
      <c r="BW24" s="18">
        <v>37.25</v>
      </c>
      <c r="BX24" s="18">
        <v>50.59</v>
      </c>
      <c r="BY24" s="18">
        <v>59.869999</v>
      </c>
      <c r="BZ24" s="18">
        <v>93.870002999999997</v>
      </c>
      <c r="CA24" s="18">
        <v>62.150002000000001</v>
      </c>
      <c r="CB24" s="18">
        <v>83.519997000000004</v>
      </c>
      <c r="CC24" s="18">
        <v>20.969999000000001</v>
      </c>
      <c r="CD24" s="18">
        <v>77.699996999999996</v>
      </c>
      <c r="CE24" s="18">
        <v>17.738420000000001</v>
      </c>
      <c r="CF24" s="18">
        <v>35.950001</v>
      </c>
    </row>
    <row r="25" spans="1:84" x14ac:dyDescent="0.25">
      <c r="A25" s="17">
        <v>42004</v>
      </c>
      <c r="B25" s="18">
        <v>110.379997</v>
      </c>
      <c r="C25" s="18">
        <v>25.27</v>
      </c>
      <c r="D25" s="18">
        <v>160.44000199999999</v>
      </c>
      <c r="E25" s="18">
        <v>94.190002000000007</v>
      </c>
      <c r="F25" s="18">
        <v>93.699996999999996</v>
      </c>
      <c r="G25" s="18">
        <v>85.879997000000003</v>
      </c>
      <c r="H25" s="18">
        <v>42.220001000000003</v>
      </c>
      <c r="I25" s="18">
        <v>155.36000100000001</v>
      </c>
      <c r="J25" s="18">
        <v>63.439999</v>
      </c>
      <c r="K25" s="18">
        <v>125.480003</v>
      </c>
      <c r="L25" s="18">
        <v>42.220001000000003</v>
      </c>
      <c r="M25" s="18">
        <v>94.559997999999993</v>
      </c>
      <c r="N25" s="18">
        <v>29.52</v>
      </c>
      <c r="O25" s="18">
        <v>222.41000399999999</v>
      </c>
      <c r="P25" s="18">
        <v>92.449996999999996</v>
      </c>
      <c r="Q25" s="18">
        <v>112.18</v>
      </c>
      <c r="R25" s="18">
        <v>263.040009</v>
      </c>
      <c r="S25" s="18">
        <v>61.09</v>
      </c>
      <c r="T25" s="18">
        <v>101.360001</v>
      </c>
      <c r="U25" s="18">
        <v>60.130001</v>
      </c>
      <c r="V25" s="18">
        <v>119.470001</v>
      </c>
      <c r="W25" s="18">
        <v>45.650002000000001</v>
      </c>
      <c r="X25" s="18">
        <v>62.32</v>
      </c>
      <c r="Y25" s="18">
        <v>104.57</v>
      </c>
      <c r="Z25" s="18">
        <v>31.15</v>
      </c>
      <c r="AA25" s="18">
        <v>56.790000999999997</v>
      </c>
      <c r="AB25" s="18">
        <v>101.089996</v>
      </c>
      <c r="AC25" s="18">
        <v>73.389999000000003</v>
      </c>
      <c r="AD25" s="18">
        <v>111.260002</v>
      </c>
      <c r="AE25" s="18">
        <v>129.490005</v>
      </c>
      <c r="AF25" s="18">
        <v>148.19000199999999</v>
      </c>
      <c r="AG25" s="18">
        <v>257.41000400000001</v>
      </c>
      <c r="AH25" s="18">
        <v>104.970001</v>
      </c>
      <c r="AI25" s="18">
        <v>78.029999000000004</v>
      </c>
      <c r="AJ25" s="18">
        <v>85.360000999999997</v>
      </c>
      <c r="AK25" s="18">
        <v>85.760002</v>
      </c>
      <c r="AL25" s="18">
        <v>50.239531999999997</v>
      </c>
      <c r="AM25" s="18">
        <v>26.280000999999999</v>
      </c>
      <c r="AN25" s="18">
        <v>60.209999000000003</v>
      </c>
      <c r="AO25" s="18">
        <v>119.129997</v>
      </c>
      <c r="AP25" s="18">
        <v>94.169998000000007</v>
      </c>
      <c r="AQ25" s="18">
        <v>684.51000999999997</v>
      </c>
      <c r="AR25" s="18">
        <v>37.659999999999997</v>
      </c>
      <c r="AS25" s="18">
        <v>24.610001</v>
      </c>
      <c r="AT25" s="18">
        <v>26.700001</v>
      </c>
      <c r="AU25" s="18">
        <v>53.299999</v>
      </c>
      <c r="AV25" s="18">
        <v>36.290000999999997</v>
      </c>
      <c r="AW25" s="18">
        <v>106.290001</v>
      </c>
      <c r="AX25" s="18">
        <v>83.540001000000004</v>
      </c>
      <c r="AY25" s="18">
        <v>49.110000999999997</v>
      </c>
      <c r="AZ25" s="18">
        <v>111.360001</v>
      </c>
      <c r="BA25" s="18">
        <v>86.370002999999997</v>
      </c>
      <c r="BB25" s="18">
        <v>62.580002</v>
      </c>
      <c r="BC25" s="18">
        <v>17.889999</v>
      </c>
      <c r="BD25" s="18">
        <v>65.550003000000004</v>
      </c>
      <c r="BE25" s="18">
        <v>54.110000999999997</v>
      </c>
      <c r="BF25" s="18">
        <v>193.83000200000001</v>
      </c>
      <c r="BG25" s="18">
        <v>44.950001</v>
      </c>
      <c r="BH25" s="18">
        <v>54.82</v>
      </c>
      <c r="BI25" s="18">
        <v>86.160004000000001</v>
      </c>
      <c r="BJ25" s="18">
        <v>8.33</v>
      </c>
      <c r="BK25" s="18">
        <v>93.040001000000004</v>
      </c>
      <c r="BL25" s="18">
        <v>164.320007</v>
      </c>
      <c r="BM25" s="18">
        <v>99.390427000000003</v>
      </c>
      <c r="BN25" s="18">
        <v>64.981048999999999</v>
      </c>
      <c r="BO25" s="18">
        <v>94.699996999999996</v>
      </c>
      <c r="BP25" s="18">
        <v>156.35000600000001</v>
      </c>
      <c r="BQ25" s="18">
        <v>144.16999799999999</v>
      </c>
      <c r="BR25" s="18">
        <v>77.839995999999999</v>
      </c>
      <c r="BS25" s="18">
        <v>77.959998999999996</v>
      </c>
      <c r="BT25" s="18">
        <v>77.410004000000001</v>
      </c>
      <c r="BU25" s="18">
        <v>99.099997999999999</v>
      </c>
      <c r="BV25" s="18">
        <v>46.450001</v>
      </c>
      <c r="BW25" s="18">
        <v>36.290000999999997</v>
      </c>
      <c r="BX25" s="18">
        <v>46.779998999999997</v>
      </c>
      <c r="BY25" s="18">
        <v>59.310001</v>
      </c>
      <c r="BZ25" s="18">
        <v>92.190002000000007</v>
      </c>
      <c r="CA25" s="18">
        <v>69.139999000000003</v>
      </c>
      <c r="CB25" s="18">
        <v>82</v>
      </c>
      <c r="CC25" s="18">
        <v>20.049999</v>
      </c>
      <c r="CD25" s="18">
        <v>78.019997000000004</v>
      </c>
      <c r="CE25" s="18">
        <v>18.224342</v>
      </c>
      <c r="CF25" s="18">
        <v>35.009998000000003</v>
      </c>
    </row>
    <row r="26" spans="1:84" x14ac:dyDescent="0.25">
      <c r="A26" s="17">
        <v>42035</v>
      </c>
      <c r="B26" s="18">
        <v>117.160004</v>
      </c>
      <c r="C26" s="18">
        <v>23.889999</v>
      </c>
      <c r="D26" s="18">
        <v>153.30999800000001</v>
      </c>
      <c r="E26" s="18">
        <v>90.959998999999996</v>
      </c>
      <c r="F26" s="18">
        <v>92.440002000000007</v>
      </c>
      <c r="G26" s="18">
        <v>84.980002999999996</v>
      </c>
      <c r="H26" s="18">
        <v>41.169998</v>
      </c>
      <c r="I26" s="18">
        <v>165.03999300000001</v>
      </c>
      <c r="J26" s="18">
        <v>62.209999000000003</v>
      </c>
      <c r="K26" s="18">
        <v>128.85000600000001</v>
      </c>
      <c r="L26" s="18">
        <v>41.169998</v>
      </c>
      <c r="M26" s="18">
        <v>93.779999000000004</v>
      </c>
      <c r="N26" s="18">
        <v>30.219999000000001</v>
      </c>
      <c r="O26" s="18">
        <v>203.60000600000001</v>
      </c>
      <c r="P26" s="18">
        <v>87.419998000000007</v>
      </c>
      <c r="Q26" s="18">
        <v>102.529999</v>
      </c>
      <c r="R26" s="18">
        <v>271.26998900000001</v>
      </c>
      <c r="S26" s="18">
        <v>57.310001</v>
      </c>
      <c r="T26" s="18">
        <v>106.110001</v>
      </c>
      <c r="U26" s="18">
        <v>48.259998000000003</v>
      </c>
      <c r="V26" s="18">
        <v>117.980003</v>
      </c>
      <c r="W26" s="18">
        <v>48.689999</v>
      </c>
      <c r="X26" s="18">
        <v>63.43</v>
      </c>
      <c r="Y26" s="18">
        <v>100.139999</v>
      </c>
      <c r="Z26" s="18">
        <v>31.25</v>
      </c>
      <c r="AA26" s="18">
        <v>60.279998999999997</v>
      </c>
      <c r="AB26" s="18">
        <v>106.25</v>
      </c>
      <c r="AC26" s="18">
        <v>70.800003000000004</v>
      </c>
      <c r="AD26" s="18">
        <v>102.529999</v>
      </c>
      <c r="AE26" s="18">
        <v>141.13000500000001</v>
      </c>
      <c r="AF26" s="18">
        <v>166.5</v>
      </c>
      <c r="AG26" s="18">
        <v>266.540009</v>
      </c>
      <c r="AH26" s="18">
        <v>104.41999800000001</v>
      </c>
      <c r="AI26" s="18">
        <v>74.5</v>
      </c>
      <c r="AJ26" s="18">
        <v>85.93</v>
      </c>
      <c r="AK26" s="18">
        <v>83.790001000000004</v>
      </c>
      <c r="AL26" s="18">
        <v>49.875751000000001</v>
      </c>
      <c r="AM26" s="18">
        <v>21.700001</v>
      </c>
      <c r="AN26" s="18">
        <v>56.259998000000003</v>
      </c>
      <c r="AO26" s="18">
        <v>117.209999</v>
      </c>
      <c r="AP26" s="18">
        <v>99.050003000000004</v>
      </c>
      <c r="AQ26" s="18">
        <v>709.84002699999996</v>
      </c>
      <c r="AR26" s="18">
        <v>39.639999000000003</v>
      </c>
      <c r="AS26" s="18">
        <v>24.540001</v>
      </c>
      <c r="AT26" s="18">
        <v>27.049999</v>
      </c>
      <c r="AU26" s="18">
        <v>56.139999000000003</v>
      </c>
      <c r="AV26" s="18">
        <v>35.959999000000003</v>
      </c>
      <c r="AW26" s="18">
        <v>109.239998</v>
      </c>
      <c r="AX26" s="18">
        <v>87.139999000000003</v>
      </c>
      <c r="AY26" s="18">
        <v>50.720001000000003</v>
      </c>
      <c r="AZ26" s="18">
        <v>111.91999800000001</v>
      </c>
      <c r="BA26" s="18">
        <v>89.660004000000001</v>
      </c>
      <c r="BB26" s="18">
        <v>54.380001</v>
      </c>
      <c r="BC26" s="18">
        <v>15.15</v>
      </c>
      <c r="BD26" s="18">
        <v>63.727500999999997</v>
      </c>
      <c r="BE26" s="18">
        <v>46.950001</v>
      </c>
      <c r="BF26" s="18">
        <v>172.41000399999999</v>
      </c>
      <c r="BG26" s="18">
        <v>41.91</v>
      </c>
      <c r="BH26" s="18">
        <v>51.919998</v>
      </c>
      <c r="BI26" s="18">
        <v>82.029999000000004</v>
      </c>
      <c r="BJ26" s="18">
        <v>6.69</v>
      </c>
      <c r="BK26" s="18">
        <v>80.690002000000007</v>
      </c>
      <c r="BL26" s="18">
        <v>162.300003</v>
      </c>
      <c r="BM26" s="18">
        <v>97.241698999999997</v>
      </c>
      <c r="BN26" s="18">
        <v>62.456406000000001</v>
      </c>
      <c r="BO26" s="18">
        <v>93.089995999999999</v>
      </c>
      <c r="BP26" s="18">
        <v>154.33999600000001</v>
      </c>
      <c r="BQ26" s="18">
        <v>139.46000699999999</v>
      </c>
      <c r="BR26" s="18">
        <v>72.349997999999999</v>
      </c>
      <c r="BS26" s="18">
        <v>72.860000999999997</v>
      </c>
      <c r="BT26" s="18">
        <v>83.459998999999996</v>
      </c>
      <c r="BU26" s="18">
        <v>95.019997000000004</v>
      </c>
      <c r="BV26" s="18">
        <v>40.400002000000001</v>
      </c>
      <c r="BW26" s="18">
        <v>33.040000999999997</v>
      </c>
      <c r="BX26" s="18">
        <v>45.709999000000003</v>
      </c>
      <c r="BY26" s="18">
        <v>56.450001</v>
      </c>
      <c r="BZ26" s="18">
        <v>86.82</v>
      </c>
      <c r="CA26" s="18">
        <v>63.790000999999997</v>
      </c>
      <c r="CB26" s="18">
        <v>80.669998000000007</v>
      </c>
      <c r="CC26" s="18">
        <v>19.200001</v>
      </c>
      <c r="CD26" s="18">
        <v>75.910004000000001</v>
      </c>
      <c r="CE26" s="18">
        <v>16.407810000000001</v>
      </c>
      <c r="CF26" s="18">
        <v>29.27</v>
      </c>
    </row>
    <row r="27" spans="1:84" x14ac:dyDescent="0.25">
      <c r="A27" s="17">
        <v>42063</v>
      </c>
      <c r="B27" s="18">
        <v>128.46000699999999</v>
      </c>
      <c r="C27" s="18">
        <v>25.99</v>
      </c>
      <c r="D27" s="18">
        <v>161.94000199999999</v>
      </c>
      <c r="E27" s="18">
        <v>104.08000199999999</v>
      </c>
      <c r="F27" s="18">
        <v>98.900002000000001</v>
      </c>
      <c r="G27" s="18">
        <v>83.93</v>
      </c>
      <c r="H27" s="18">
        <v>43.299999</v>
      </c>
      <c r="I27" s="18">
        <v>184.35000600000001</v>
      </c>
      <c r="J27" s="18">
        <v>69.169998000000007</v>
      </c>
      <c r="K27" s="18">
        <v>135.36999499999999</v>
      </c>
      <c r="L27" s="18">
        <v>43.299999</v>
      </c>
      <c r="M27" s="18">
        <v>98.980002999999996</v>
      </c>
      <c r="N27" s="18">
        <v>33.139999000000003</v>
      </c>
      <c r="O27" s="18">
        <v>203.33999600000001</v>
      </c>
      <c r="P27" s="18">
        <v>88.540001000000004</v>
      </c>
      <c r="Q27" s="18">
        <v>106.68</v>
      </c>
      <c r="R27" s="18">
        <v>285.20001200000002</v>
      </c>
      <c r="S27" s="18">
        <v>66.760002</v>
      </c>
      <c r="T27" s="18">
        <v>121.93</v>
      </c>
      <c r="U27" s="18">
        <v>56.57</v>
      </c>
      <c r="V27" s="18">
        <v>120.43</v>
      </c>
      <c r="W27" s="18">
        <v>53.259998000000003</v>
      </c>
      <c r="X27" s="18">
        <v>65.510002</v>
      </c>
      <c r="Y27" s="18">
        <v>102.510002</v>
      </c>
      <c r="Z27" s="18">
        <v>34.32</v>
      </c>
      <c r="AA27" s="18">
        <v>58.540000999999997</v>
      </c>
      <c r="AB27" s="18">
        <v>113.629997</v>
      </c>
      <c r="AC27" s="18">
        <v>71.540001000000004</v>
      </c>
      <c r="AD27" s="18">
        <v>113.349998</v>
      </c>
      <c r="AE27" s="18">
        <v>155.050003</v>
      </c>
      <c r="AF27" s="18">
        <v>151.05999800000001</v>
      </c>
      <c r="AG27" s="18">
        <v>291.35998499999999</v>
      </c>
      <c r="AH27" s="18">
        <v>114.75</v>
      </c>
      <c r="AI27" s="18">
        <v>83.099997999999999</v>
      </c>
      <c r="AJ27" s="18">
        <v>91.75</v>
      </c>
      <c r="AK27" s="18">
        <v>91.480002999999996</v>
      </c>
      <c r="AL27" s="18">
        <v>51.305790000000002</v>
      </c>
      <c r="AM27" s="18">
        <v>21.200001</v>
      </c>
      <c r="AN27" s="18">
        <v>60.540000999999997</v>
      </c>
      <c r="AO27" s="18">
        <v>120.260002</v>
      </c>
      <c r="AP27" s="18">
        <v>101.529999</v>
      </c>
      <c r="AQ27" s="18">
        <v>664.96997099999999</v>
      </c>
      <c r="AR27" s="18">
        <v>40.130001</v>
      </c>
      <c r="AS27" s="18">
        <v>25.43</v>
      </c>
      <c r="AT27" s="18">
        <v>26.440000999999999</v>
      </c>
      <c r="AU27" s="18">
        <v>54.080002</v>
      </c>
      <c r="AV27" s="18">
        <v>37.099997999999999</v>
      </c>
      <c r="AW27" s="18">
        <v>103.459999</v>
      </c>
      <c r="AX27" s="18">
        <v>78.550003000000004</v>
      </c>
      <c r="AY27" s="18">
        <v>45.790000999999997</v>
      </c>
      <c r="AZ27" s="18">
        <v>108.199997</v>
      </c>
      <c r="BA27" s="18">
        <v>82.029999000000004</v>
      </c>
      <c r="BB27" s="18">
        <v>61.279998999999997</v>
      </c>
      <c r="BC27" s="18">
        <v>15.81</v>
      </c>
      <c r="BD27" s="18">
        <v>67.827499000000003</v>
      </c>
      <c r="BE27" s="18">
        <v>52.419998</v>
      </c>
      <c r="BF27" s="18">
        <v>189.78999300000001</v>
      </c>
      <c r="BG27" s="18">
        <v>44.610000999999997</v>
      </c>
      <c r="BH27" s="18">
        <v>54.790000999999997</v>
      </c>
      <c r="BI27" s="18">
        <v>90.129997000000003</v>
      </c>
      <c r="BJ27" s="18">
        <v>7.28</v>
      </c>
      <c r="BK27" s="18">
        <v>81.589995999999999</v>
      </c>
      <c r="BL27" s="18">
        <v>168.64999399999999</v>
      </c>
      <c r="BM27" s="18">
        <v>102.235085</v>
      </c>
      <c r="BN27" s="18">
        <v>66.171340999999998</v>
      </c>
      <c r="BO27" s="18">
        <v>98.860000999999997</v>
      </c>
      <c r="BP27" s="18">
        <v>167.570007</v>
      </c>
      <c r="BQ27" s="18">
        <v>142.229996</v>
      </c>
      <c r="BR27" s="18">
        <v>77.260002</v>
      </c>
      <c r="BS27" s="18">
        <v>76.930000000000007</v>
      </c>
      <c r="BT27" s="18">
        <v>91.050003000000004</v>
      </c>
      <c r="BU27" s="18">
        <v>106.610001</v>
      </c>
      <c r="BV27" s="18">
        <v>43.849997999999999</v>
      </c>
      <c r="BW27" s="18">
        <v>33.25</v>
      </c>
      <c r="BX27" s="18">
        <v>49.450001</v>
      </c>
      <c r="BY27" s="18">
        <v>69.379997000000003</v>
      </c>
      <c r="BZ27" s="18">
        <v>97.629997000000003</v>
      </c>
      <c r="CA27" s="18">
        <v>69.120002999999997</v>
      </c>
      <c r="CB27" s="18">
        <v>85.970000999999996</v>
      </c>
      <c r="CC27" s="18">
        <v>22.059999000000001</v>
      </c>
      <c r="CD27" s="18">
        <v>78.970000999999996</v>
      </c>
      <c r="CE27" s="18">
        <v>15.82198</v>
      </c>
      <c r="CF27" s="18">
        <v>30.67</v>
      </c>
    </row>
    <row r="28" spans="1:84" x14ac:dyDescent="0.25">
      <c r="A28" s="17">
        <v>42094</v>
      </c>
      <c r="B28" s="18">
        <v>124.43</v>
      </c>
      <c r="C28" s="18">
        <v>24.809999000000001</v>
      </c>
      <c r="D28" s="18">
        <v>160.5</v>
      </c>
      <c r="E28" s="18">
        <v>104.889999</v>
      </c>
      <c r="F28" s="18">
        <v>97.440002000000007</v>
      </c>
      <c r="G28" s="18">
        <v>82.25</v>
      </c>
      <c r="H28" s="18">
        <v>40.549999</v>
      </c>
      <c r="I28" s="18">
        <v>185.75</v>
      </c>
      <c r="J28" s="18">
        <v>69.760002</v>
      </c>
      <c r="K28" s="18">
        <v>139.88999899999999</v>
      </c>
      <c r="L28" s="18">
        <v>40.549999</v>
      </c>
      <c r="M28" s="18">
        <v>95.620002999999997</v>
      </c>
      <c r="N28" s="18">
        <v>32.759998000000003</v>
      </c>
      <c r="O28" s="18">
        <v>188.770004</v>
      </c>
      <c r="P28" s="18">
        <v>85</v>
      </c>
      <c r="Q28" s="18">
        <v>104.980003</v>
      </c>
      <c r="R28" s="18">
        <v>284.5</v>
      </c>
      <c r="S28" s="18">
        <v>71.940002000000007</v>
      </c>
      <c r="T28" s="18">
        <v>117.400002</v>
      </c>
      <c r="U28" s="18">
        <v>52.84</v>
      </c>
      <c r="V28" s="18">
        <v>112.540001</v>
      </c>
      <c r="W28" s="18">
        <v>46.060001</v>
      </c>
      <c r="X28" s="18">
        <v>67.169998000000007</v>
      </c>
      <c r="Y28" s="18">
        <v>100.599998</v>
      </c>
      <c r="Z28" s="18">
        <v>34.790000999999997</v>
      </c>
      <c r="AA28" s="18">
        <v>57.48</v>
      </c>
      <c r="AB28" s="18">
        <v>118.290001</v>
      </c>
      <c r="AC28" s="18">
        <v>75.230002999999996</v>
      </c>
      <c r="AD28" s="18">
        <v>117.709999</v>
      </c>
      <c r="AE28" s="18">
        <v>172.44000199999999</v>
      </c>
      <c r="AF28" s="18">
        <v>141.029999</v>
      </c>
      <c r="AG28" s="18">
        <v>297.61999500000002</v>
      </c>
      <c r="AH28" s="18">
        <v>113.610001</v>
      </c>
      <c r="AI28" s="18">
        <v>80.319999999999993</v>
      </c>
      <c r="AJ28" s="18">
        <v>94.129997000000003</v>
      </c>
      <c r="AK28" s="18">
        <v>90.470000999999996</v>
      </c>
      <c r="AL28" s="18">
        <v>49.123095999999997</v>
      </c>
      <c r="AM28" s="18">
        <v>19.700001</v>
      </c>
      <c r="AN28" s="18">
        <v>59.220001000000003</v>
      </c>
      <c r="AO28" s="18">
        <v>108.30999799999999</v>
      </c>
      <c r="AP28" s="18">
        <v>100.550003</v>
      </c>
      <c r="AQ28" s="18">
        <v>650.53997800000002</v>
      </c>
      <c r="AR28" s="18">
        <v>39.889999000000003</v>
      </c>
      <c r="AS28" s="18">
        <v>24.51</v>
      </c>
      <c r="AT28" s="18">
        <v>26.35</v>
      </c>
      <c r="AU28" s="18">
        <v>54.209999000000003</v>
      </c>
      <c r="AV28" s="18">
        <v>36.330002</v>
      </c>
      <c r="AW28" s="18">
        <v>104.050003</v>
      </c>
      <c r="AX28" s="18">
        <v>76.779999000000004</v>
      </c>
      <c r="AY28" s="18">
        <v>44.279998999999997</v>
      </c>
      <c r="AZ28" s="18">
        <v>109.019997</v>
      </c>
      <c r="BA28" s="18">
        <v>80.690002000000007</v>
      </c>
      <c r="BB28" s="18">
        <v>60.580002</v>
      </c>
      <c r="BC28" s="18">
        <v>15.39</v>
      </c>
      <c r="BD28" s="18">
        <v>65.410004000000001</v>
      </c>
      <c r="BE28" s="18">
        <v>51.52</v>
      </c>
      <c r="BF28" s="18">
        <v>187.970001</v>
      </c>
      <c r="BG28" s="18">
        <v>43.669998</v>
      </c>
      <c r="BH28" s="18">
        <v>54.400002000000001</v>
      </c>
      <c r="BI28" s="18">
        <v>86.389999000000003</v>
      </c>
      <c r="BJ28" s="18">
        <v>7.45</v>
      </c>
      <c r="BK28" s="18">
        <v>78.120002999999997</v>
      </c>
      <c r="BL28" s="18">
        <v>164.949997</v>
      </c>
      <c r="BM28" s="18">
        <v>103.756973</v>
      </c>
      <c r="BN28" s="18">
        <v>64.366943000000006</v>
      </c>
      <c r="BO28" s="18">
        <v>97.139999000000003</v>
      </c>
      <c r="BP28" s="18">
        <v>172</v>
      </c>
      <c r="BQ28" s="18">
        <v>138.63999899999999</v>
      </c>
      <c r="BR28" s="18">
        <v>75.830001999999993</v>
      </c>
      <c r="BS28" s="18">
        <v>78.339995999999999</v>
      </c>
      <c r="BT28" s="18">
        <v>90.720000999999996</v>
      </c>
      <c r="BU28" s="18">
        <v>102.650002</v>
      </c>
      <c r="BV28" s="18">
        <v>40.659999999999997</v>
      </c>
      <c r="BW28" s="18">
        <v>31.27</v>
      </c>
      <c r="BX28" s="18">
        <v>48.630001</v>
      </c>
      <c r="BY28" s="18">
        <v>66.809997999999993</v>
      </c>
      <c r="BZ28" s="18">
        <v>96.959998999999996</v>
      </c>
      <c r="CA28" s="18">
        <v>75.75</v>
      </c>
      <c r="CB28" s="18">
        <v>88.190002000000007</v>
      </c>
      <c r="CC28" s="18">
        <v>20.93</v>
      </c>
      <c r="CD28" s="18">
        <v>82.220000999999996</v>
      </c>
      <c r="CE28" s="18">
        <v>14.150772</v>
      </c>
      <c r="CF28" s="18">
        <v>27.129999000000002</v>
      </c>
    </row>
    <row r="29" spans="1:84" x14ac:dyDescent="0.25">
      <c r="A29" s="17">
        <v>42124</v>
      </c>
      <c r="B29" s="18">
        <v>125.150002</v>
      </c>
      <c r="C29" s="18">
        <v>27.08</v>
      </c>
      <c r="D29" s="18">
        <v>171.28999300000001</v>
      </c>
      <c r="E29" s="18">
        <v>108.720001</v>
      </c>
      <c r="F29" s="18">
        <v>96.550003000000004</v>
      </c>
      <c r="G29" s="18">
        <v>78.050003000000004</v>
      </c>
      <c r="H29" s="18">
        <v>40.560001</v>
      </c>
      <c r="I29" s="18">
        <v>173.5</v>
      </c>
      <c r="J29" s="18">
        <v>64.889999000000003</v>
      </c>
      <c r="K29" s="18">
        <v>139.020004</v>
      </c>
      <c r="L29" s="18">
        <v>40.560001</v>
      </c>
      <c r="M29" s="18">
        <v>95.120002999999997</v>
      </c>
      <c r="N29" s="18">
        <v>33.529998999999997</v>
      </c>
      <c r="O29" s="18">
        <v>226.050003</v>
      </c>
      <c r="P29" s="18">
        <v>87.370002999999997</v>
      </c>
      <c r="Q29" s="18">
        <v>111.05999799999999</v>
      </c>
      <c r="R29" s="18">
        <v>278</v>
      </c>
      <c r="S29" s="18">
        <v>77.980002999999996</v>
      </c>
      <c r="T29" s="18">
        <v>114.75</v>
      </c>
      <c r="U29" s="18">
        <v>59.700001</v>
      </c>
      <c r="V29" s="18">
        <v>113.959999</v>
      </c>
      <c r="W29" s="18">
        <v>44</v>
      </c>
      <c r="X29" s="18">
        <v>64.510002</v>
      </c>
      <c r="Y29" s="18">
        <v>99.199996999999996</v>
      </c>
      <c r="Z29" s="18">
        <v>33.93</v>
      </c>
      <c r="AA29" s="18">
        <v>59.560001</v>
      </c>
      <c r="AB29" s="18">
        <v>111.400002</v>
      </c>
      <c r="AC29" s="18">
        <v>74.010002</v>
      </c>
      <c r="AD29" s="18">
        <v>116.949997</v>
      </c>
      <c r="AE29" s="18">
        <v>159.69000199999999</v>
      </c>
      <c r="AF29" s="18">
        <v>140.61000100000001</v>
      </c>
      <c r="AG29" s="18">
        <v>282.85998499999999</v>
      </c>
      <c r="AH29" s="18">
        <v>106.980003</v>
      </c>
      <c r="AI29" s="18">
        <v>80.050003000000004</v>
      </c>
      <c r="AJ29" s="18">
        <v>94.230002999999996</v>
      </c>
      <c r="AK29" s="18">
        <v>85.400002000000001</v>
      </c>
      <c r="AL29" s="18">
        <v>53.450848000000001</v>
      </c>
      <c r="AM29" s="18">
        <v>22.52</v>
      </c>
      <c r="AN29" s="18">
        <v>58.049999</v>
      </c>
      <c r="AO29" s="18">
        <v>106.230003</v>
      </c>
      <c r="AP29" s="18">
        <v>107.849998</v>
      </c>
      <c r="AQ29" s="18">
        <v>621.34002699999996</v>
      </c>
      <c r="AR29" s="18">
        <v>38.389999000000003</v>
      </c>
      <c r="AS29" s="18">
        <v>23.870000999999998</v>
      </c>
      <c r="AT29" s="18">
        <v>26.82</v>
      </c>
      <c r="AU29" s="18">
        <v>54.52</v>
      </c>
      <c r="AV29" s="18">
        <v>36</v>
      </c>
      <c r="AW29" s="18">
        <v>100.93</v>
      </c>
      <c r="AX29" s="18">
        <v>77.569999999999993</v>
      </c>
      <c r="AY29" s="18">
        <v>44.299999</v>
      </c>
      <c r="AZ29" s="18">
        <v>106.16999800000001</v>
      </c>
      <c r="BA29" s="18">
        <v>79.629997000000003</v>
      </c>
      <c r="BB29" s="18">
        <v>63.259998000000003</v>
      </c>
      <c r="BC29" s="18">
        <v>15.93</v>
      </c>
      <c r="BD29" s="18">
        <v>66.050003000000004</v>
      </c>
      <c r="BE29" s="18">
        <v>53.32</v>
      </c>
      <c r="BF29" s="18">
        <v>196.41999799999999</v>
      </c>
      <c r="BG29" s="18">
        <v>42.869999</v>
      </c>
      <c r="BH29" s="18">
        <v>55.099997999999999</v>
      </c>
      <c r="BI29" s="18">
        <v>90.209998999999996</v>
      </c>
      <c r="BJ29" s="18">
        <v>7.52</v>
      </c>
      <c r="BK29" s="18">
        <v>77.449996999999996</v>
      </c>
      <c r="BL29" s="18">
        <v>156.38999899999999</v>
      </c>
      <c r="BM29" s="18">
        <v>100.38494900000001</v>
      </c>
      <c r="BN29" s="18">
        <v>62.077331999999998</v>
      </c>
      <c r="BO29" s="18">
        <v>93.580001999999993</v>
      </c>
      <c r="BP29" s="18">
        <v>168.16999799999999</v>
      </c>
      <c r="BQ29" s="18">
        <v>138.259995</v>
      </c>
      <c r="BR29" s="18">
        <v>75.010002</v>
      </c>
      <c r="BS29" s="18">
        <v>79.650002000000001</v>
      </c>
      <c r="BT29" s="18">
        <v>92.080001999999993</v>
      </c>
      <c r="BU29" s="18">
        <v>101.339996</v>
      </c>
      <c r="BV29" s="18">
        <v>48.639999000000003</v>
      </c>
      <c r="BW29" s="18">
        <v>32.549999</v>
      </c>
      <c r="BX29" s="18">
        <v>50.439999</v>
      </c>
      <c r="BY29" s="18">
        <v>72.819999999999993</v>
      </c>
      <c r="BZ29" s="18">
        <v>100.33000199999999</v>
      </c>
      <c r="CA29" s="18">
        <v>75.260002</v>
      </c>
      <c r="CB29" s="18">
        <v>85.839995999999999</v>
      </c>
      <c r="CC29" s="18">
        <v>22.200001</v>
      </c>
      <c r="CD29" s="18">
        <v>78.769997000000004</v>
      </c>
      <c r="CE29" s="18">
        <v>14.972752</v>
      </c>
      <c r="CF29" s="18">
        <v>28.129999000000002</v>
      </c>
    </row>
    <row r="30" spans="1:84" x14ac:dyDescent="0.25">
      <c r="A30" s="17">
        <v>42155</v>
      </c>
      <c r="B30" s="18">
        <v>130.279999</v>
      </c>
      <c r="C30" s="18">
        <v>27.27</v>
      </c>
      <c r="D30" s="18">
        <v>169.64999399999999</v>
      </c>
      <c r="E30" s="18">
        <v>110.370003</v>
      </c>
      <c r="F30" s="18">
        <v>95.93</v>
      </c>
      <c r="G30" s="18">
        <v>74.269997000000004</v>
      </c>
      <c r="H30" s="18">
        <v>40.959999000000003</v>
      </c>
      <c r="I30" s="18">
        <v>186.63999899999999</v>
      </c>
      <c r="J30" s="18">
        <v>66.279999000000004</v>
      </c>
      <c r="K30" s="18">
        <v>137.88999899999999</v>
      </c>
      <c r="L30" s="18">
        <v>40.959999000000003</v>
      </c>
      <c r="M30" s="18">
        <v>96.43</v>
      </c>
      <c r="N30" s="18">
        <v>34.220001000000003</v>
      </c>
      <c r="O30" s="18">
        <v>250.800003</v>
      </c>
      <c r="P30" s="18">
        <v>85.199996999999996</v>
      </c>
      <c r="Q30" s="18">
        <v>103</v>
      </c>
      <c r="R30" s="18">
        <v>288.17999300000002</v>
      </c>
      <c r="S30" s="18">
        <v>70.510002</v>
      </c>
      <c r="T30" s="18">
        <v>119.040001</v>
      </c>
      <c r="U30" s="18">
        <v>60.150002000000001</v>
      </c>
      <c r="V30" s="18">
        <v>116.980003</v>
      </c>
      <c r="W30" s="18">
        <v>45.849997999999999</v>
      </c>
      <c r="X30" s="18">
        <v>61.259998000000003</v>
      </c>
      <c r="Y30" s="18">
        <v>100.139999</v>
      </c>
      <c r="Z30" s="18">
        <v>34.75</v>
      </c>
      <c r="AA30" s="18">
        <v>60.889999000000003</v>
      </c>
      <c r="AB30" s="18">
        <v>120.209999</v>
      </c>
      <c r="AC30" s="18">
        <v>81.830001999999993</v>
      </c>
      <c r="AD30" s="18">
        <v>129.58000200000001</v>
      </c>
      <c r="AE30" s="18">
        <v>183.720001</v>
      </c>
      <c r="AF30" s="18">
        <v>148.699997</v>
      </c>
      <c r="AG30" s="18">
        <v>306.80999800000001</v>
      </c>
      <c r="AH30" s="18">
        <v>111.41999800000001</v>
      </c>
      <c r="AI30" s="18">
        <v>77.989998</v>
      </c>
      <c r="AJ30" s="18">
        <v>107.260002</v>
      </c>
      <c r="AK30" s="18">
        <v>84.910004000000001</v>
      </c>
      <c r="AL30" s="18">
        <v>52.484943000000001</v>
      </c>
      <c r="AM30" s="18">
        <v>24.780000999999999</v>
      </c>
      <c r="AN30" s="18">
        <v>57.459999000000003</v>
      </c>
      <c r="AO30" s="18">
        <v>100.910004</v>
      </c>
      <c r="AP30" s="18">
        <v>108.660004</v>
      </c>
      <c r="AQ30" s="18">
        <v>615.52002000000005</v>
      </c>
      <c r="AR30" s="18">
        <v>38.43</v>
      </c>
      <c r="AS30" s="18">
        <v>23.889999</v>
      </c>
      <c r="AT30" s="18">
        <v>26.32</v>
      </c>
      <c r="AU30" s="18">
        <v>52.869999</v>
      </c>
      <c r="AV30" s="18">
        <v>35.25</v>
      </c>
      <c r="AW30" s="18">
        <v>102.339996</v>
      </c>
      <c r="AX30" s="18">
        <v>75.730002999999996</v>
      </c>
      <c r="AY30" s="18">
        <v>43.689999</v>
      </c>
      <c r="AZ30" s="18">
        <v>107.470001</v>
      </c>
      <c r="BA30" s="18">
        <v>79.230002999999996</v>
      </c>
      <c r="BB30" s="18">
        <v>65.779999000000004</v>
      </c>
      <c r="BC30" s="18">
        <v>16.5</v>
      </c>
      <c r="BD30" s="18">
        <v>68.680000000000007</v>
      </c>
      <c r="BE30" s="18">
        <v>54.080002</v>
      </c>
      <c r="BF30" s="18">
        <v>206.19000199999999</v>
      </c>
      <c r="BG30" s="18">
        <v>43.110000999999997</v>
      </c>
      <c r="BH30" s="18">
        <v>55.959999000000003</v>
      </c>
      <c r="BI30" s="18">
        <v>92.260002</v>
      </c>
      <c r="BJ30" s="18">
        <v>7.1</v>
      </c>
      <c r="BK30" s="18">
        <v>79.720000999999996</v>
      </c>
      <c r="BL30" s="18">
        <v>159.08000200000001</v>
      </c>
      <c r="BM30" s="18">
        <v>103.64756</v>
      </c>
      <c r="BN30" s="18">
        <v>65.443520000000007</v>
      </c>
      <c r="BO30" s="18">
        <v>93.830001999999993</v>
      </c>
      <c r="BP30" s="18">
        <v>174.96000699999999</v>
      </c>
      <c r="BQ30" s="18">
        <v>135.550003</v>
      </c>
      <c r="BR30" s="18">
        <v>77.260002</v>
      </c>
      <c r="BS30" s="18">
        <v>80.910004000000001</v>
      </c>
      <c r="BT30" s="18">
        <v>109.639999</v>
      </c>
      <c r="BU30" s="18">
        <v>108.699997</v>
      </c>
      <c r="BV30" s="18">
        <v>46.860000999999997</v>
      </c>
      <c r="BW30" s="18">
        <v>34.459999000000003</v>
      </c>
      <c r="BX30" s="18">
        <v>49.439999</v>
      </c>
      <c r="BY30" s="18">
        <v>72.75</v>
      </c>
      <c r="BZ30" s="18">
        <v>104.150002</v>
      </c>
      <c r="CA30" s="18">
        <v>77.269997000000004</v>
      </c>
      <c r="CB30" s="18">
        <v>89</v>
      </c>
      <c r="CC30" s="18">
        <v>22.129999000000002</v>
      </c>
      <c r="CD30" s="18">
        <v>79.190002000000007</v>
      </c>
      <c r="CE30" s="18">
        <v>15.168029000000001</v>
      </c>
      <c r="CF30" s="18">
        <v>27.93</v>
      </c>
    </row>
    <row r="31" spans="1:84" x14ac:dyDescent="0.25">
      <c r="A31" s="17">
        <v>42185</v>
      </c>
      <c r="B31" s="18">
        <v>125.43</v>
      </c>
      <c r="C31" s="18">
        <v>26.57</v>
      </c>
      <c r="D31" s="18">
        <v>162.66000399999999</v>
      </c>
      <c r="E31" s="18">
        <v>114.139999</v>
      </c>
      <c r="F31" s="18">
        <v>95.07</v>
      </c>
      <c r="G31" s="18">
        <v>70.930000000000007</v>
      </c>
      <c r="H31" s="18">
        <v>39.229999999999997</v>
      </c>
      <c r="I31" s="18">
        <v>190.89999399999999</v>
      </c>
      <c r="J31" s="18">
        <v>70.180000000000007</v>
      </c>
      <c r="K31" s="18">
        <v>133.75</v>
      </c>
      <c r="L31" s="18">
        <v>39.229999999999997</v>
      </c>
      <c r="M31" s="18">
        <v>93.339995999999999</v>
      </c>
      <c r="N31" s="18">
        <v>32.400002000000001</v>
      </c>
      <c r="O31" s="18">
        <v>268.26001000000002</v>
      </c>
      <c r="P31" s="18">
        <v>83.199996999999996</v>
      </c>
      <c r="Q31" s="18">
        <v>96.470000999999996</v>
      </c>
      <c r="R31" s="18">
        <v>275.01998900000001</v>
      </c>
      <c r="S31" s="18">
        <v>68.589995999999999</v>
      </c>
      <c r="T31" s="18">
        <v>109.290001</v>
      </c>
      <c r="U31" s="18">
        <v>55.27</v>
      </c>
      <c r="V31" s="18">
        <v>106.589996</v>
      </c>
      <c r="W31" s="18">
        <v>46.849997999999999</v>
      </c>
      <c r="X31" s="18">
        <v>59.209999000000003</v>
      </c>
      <c r="Y31" s="18">
        <v>97.459998999999996</v>
      </c>
      <c r="Z31" s="18">
        <v>33.529998999999997</v>
      </c>
      <c r="AA31" s="18">
        <v>56.93</v>
      </c>
      <c r="AB31" s="18">
        <v>122</v>
      </c>
      <c r="AC31" s="18">
        <v>90.720000999999996</v>
      </c>
      <c r="AD31" s="18">
        <v>142.10000600000001</v>
      </c>
      <c r="AE31" s="18">
        <v>173.949997</v>
      </c>
      <c r="AF31" s="18">
        <v>143.69000199999999</v>
      </c>
      <c r="AG31" s="18">
        <v>303.459991</v>
      </c>
      <c r="AH31" s="18">
        <v>111.129997</v>
      </c>
      <c r="AI31" s="18">
        <v>74.389999000000003</v>
      </c>
      <c r="AJ31" s="18">
        <v>109.349998</v>
      </c>
      <c r="AK31" s="18">
        <v>81.910004000000001</v>
      </c>
      <c r="AL31" s="18">
        <v>50.753844999999998</v>
      </c>
      <c r="AM31" s="18">
        <v>24.42</v>
      </c>
      <c r="AN31" s="18">
        <v>56.689999</v>
      </c>
      <c r="AO31" s="18">
        <v>95.370002999999997</v>
      </c>
      <c r="AP31" s="18">
        <v>113.400002</v>
      </c>
      <c r="AQ31" s="18">
        <v>604.98999000000003</v>
      </c>
      <c r="AR31" s="18">
        <v>37.389999000000003</v>
      </c>
      <c r="AS31" s="18">
        <v>22.85</v>
      </c>
      <c r="AT31" s="18">
        <v>24.49</v>
      </c>
      <c r="AU31" s="18">
        <v>48.630001</v>
      </c>
      <c r="AV31" s="18">
        <v>34.159999999999997</v>
      </c>
      <c r="AW31" s="18">
        <v>98.029999000000004</v>
      </c>
      <c r="AX31" s="18">
        <v>70.620002999999997</v>
      </c>
      <c r="AY31" s="18">
        <v>41.900002000000001</v>
      </c>
      <c r="AZ31" s="18">
        <v>98.940002000000007</v>
      </c>
      <c r="BA31" s="18">
        <v>74.639999000000003</v>
      </c>
      <c r="BB31" s="18">
        <v>67.760002</v>
      </c>
      <c r="BC31" s="18">
        <v>17.02</v>
      </c>
      <c r="BD31" s="18">
        <v>67.150002000000001</v>
      </c>
      <c r="BE31" s="18">
        <v>55.240001999999997</v>
      </c>
      <c r="BF31" s="18">
        <v>208.78999300000001</v>
      </c>
      <c r="BG31" s="18">
        <v>43.400002000000001</v>
      </c>
      <c r="BH31" s="18">
        <v>56.240001999999997</v>
      </c>
      <c r="BI31" s="18">
        <v>93.480002999999996</v>
      </c>
      <c r="BJ31" s="18">
        <v>7.01</v>
      </c>
      <c r="BK31" s="18">
        <v>77.720000999999996</v>
      </c>
      <c r="BL31" s="18">
        <v>154.300003</v>
      </c>
      <c r="BM31" s="18">
        <v>101.429382</v>
      </c>
      <c r="BN31" s="18">
        <v>64.890067999999999</v>
      </c>
      <c r="BO31" s="18">
        <v>91.790001000000004</v>
      </c>
      <c r="BP31" s="18">
        <v>172.46000699999999</v>
      </c>
      <c r="BQ31" s="18">
        <v>131.19000199999999</v>
      </c>
      <c r="BR31" s="18">
        <v>78.580001999999993</v>
      </c>
      <c r="BS31" s="18">
        <v>77.889999000000003</v>
      </c>
      <c r="BT31" s="18">
        <v>111.050003</v>
      </c>
      <c r="BU31" s="18">
        <v>112.230003</v>
      </c>
      <c r="BV31" s="18">
        <v>44.150002000000001</v>
      </c>
      <c r="BW31" s="18">
        <v>30.42</v>
      </c>
      <c r="BX31" s="18">
        <v>46.610000999999997</v>
      </c>
      <c r="BY31" s="18">
        <v>69.629997000000003</v>
      </c>
      <c r="BZ31" s="18">
        <v>100.769997</v>
      </c>
      <c r="CA31" s="18">
        <v>75.930000000000007</v>
      </c>
      <c r="CB31" s="18">
        <v>91.239998</v>
      </c>
      <c r="CC31" s="18">
        <v>20.110001</v>
      </c>
      <c r="CD31" s="18">
        <v>85.769997000000004</v>
      </c>
      <c r="CE31" s="18">
        <v>13.628519000000001</v>
      </c>
      <c r="CF31" s="18">
        <v>18.84</v>
      </c>
    </row>
    <row r="32" spans="1:84" x14ac:dyDescent="0.25">
      <c r="A32" s="17">
        <v>42216</v>
      </c>
      <c r="B32" s="18">
        <v>121.300003</v>
      </c>
      <c r="C32" s="18">
        <v>26.1</v>
      </c>
      <c r="D32" s="18">
        <v>161.990005</v>
      </c>
      <c r="E32" s="18">
        <v>120</v>
      </c>
      <c r="F32" s="18">
        <v>99.860000999999997</v>
      </c>
      <c r="G32" s="18">
        <v>71.980002999999996</v>
      </c>
      <c r="H32" s="18">
        <v>41.080002</v>
      </c>
      <c r="I32" s="18">
        <v>201.58999600000001</v>
      </c>
      <c r="J32" s="18">
        <v>70.419998000000007</v>
      </c>
      <c r="K32" s="18">
        <v>133.46000699999999</v>
      </c>
      <c r="L32" s="18">
        <v>41.080002</v>
      </c>
      <c r="M32" s="18">
        <v>96.349997999999999</v>
      </c>
      <c r="N32" s="18">
        <v>33.959999000000003</v>
      </c>
      <c r="O32" s="18">
        <v>266.14999399999999</v>
      </c>
      <c r="P32" s="18">
        <v>79.209998999999996</v>
      </c>
      <c r="Q32" s="18">
        <v>88.480002999999996</v>
      </c>
      <c r="R32" s="18">
        <v>277.76001000000002</v>
      </c>
      <c r="S32" s="18">
        <v>62.470001000000003</v>
      </c>
      <c r="T32" s="18">
        <v>115.589996</v>
      </c>
      <c r="U32" s="18">
        <v>54.200001</v>
      </c>
      <c r="V32" s="18">
        <v>101.889999</v>
      </c>
      <c r="W32" s="18">
        <v>42.939999</v>
      </c>
      <c r="X32" s="18">
        <v>60.389999000000003</v>
      </c>
      <c r="Y32" s="18">
        <v>100.209999</v>
      </c>
      <c r="Z32" s="18">
        <v>36.060001</v>
      </c>
      <c r="AA32" s="18">
        <v>58.959999000000003</v>
      </c>
      <c r="AB32" s="18">
        <v>121.400002</v>
      </c>
      <c r="AC32" s="18">
        <v>93.010002</v>
      </c>
      <c r="AD32" s="18">
        <v>145.229996</v>
      </c>
      <c r="AE32" s="18">
        <v>169.36000100000001</v>
      </c>
      <c r="AF32" s="18">
        <v>139.35000600000001</v>
      </c>
      <c r="AG32" s="18">
        <v>331.14999399999999</v>
      </c>
      <c r="AH32" s="18">
        <v>117.029999</v>
      </c>
      <c r="AI32" s="18">
        <v>72.610000999999997</v>
      </c>
      <c r="AJ32" s="18">
        <v>121.44000200000001</v>
      </c>
      <c r="AK32" s="18">
        <v>82.519997000000004</v>
      </c>
      <c r="AL32" s="18">
        <v>52.472400999999998</v>
      </c>
      <c r="AM32" s="18">
        <v>23.16</v>
      </c>
      <c r="AN32" s="18">
        <v>55.830002</v>
      </c>
      <c r="AO32" s="18">
        <v>97.589995999999999</v>
      </c>
      <c r="AP32" s="18">
        <v>113.839996</v>
      </c>
      <c r="AQ32" s="18">
        <v>742.22997999999995</v>
      </c>
      <c r="AR32" s="18">
        <v>38.549999</v>
      </c>
      <c r="AS32" s="18">
        <v>21.530000999999999</v>
      </c>
      <c r="AT32" s="18">
        <v>25.440000999999999</v>
      </c>
      <c r="AU32" s="18">
        <v>51.91</v>
      </c>
      <c r="AV32" s="18">
        <v>34.040000999999997</v>
      </c>
      <c r="AW32" s="18">
        <v>105.199997</v>
      </c>
      <c r="AX32" s="18">
        <v>74.220000999999996</v>
      </c>
      <c r="AY32" s="18">
        <v>44.73</v>
      </c>
      <c r="AZ32" s="18">
        <v>101.779999</v>
      </c>
      <c r="BA32" s="18">
        <v>80.459998999999996</v>
      </c>
      <c r="BB32" s="18">
        <v>68.529999000000004</v>
      </c>
      <c r="BC32" s="18">
        <v>17.879999000000002</v>
      </c>
      <c r="BD32" s="18">
        <v>75.339995999999999</v>
      </c>
      <c r="BE32" s="18">
        <v>58.459999000000003</v>
      </c>
      <c r="BF32" s="18">
        <v>205.070007</v>
      </c>
      <c r="BG32" s="18">
        <v>45.209999000000003</v>
      </c>
      <c r="BH32" s="18">
        <v>57.869999</v>
      </c>
      <c r="BI32" s="18">
        <v>97.400002000000001</v>
      </c>
      <c r="BJ32" s="18">
        <v>6.81</v>
      </c>
      <c r="BK32" s="18">
        <v>76.059997999999993</v>
      </c>
      <c r="BL32" s="18">
        <v>151.33999600000001</v>
      </c>
      <c r="BM32" s="18">
        <v>104.49305</v>
      </c>
      <c r="BN32" s="18">
        <v>69.416222000000005</v>
      </c>
      <c r="BO32" s="18">
        <v>89.470000999999996</v>
      </c>
      <c r="BP32" s="18">
        <v>167.270004</v>
      </c>
      <c r="BQ32" s="18">
        <v>129.529999</v>
      </c>
      <c r="BR32" s="18">
        <v>76.029999000000004</v>
      </c>
      <c r="BS32" s="18">
        <v>74.110000999999997</v>
      </c>
      <c r="BT32" s="18">
        <v>107.629997</v>
      </c>
      <c r="BU32" s="18">
        <v>122.699997</v>
      </c>
      <c r="BV32" s="18">
        <v>46.700001</v>
      </c>
      <c r="BW32" s="18">
        <v>28.950001</v>
      </c>
      <c r="BX32" s="18">
        <v>46.790000999999997</v>
      </c>
      <c r="BY32" s="18">
        <v>73.300003000000004</v>
      </c>
      <c r="BZ32" s="18">
        <v>105.769997</v>
      </c>
      <c r="CA32" s="18">
        <v>79.080001999999993</v>
      </c>
      <c r="CB32" s="18">
        <v>94.150002000000001</v>
      </c>
      <c r="CC32" s="18">
        <v>19.950001</v>
      </c>
      <c r="CD32" s="18">
        <v>94.010002</v>
      </c>
      <c r="CE32" s="18">
        <v>13.860127</v>
      </c>
      <c r="CF32" s="18">
        <v>18.510000000000002</v>
      </c>
    </row>
    <row r="33" spans="1:84" x14ac:dyDescent="0.25">
      <c r="A33" s="17">
        <v>42247</v>
      </c>
      <c r="B33" s="18">
        <v>112.91999800000001</v>
      </c>
      <c r="C33" s="18">
        <v>25.01</v>
      </c>
      <c r="D33" s="18">
        <v>147.88999899999999</v>
      </c>
      <c r="E33" s="18">
        <v>101.879997</v>
      </c>
      <c r="F33" s="18">
        <v>97.330001999999993</v>
      </c>
      <c r="G33" s="18">
        <v>64.730002999999996</v>
      </c>
      <c r="H33" s="18">
        <v>39.32</v>
      </c>
      <c r="I33" s="18">
        <v>196.970001</v>
      </c>
      <c r="J33" s="18">
        <v>69.680000000000007</v>
      </c>
      <c r="K33" s="18">
        <v>118.379997</v>
      </c>
      <c r="L33" s="18">
        <v>39.32</v>
      </c>
      <c r="M33" s="18">
        <v>93.599997999999999</v>
      </c>
      <c r="N33" s="18">
        <v>31.48</v>
      </c>
      <c r="O33" s="18">
        <v>249.05999800000001</v>
      </c>
      <c r="P33" s="18">
        <v>75.239998</v>
      </c>
      <c r="Q33" s="18">
        <v>80.989998</v>
      </c>
      <c r="R33" s="18">
        <v>259.36999500000002</v>
      </c>
      <c r="S33" s="18">
        <v>55.23</v>
      </c>
      <c r="T33" s="18">
        <v>109.550003</v>
      </c>
      <c r="U33" s="18">
        <v>45.209999000000003</v>
      </c>
      <c r="V33" s="18">
        <v>98.400002000000001</v>
      </c>
      <c r="W33" s="18">
        <v>40.830002</v>
      </c>
      <c r="X33" s="18">
        <v>63.029998999999997</v>
      </c>
      <c r="Y33" s="18">
        <v>93.980002999999996</v>
      </c>
      <c r="Z33" s="18">
        <v>33.259998000000003</v>
      </c>
      <c r="AA33" s="18">
        <v>53.849997999999999</v>
      </c>
      <c r="AB33" s="18">
        <v>115.699997</v>
      </c>
      <c r="AC33" s="18">
        <v>86.620002999999997</v>
      </c>
      <c r="AD33" s="18">
        <v>140.970001</v>
      </c>
      <c r="AE33" s="18">
        <v>150.61999499999999</v>
      </c>
      <c r="AF33" s="18">
        <v>134.61000100000001</v>
      </c>
      <c r="AG33" s="18">
        <v>303.73998999999998</v>
      </c>
      <c r="AH33" s="18">
        <v>116.459999</v>
      </c>
      <c r="AI33" s="18">
        <v>70.660004000000001</v>
      </c>
      <c r="AJ33" s="18">
        <v>114.989998</v>
      </c>
      <c r="AK33" s="18">
        <v>77.239998</v>
      </c>
      <c r="AL33" s="18">
        <v>46.927860000000003</v>
      </c>
      <c r="AM33" s="18">
        <v>25.65</v>
      </c>
      <c r="AN33" s="18">
        <v>51.91</v>
      </c>
      <c r="AO33" s="18">
        <v>85.739998</v>
      </c>
      <c r="AP33" s="18">
        <v>107.800003</v>
      </c>
      <c r="AQ33" s="18">
        <v>727.169983</v>
      </c>
      <c r="AR33" s="18">
        <v>37.75</v>
      </c>
      <c r="AS33" s="18">
        <v>20.629999000000002</v>
      </c>
      <c r="AT33" s="18">
        <v>25.59</v>
      </c>
      <c r="AU33" s="18">
        <v>51.939999</v>
      </c>
      <c r="AV33" s="18">
        <v>34.560001</v>
      </c>
      <c r="AW33" s="18">
        <v>98.410004000000001</v>
      </c>
      <c r="AX33" s="18">
        <v>70.910004000000001</v>
      </c>
      <c r="AY33" s="18">
        <v>43.41</v>
      </c>
      <c r="AZ33" s="18">
        <v>97.839995999999999</v>
      </c>
      <c r="BA33" s="18">
        <v>78.059997999999993</v>
      </c>
      <c r="BB33" s="18">
        <v>64.099997999999999</v>
      </c>
      <c r="BC33" s="18">
        <v>16.440000999999999</v>
      </c>
      <c r="BD33" s="18">
        <v>71.300003000000004</v>
      </c>
      <c r="BE33" s="18">
        <v>53.48</v>
      </c>
      <c r="BF33" s="18">
        <v>189.21000699999999</v>
      </c>
      <c r="BG33" s="18">
        <v>42.349997999999999</v>
      </c>
      <c r="BH33" s="18">
        <v>54.029998999999997</v>
      </c>
      <c r="BI33" s="18">
        <v>94.050003000000004</v>
      </c>
      <c r="BJ33" s="18">
        <v>6.09</v>
      </c>
      <c r="BK33" s="18">
        <v>76.720000999999996</v>
      </c>
      <c r="BL33" s="18">
        <v>142.13999899999999</v>
      </c>
      <c r="BM33" s="18">
        <v>99.889999000000003</v>
      </c>
      <c r="BN33" s="18">
        <v>65.974220000000003</v>
      </c>
      <c r="BO33" s="18">
        <v>84.82</v>
      </c>
      <c r="BP33" s="18">
        <v>162.08999600000001</v>
      </c>
      <c r="BQ33" s="18">
        <v>122.599998</v>
      </c>
      <c r="BR33" s="18">
        <v>71.830001999999993</v>
      </c>
      <c r="BS33" s="18">
        <v>66.519997000000004</v>
      </c>
      <c r="BT33" s="18">
        <v>82.879997000000003</v>
      </c>
      <c r="BU33" s="18">
        <v>109.349998</v>
      </c>
      <c r="BV33" s="18">
        <v>43.52</v>
      </c>
      <c r="BW33" s="18">
        <v>28.540001</v>
      </c>
      <c r="BX33" s="18">
        <v>46.009998000000003</v>
      </c>
      <c r="BY33" s="18">
        <v>69.360000999999997</v>
      </c>
      <c r="BZ33" s="18">
        <v>85.75</v>
      </c>
      <c r="CA33" s="18">
        <v>72.209998999999996</v>
      </c>
      <c r="CB33" s="18">
        <v>89.790001000000004</v>
      </c>
      <c r="CC33" s="18">
        <v>22.48</v>
      </c>
      <c r="CD33" s="18">
        <v>89.730002999999996</v>
      </c>
      <c r="CE33" s="18">
        <v>12.742960999999999</v>
      </c>
      <c r="CF33" s="18">
        <v>16.41</v>
      </c>
    </row>
    <row r="34" spans="1:84" x14ac:dyDescent="0.25">
      <c r="A34" s="17">
        <v>42277</v>
      </c>
      <c r="B34" s="18">
        <v>110.300003</v>
      </c>
      <c r="C34" s="18">
        <v>25.219999000000001</v>
      </c>
      <c r="D34" s="18">
        <v>144.970001</v>
      </c>
      <c r="E34" s="18">
        <v>102.199997</v>
      </c>
      <c r="F34" s="18">
        <v>98.529999000000004</v>
      </c>
      <c r="G34" s="18">
        <v>64.839995999999999</v>
      </c>
      <c r="H34" s="18">
        <v>40.119999</v>
      </c>
      <c r="I34" s="18">
        <v>181.78999300000001</v>
      </c>
      <c r="J34" s="18">
        <v>72.300003000000004</v>
      </c>
      <c r="K34" s="18">
        <v>118.82</v>
      </c>
      <c r="L34" s="18">
        <v>40.119999</v>
      </c>
      <c r="M34" s="18">
        <v>94.300003000000004</v>
      </c>
      <c r="N34" s="18">
        <v>29.9</v>
      </c>
      <c r="O34" s="18">
        <v>248.39999399999999</v>
      </c>
      <c r="P34" s="18">
        <v>74.349997999999999</v>
      </c>
      <c r="Q34" s="18">
        <v>78.879997000000003</v>
      </c>
      <c r="R34" s="18">
        <v>222.779999</v>
      </c>
      <c r="S34" s="18">
        <v>51.889999000000003</v>
      </c>
      <c r="T34" s="18">
        <v>103.260002</v>
      </c>
      <c r="U34" s="18">
        <v>44.099997999999999</v>
      </c>
      <c r="V34" s="18">
        <v>85.339995999999999</v>
      </c>
      <c r="W34" s="18">
        <v>31.110001</v>
      </c>
      <c r="X34" s="18">
        <v>60.82</v>
      </c>
      <c r="Y34" s="18">
        <v>93.349997999999999</v>
      </c>
      <c r="Z34" s="18">
        <v>31.41</v>
      </c>
      <c r="AA34" s="18">
        <v>49.389999000000003</v>
      </c>
      <c r="AB34" s="18">
        <v>116.010002</v>
      </c>
      <c r="AC34" s="18">
        <v>77.360000999999997</v>
      </c>
      <c r="AD34" s="18">
        <v>124.80999799999999</v>
      </c>
      <c r="AE34" s="18">
        <v>131.240005</v>
      </c>
      <c r="AF34" s="18">
        <v>150.699997</v>
      </c>
      <c r="AG34" s="18">
        <v>271.80999800000001</v>
      </c>
      <c r="AH34" s="18">
        <v>115.489998</v>
      </c>
      <c r="AI34" s="18">
        <v>68.199996999999996</v>
      </c>
      <c r="AJ34" s="18">
        <v>117.68</v>
      </c>
      <c r="AK34" s="18">
        <v>71.900002000000001</v>
      </c>
      <c r="AL34" s="18">
        <v>36.189999</v>
      </c>
      <c r="AM34" s="18">
        <v>24.33</v>
      </c>
      <c r="AN34" s="18">
        <v>47.099997999999999</v>
      </c>
      <c r="AO34" s="18">
        <v>88.410004000000001</v>
      </c>
      <c r="AP34" s="18">
        <v>107.910004</v>
      </c>
      <c r="AQ34" s="18">
        <v>720.25</v>
      </c>
      <c r="AR34" s="18">
        <v>41.400002000000001</v>
      </c>
      <c r="AS34" s="18">
        <v>22.120000999999998</v>
      </c>
      <c r="AT34" s="18">
        <v>26.469999000000001</v>
      </c>
      <c r="AU34" s="18">
        <v>55.080002</v>
      </c>
      <c r="AV34" s="18">
        <v>36.520000000000003</v>
      </c>
      <c r="AW34" s="18">
        <v>97.550003000000004</v>
      </c>
      <c r="AX34" s="18">
        <v>71.940002000000007</v>
      </c>
      <c r="AY34" s="18">
        <v>44.700001</v>
      </c>
      <c r="AZ34" s="18">
        <v>96.720000999999996</v>
      </c>
      <c r="BA34" s="18">
        <v>80.370002999999997</v>
      </c>
      <c r="BB34" s="18">
        <v>60.970001000000003</v>
      </c>
      <c r="BC34" s="18">
        <v>15.58</v>
      </c>
      <c r="BD34" s="18">
        <v>69.660004000000001</v>
      </c>
      <c r="BE34" s="18">
        <v>49.610000999999997</v>
      </c>
      <c r="BF34" s="18">
        <v>173.759995</v>
      </c>
      <c r="BG34" s="18">
        <v>41.009998000000003</v>
      </c>
      <c r="BH34" s="18">
        <v>51.349997999999999</v>
      </c>
      <c r="BI34" s="18">
        <v>90.120002999999997</v>
      </c>
      <c r="BJ34" s="18">
        <v>5.28</v>
      </c>
      <c r="BK34" s="18">
        <v>74.129997000000003</v>
      </c>
      <c r="BL34" s="18">
        <v>141.770004</v>
      </c>
      <c r="BM34" s="18">
        <v>94.187980999999994</v>
      </c>
      <c r="BN34" s="18">
        <v>64.601973999999998</v>
      </c>
      <c r="BO34" s="18">
        <v>82.309997999999993</v>
      </c>
      <c r="BP34" s="18">
        <v>156.699997</v>
      </c>
      <c r="BQ34" s="18">
        <v>108.58000199999999</v>
      </c>
      <c r="BR34" s="18">
        <v>71.300003000000004</v>
      </c>
      <c r="BS34" s="18">
        <v>62.939999</v>
      </c>
      <c r="BT34" s="18">
        <v>76.550003000000004</v>
      </c>
      <c r="BU34" s="18">
        <v>105.19000200000001</v>
      </c>
      <c r="BV34" s="18">
        <v>44.259998000000003</v>
      </c>
      <c r="BW34" s="18">
        <v>30.139999</v>
      </c>
      <c r="BX34" s="18">
        <v>43.509998000000003</v>
      </c>
      <c r="BY34" s="18">
        <v>69.430000000000007</v>
      </c>
      <c r="BZ34" s="18">
        <v>88.75</v>
      </c>
      <c r="CA34" s="18">
        <v>71.879997000000003</v>
      </c>
      <c r="CB34" s="18">
        <v>88.139999000000003</v>
      </c>
      <c r="CC34" s="18">
        <v>24.65</v>
      </c>
      <c r="CD34" s="18">
        <v>89.900002000000001</v>
      </c>
      <c r="CE34" s="18">
        <v>11.630336</v>
      </c>
      <c r="CF34" s="18">
        <v>14.98</v>
      </c>
    </row>
    <row r="35" spans="1:84" x14ac:dyDescent="0.25">
      <c r="A35" s="17">
        <v>42308</v>
      </c>
      <c r="B35" s="18">
        <v>119.5</v>
      </c>
      <c r="C35" s="18">
        <v>28.92</v>
      </c>
      <c r="D35" s="18">
        <v>140.08000200000001</v>
      </c>
      <c r="E35" s="18">
        <v>113.739998</v>
      </c>
      <c r="F35" s="18">
        <v>112.25</v>
      </c>
      <c r="G35" s="18">
        <v>57.240001999999997</v>
      </c>
      <c r="H35" s="18">
        <v>42.349997999999999</v>
      </c>
      <c r="I35" s="18">
        <v>195.5</v>
      </c>
      <c r="J35" s="18">
        <v>81.540001000000004</v>
      </c>
      <c r="K35" s="18">
        <v>122.620003</v>
      </c>
      <c r="L35" s="18">
        <v>42.349997999999999</v>
      </c>
      <c r="M35" s="18">
        <v>102.19000200000001</v>
      </c>
      <c r="N35" s="18">
        <v>33.130001</v>
      </c>
      <c r="O35" s="18">
        <v>206.929993</v>
      </c>
      <c r="P35" s="18">
        <v>82.739998</v>
      </c>
      <c r="Q35" s="18">
        <v>90.879997000000003</v>
      </c>
      <c r="R35" s="18">
        <v>266.82998700000002</v>
      </c>
      <c r="S35" s="18">
        <v>60.27</v>
      </c>
      <c r="T35" s="18">
        <v>116.05999799999999</v>
      </c>
      <c r="U35" s="18">
        <v>53.52</v>
      </c>
      <c r="V35" s="18">
        <v>93.220000999999996</v>
      </c>
      <c r="W35" s="18">
        <v>33.790000999999997</v>
      </c>
      <c r="X35" s="18">
        <v>66.160004000000001</v>
      </c>
      <c r="Y35" s="18">
        <v>101.029999</v>
      </c>
      <c r="Z35" s="18">
        <v>33.82</v>
      </c>
      <c r="AA35" s="18">
        <v>54.66</v>
      </c>
      <c r="AB35" s="18">
        <v>117.779999</v>
      </c>
      <c r="AC35" s="18">
        <v>68.790001000000004</v>
      </c>
      <c r="AD35" s="18">
        <v>122.089996</v>
      </c>
      <c r="AE35" s="18">
        <v>146.63000500000001</v>
      </c>
      <c r="AF35" s="18">
        <v>145.220001</v>
      </c>
      <c r="AG35" s="18">
        <v>308.47000100000002</v>
      </c>
      <c r="AH35" s="18">
        <v>123.639999</v>
      </c>
      <c r="AI35" s="18">
        <v>76.779999000000004</v>
      </c>
      <c r="AJ35" s="18">
        <v>136.300003</v>
      </c>
      <c r="AK35" s="18">
        <v>81.349997999999999</v>
      </c>
      <c r="AL35" s="18">
        <v>50.026279000000002</v>
      </c>
      <c r="AM35" s="18">
        <v>29.32</v>
      </c>
      <c r="AN35" s="18">
        <v>50.400002000000001</v>
      </c>
      <c r="AO35" s="18">
        <v>89.349997999999999</v>
      </c>
      <c r="AP35" s="18">
        <v>106.66999800000001</v>
      </c>
      <c r="AQ35" s="18">
        <v>640.22997999999995</v>
      </c>
      <c r="AR35" s="18">
        <v>40.75</v>
      </c>
      <c r="AS35" s="18">
        <v>22.360001</v>
      </c>
      <c r="AT35" s="18">
        <v>28.6</v>
      </c>
      <c r="AU35" s="18">
        <v>57.360000999999997</v>
      </c>
      <c r="AV35" s="18">
        <v>36.810001</v>
      </c>
      <c r="AW35" s="18">
        <v>102.660004</v>
      </c>
      <c r="AX35" s="18">
        <v>71.470000999999996</v>
      </c>
      <c r="AY35" s="18">
        <v>45.099997999999999</v>
      </c>
      <c r="AZ35" s="18">
        <v>102.410004</v>
      </c>
      <c r="BA35" s="18">
        <v>81.589995999999999</v>
      </c>
      <c r="BB35" s="18">
        <v>64.25</v>
      </c>
      <c r="BC35" s="18">
        <v>16.780000999999999</v>
      </c>
      <c r="BD35" s="18">
        <v>77.580001999999993</v>
      </c>
      <c r="BE35" s="18">
        <v>53.169998</v>
      </c>
      <c r="BF35" s="18">
        <v>187.5</v>
      </c>
      <c r="BG35" s="18">
        <v>42.18</v>
      </c>
      <c r="BH35" s="18">
        <v>54.139999000000003</v>
      </c>
      <c r="BI35" s="18">
        <v>98.989998</v>
      </c>
      <c r="BJ35" s="18">
        <v>5.54</v>
      </c>
      <c r="BK35" s="18">
        <v>73.260002</v>
      </c>
      <c r="BL35" s="18">
        <v>157.21000699999999</v>
      </c>
      <c r="BM35" s="18">
        <v>102.732613</v>
      </c>
      <c r="BN35" s="18">
        <v>70.742988999999994</v>
      </c>
      <c r="BO35" s="18">
        <v>91.940002000000007</v>
      </c>
      <c r="BP35" s="18">
        <v>186.35000600000001</v>
      </c>
      <c r="BQ35" s="18">
        <v>103.510002</v>
      </c>
      <c r="BR35" s="18">
        <v>76.760002</v>
      </c>
      <c r="BS35" s="18">
        <v>71.239998</v>
      </c>
      <c r="BT35" s="18">
        <v>76.900002000000001</v>
      </c>
      <c r="BU35" s="18">
        <v>116.94000200000001</v>
      </c>
      <c r="BV35" s="18">
        <v>52.639999000000003</v>
      </c>
      <c r="BW35" s="18">
        <v>33.860000999999997</v>
      </c>
      <c r="BX35" s="18">
        <v>46.880001</v>
      </c>
      <c r="BY35" s="18">
        <v>77.709998999999996</v>
      </c>
      <c r="BZ35" s="18">
        <v>97.43</v>
      </c>
      <c r="CA35" s="18">
        <v>79.110000999999997</v>
      </c>
      <c r="CB35" s="18">
        <v>95.309997999999993</v>
      </c>
      <c r="CC35" s="18">
        <v>28.370000999999998</v>
      </c>
      <c r="CD35" s="18">
        <v>101.970001</v>
      </c>
      <c r="CE35" s="18">
        <v>12.243415000000001</v>
      </c>
      <c r="CF35" s="18">
        <v>16.559999000000001</v>
      </c>
    </row>
    <row r="36" spans="1:84" x14ac:dyDescent="0.25">
      <c r="A36" s="17">
        <v>42338</v>
      </c>
      <c r="B36" s="18">
        <v>118.300003</v>
      </c>
      <c r="C36" s="18">
        <v>29.940000999999999</v>
      </c>
      <c r="D36" s="18">
        <v>139.41999799999999</v>
      </c>
      <c r="E36" s="18">
        <v>113.470001</v>
      </c>
      <c r="F36" s="18">
        <v>114.160004</v>
      </c>
      <c r="G36" s="18">
        <v>58.84</v>
      </c>
      <c r="H36" s="18">
        <v>42.619999</v>
      </c>
      <c r="I36" s="18">
        <v>190.720001</v>
      </c>
      <c r="J36" s="18">
        <v>82.040001000000004</v>
      </c>
      <c r="K36" s="18">
        <v>124.41999800000001</v>
      </c>
      <c r="L36" s="18">
        <v>42.619999</v>
      </c>
      <c r="M36" s="18">
        <v>100.160004</v>
      </c>
      <c r="N36" s="18">
        <v>32.68</v>
      </c>
      <c r="O36" s="18">
        <v>230.259995</v>
      </c>
      <c r="P36" s="18">
        <v>81.660004000000001</v>
      </c>
      <c r="Q36" s="18">
        <v>91.32</v>
      </c>
      <c r="R36" s="18">
        <v>276.07000699999998</v>
      </c>
      <c r="S36" s="18">
        <v>60.049999</v>
      </c>
      <c r="T36" s="18">
        <v>120.010002</v>
      </c>
      <c r="U36" s="18">
        <v>53.560001</v>
      </c>
      <c r="V36" s="18">
        <v>95.160004000000001</v>
      </c>
      <c r="W36" s="18">
        <v>31.639999</v>
      </c>
      <c r="X36" s="18">
        <v>69.790001000000004</v>
      </c>
      <c r="Y36" s="18">
        <v>101.239998</v>
      </c>
      <c r="Z36" s="18">
        <v>32.770000000000003</v>
      </c>
      <c r="AA36" s="18">
        <v>53.009998000000003</v>
      </c>
      <c r="AB36" s="18">
        <v>112.709999</v>
      </c>
      <c r="AC36" s="18">
        <v>68.059997999999993</v>
      </c>
      <c r="AD36" s="18">
        <v>121.519997</v>
      </c>
      <c r="AE36" s="18">
        <v>152.63000500000001</v>
      </c>
      <c r="AF36" s="18">
        <v>144.83000200000001</v>
      </c>
      <c r="AG36" s="18">
        <v>313.89001500000001</v>
      </c>
      <c r="AH36" s="18">
        <v>133.88000500000001</v>
      </c>
      <c r="AI36" s="18">
        <v>70.910004000000001</v>
      </c>
      <c r="AJ36" s="18">
        <v>123.110001</v>
      </c>
      <c r="AK36" s="18">
        <v>75.919998000000007</v>
      </c>
      <c r="AL36" s="18">
        <v>47.994118</v>
      </c>
      <c r="AM36" s="18">
        <v>28.52</v>
      </c>
      <c r="AN36" s="18">
        <v>49.290000999999997</v>
      </c>
      <c r="AO36" s="18">
        <v>83.949996999999996</v>
      </c>
      <c r="AP36" s="18">
        <v>107.470001</v>
      </c>
      <c r="AQ36" s="18">
        <v>579.54998799999998</v>
      </c>
      <c r="AR36" s="18">
        <v>41.830002</v>
      </c>
      <c r="AS36" s="18">
        <v>22.530000999999999</v>
      </c>
      <c r="AT36" s="18">
        <v>29.35</v>
      </c>
      <c r="AU36" s="18">
        <v>57.759998000000003</v>
      </c>
      <c r="AV36" s="18">
        <v>36.310001</v>
      </c>
      <c r="AW36" s="18">
        <v>99.860000999999997</v>
      </c>
      <c r="AX36" s="18">
        <v>67.760002</v>
      </c>
      <c r="AY36" s="18">
        <v>44.540000999999997</v>
      </c>
      <c r="AZ36" s="18">
        <v>99.230002999999996</v>
      </c>
      <c r="BA36" s="18">
        <v>80.489998</v>
      </c>
      <c r="BB36" s="18">
        <v>66.680000000000007</v>
      </c>
      <c r="BC36" s="18">
        <v>17.43</v>
      </c>
      <c r="BD36" s="18">
        <v>79.010002</v>
      </c>
      <c r="BE36" s="18">
        <v>54.09</v>
      </c>
      <c r="BF36" s="18">
        <v>190.020004</v>
      </c>
      <c r="BG36" s="18">
        <v>43.889999000000003</v>
      </c>
      <c r="BH36" s="18">
        <v>55.099997999999999</v>
      </c>
      <c r="BI36" s="18">
        <v>97.919998000000007</v>
      </c>
      <c r="BJ36" s="18">
        <v>5.4</v>
      </c>
      <c r="BK36" s="18">
        <v>71.639999000000003</v>
      </c>
      <c r="BL36" s="18">
        <v>156.58000200000001</v>
      </c>
      <c r="BM36" s="18">
        <v>103.399063</v>
      </c>
      <c r="BN36" s="18">
        <v>73.078086999999996</v>
      </c>
      <c r="BO36" s="18">
        <v>93.980002999999996</v>
      </c>
      <c r="BP36" s="18">
        <v>193.490005</v>
      </c>
      <c r="BQ36" s="18">
        <v>100.370003</v>
      </c>
      <c r="BR36" s="18">
        <v>78.800003000000004</v>
      </c>
      <c r="BS36" s="18">
        <v>72.529999000000004</v>
      </c>
      <c r="BT36" s="18">
        <v>80.199996999999996</v>
      </c>
      <c r="BU36" s="18">
        <v>110.040001</v>
      </c>
      <c r="BV36" s="18">
        <v>54.349997999999999</v>
      </c>
      <c r="BW36" s="18">
        <v>34.770000000000003</v>
      </c>
      <c r="BX36" s="18">
        <v>45.450001</v>
      </c>
      <c r="BY36" s="18">
        <v>79.690002000000007</v>
      </c>
      <c r="BZ36" s="18">
        <v>100.199997</v>
      </c>
      <c r="CA36" s="18">
        <v>81.410004000000001</v>
      </c>
      <c r="CB36" s="18">
        <v>93.209998999999996</v>
      </c>
      <c r="CC36" s="18">
        <v>31.719999000000001</v>
      </c>
      <c r="CD36" s="18">
        <v>104.239998</v>
      </c>
      <c r="CE36" s="18">
        <v>12.54</v>
      </c>
      <c r="CF36" s="18">
        <v>15.93</v>
      </c>
    </row>
    <row r="37" spans="1:84" x14ac:dyDescent="0.25">
      <c r="A37" s="17">
        <v>42369</v>
      </c>
      <c r="B37" s="18">
        <v>105.260002</v>
      </c>
      <c r="C37" s="18">
        <v>31.15</v>
      </c>
      <c r="D37" s="18">
        <v>137.61999499999999</v>
      </c>
      <c r="E37" s="18">
        <v>105.08000199999999</v>
      </c>
      <c r="F37" s="18">
        <v>118.139999</v>
      </c>
      <c r="G37" s="18">
        <v>61.299999</v>
      </c>
      <c r="H37" s="18">
        <v>42.959999000000003</v>
      </c>
      <c r="I37" s="18">
        <v>189.38999899999999</v>
      </c>
      <c r="J37" s="18">
        <v>80.779999000000004</v>
      </c>
      <c r="K37" s="18">
        <v>123.040001</v>
      </c>
      <c r="L37" s="18">
        <v>42.959999000000003</v>
      </c>
      <c r="M37" s="18">
        <v>99.919998000000007</v>
      </c>
      <c r="N37" s="18">
        <v>31.93</v>
      </c>
      <c r="O37" s="18">
        <v>240.009995</v>
      </c>
      <c r="P37" s="18">
        <v>77.949996999999996</v>
      </c>
      <c r="Q37" s="18">
        <v>89.959998999999996</v>
      </c>
      <c r="R37" s="18">
        <v>259.60000600000001</v>
      </c>
      <c r="S37" s="18">
        <v>54.32</v>
      </c>
      <c r="T37" s="18">
        <v>119.639999</v>
      </c>
      <c r="U37" s="18">
        <v>56.009998000000003</v>
      </c>
      <c r="V37" s="18">
        <v>98.519997000000004</v>
      </c>
      <c r="W37" s="18">
        <v>27.59</v>
      </c>
      <c r="X37" s="18">
        <v>64.510002</v>
      </c>
      <c r="Y37" s="18">
        <v>102.720001</v>
      </c>
      <c r="Z37" s="18">
        <v>32.279998999999997</v>
      </c>
      <c r="AA37" s="18">
        <v>52.82</v>
      </c>
      <c r="AB37" s="18">
        <v>117.639999</v>
      </c>
      <c r="AC37" s="18">
        <v>67.629997000000003</v>
      </c>
      <c r="AD37" s="18">
        <v>119.489998</v>
      </c>
      <c r="AE37" s="18">
        <v>156.61000100000001</v>
      </c>
      <c r="AF37" s="18">
        <v>154.550003</v>
      </c>
      <c r="AG37" s="18">
        <v>312.5</v>
      </c>
      <c r="AH37" s="18">
        <v>132.25</v>
      </c>
      <c r="AI37" s="18">
        <v>67.040001000000004</v>
      </c>
      <c r="AJ37" s="18">
        <v>124.300003</v>
      </c>
      <c r="AK37" s="18">
        <v>72.650002000000001</v>
      </c>
      <c r="AL37" s="18">
        <v>48.596240999999999</v>
      </c>
      <c r="AM37" s="18">
        <v>31.26</v>
      </c>
      <c r="AN37" s="18">
        <v>47.02</v>
      </c>
      <c r="AO37" s="18">
        <v>78.199996999999996</v>
      </c>
      <c r="AP37" s="18">
        <v>111.25</v>
      </c>
      <c r="AQ37" s="18">
        <v>479.85000600000001</v>
      </c>
      <c r="AR37" s="18">
        <v>41.950001</v>
      </c>
      <c r="AS37" s="18">
        <v>23.27</v>
      </c>
      <c r="AT37" s="18">
        <v>29.799999</v>
      </c>
      <c r="AU37" s="18">
        <v>59.75</v>
      </c>
      <c r="AV37" s="18">
        <v>38.009998000000003</v>
      </c>
      <c r="AW37" s="18">
        <v>103.889999</v>
      </c>
      <c r="AX37" s="18">
        <v>71.389999000000003</v>
      </c>
      <c r="AY37" s="18">
        <v>46.790000999999997</v>
      </c>
      <c r="AZ37" s="18">
        <v>94.010002</v>
      </c>
      <c r="BA37" s="18">
        <v>80.190002000000007</v>
      </c>
      <c r="BB37" s="18">
        <v>66.029999000000004</v>
      </c>
      <c r="BC37" s="18">
        <v>16.829999999999998</v>
      </c>
      <c r="BD37" s="18">
        <v>77.550003000000004</v>
      </c>
      <c r="BE37" s="18">
        <v>51.75</v>
      </c>
      <c r="BF37" s="18">
        <v>180.229996</v>
      </c>
      <c r="BG37" s="18">
        <v>42.669998</v>
      </c>
      <c r="BH37" s="18">
        <v>54.360000999999997</v>
      </c>
      <c r="BI37" s="18">
        <v>97.360000999999997</v>
      </c>
      <c r="BJ37" s="18">
        <v>4.87</v>
      </c>
      <c r="BK37" s="18">
        <v>69.550003000000004</v>
      </c>
      <c r="BL37" s="18">
        <v>150.63999899999999</v>
      </c>
      <c r="BM37" s="18">
        <v>103.02089700000001</v>
      </c>
      <c r="BN37" s="18">
        <v>70.416984999999997</v>
      </c>
      <c r="BO37" s="18">
        <v>92.68</v>
      </c>
      <c r="BP37" s="18">
        <v>189.78999300000001</v>
      </c>
      <c r="BQ37" s="18">
        <v>88.010002</v>
      </c>
      <c r="BR37" s="18">
        <v>76.610000999999997</v>
      </c>
      <c r="BS37" s="18">
        <v>64.150002000000001</v>
      </c>
      <c r="BT37" s="18">
        <v>69.650002000000001</v>
      </c>
      <c r="BU37" s="18">
        <v>107.870003</v>
      </c>
      <c r="BV37" s="18">
        <v>55.48</v>
      </c>
      <c r="BW37" s="18">
        <v>34.450001</v>
      </c>
      <c r="BX37" s="18">
        <v>46.220001000000003</v>
      </c>
      <c r="BY37" s="18">
        <v>78.400002000000001</v>
      </c>
      <c r="BZ37" s="18">
        <v>96.5</v>
      </c>
      <c r="CA37" s="18">
        <v>82.809997999999993</v>
      </c>
      <c r="CB37" s="18">
        <v>92.5</v>
      </c>
      <c r="CC37" s="18">
        <v>32.959999000000003</v>
      </c>
      <c r="CD37" s="18">
        <v>104.660004</v>
      </c>
      <c r="CE37" s="18">
        <v>11.84</v>
      </c>
      <c r="CF37" s="18">
        <v>14.16</v>
      </c>
    </row>
    <row r="38" spans="1:84" x14ac:dyDescent="0.25">
      <c r="A38" s="17">
        <v>42400</v>
      </c>
      <c r="B38" s="18">
        <v>97.339995999999999</v>
      </c>
      <c r="C38" s="18">
        <v>29.1</v>
      </c>
      <c r="D38" s="18">
        <v>124.790001</v>
      </c>
      <c r="E38" s="18">
        <v>95.82</v>
      </c>
      <c r="F38" s="18">
        <v>123.779999</v>
      </c>
      <c r="G38" s="18">
        <v>66.360000999999997</v>
      </c>
      <c r="H38" s="18">
        <v>42.919998</v>
      </c>
      <c r="I38" s="18">
        <v>166.41000399999999</v>
      </c>
      <c r="J38" s="18">
        <v>84.5</v>
      </c>
      <c r="K38" s="18">
        <v>120.029999</v>
      </c>
      <c r="L38" s="18">
        <v>42.919998</v>
      </c>
      <c r="M38" s="18">
        <v>99.300003000000004</v>
      </c>
      <c r="N38" s="18">
        <v>27.02</v>
      </c>
      <c r="O38" s="18">
        <v>191.199997</v>
      </c>
      <c r="P38" s="18">
        <v>77.849997999999999</v>
      </c>
      <c r="Q38" s="18">
        <v>86.470000999999996</v>
      </c>
      <c r="R38" s="18">
        <v>255.66999799999999</v>
      </c>
      <c r="S38" s="18">
        <v>45.48</v>
      </c>
      <c r="T38" s="18">
        <v>116.959999</v>
      </c>
      <c r="U38" s="18">
        <v>52.639999000000003</v>
      </c>
      <c r="V38" s="18">
        <v>90.599997999999999</v>
      </c>
      <c r="W38" s="18">
        <v>24.1</v>
      </c>
      <c r="X38" s="18">
        <v>68.680000000000007</v>
      </c>
      <c r="Y38" s="18">
        <v>104.44000200000001</v>
      </c>
      <c r="Z38" s="18">
        <v>30.49</v>
      </c>
      <c r="AA38" s="18">
        <v>50.669998</v>
      </c>
      <c r="AB38" s="18">
        <v>115.160004</v>
      </c>
      <c r="AC38" s="18">
        <v>69.580001999999993</v>
      </c>
      <c r="AD38" s="18">
        <v>112.639999</v>
      </c>
      <c r="AE38" s="18">
        <v>123.18</v>
      </c>
      <c r="AF38" s="18">
        <v>145.800003</v>
      </c>
      <c r="AG38" s="18">
        <v>284.42999300000002</v>
      </c>
      <c r="AH38" s="18">
        <v>125.760002</v>
      </c>
      <c r="AI38" s="18">
        <v>61.279998999999997</v>
      </c>
      <c r="AJ38" s="18">
        <v>101.040001</v>
      </c>
      <c r="AK38" s="18">
        <v>64.900002000000001</v>
      </c>
      <c r="AL38" s="18">
        <v>41.571486999999998</v>
      </c>
      <c r="AM38" s="18">
        <v>27.75</v>
      </c>
      <c r="AN38" s="18">
        <v>38.68</v>
      </c>
      <c r="AO38" s="18">
        <v>72</v>
      </c>
      <c r="AP38" s="18">
        <v>113.93</v>
      </c>
      <c r="AQ38" s="18">
        <v>452.97000100000002</v>
      </c>
      <c r="AR38" s="18">
        <v>45.400002000000001</v>
      </c>
      <c r="AS38" s="18">
        <v>25.09</v>
      </c>
      <c r="AT38" s="18">
        <v>31.530000999999999</v>
      </c>
      <c r="AU38" s="18">
        <v>64.910004000000001</v>
      </c>
      <c r="AV38" s="18">
        <v>42.93</v>
      </c>
      <c r="AW38" s="18">
        <v>111.709999</v>
      </c>
      <c r="AX38" s="18">
        <v>75.300003000000004</v>
      </c>
      <c r="AY38" s="18">
        <v>48.919998</v>
      </c>
      <c r="AZ38" s="18">
        <v>94.75</v>
      </c>
      <c r="BA38" s="18">
        <v>85.010002</v>
      </c>
      <c r="BB38" s="18">
        <v>59.5</v>
      </c>
      <c r="BC38" s="18">
        <v>14.14</v>
      </c>
      <c r="BD38" s="18">
        <v>74.489998</v>
      </c>
      <c r="BE38" s="18">
        <v>42.580002</v>
      </c>
      <c r="BF38" s="18">
        <v>161.55999800000001</v>
      </c>
      <c r="BG38" s="18">
        <v>40.060001</v>
      </c>
      <c r="BH38" s="18">
        <v>50.23</v>
      </c>
      <c r="BI38" s="18">
        <v>89.029999000000004</v>
      </c>
      <c r="BJ38" s="18">
        <v>4.1900000000000004</v>
      </c>
      <c r="BK38" s="18">
        <v>53.5</v>
      </c>
      <c r="BL38" s="18">
        <v>151</v>
      </c>
      <c r="BM38" s="18">
        <v>102.652863</v>
      </c>
      <c r="BN38" s="18">
        <v>65.693709999999996</v>
      </c>
      <c r="BO38" s="18">
        <v>90.07</v>
      </c>
      <c r="BP38" s="18">
        <v>175.66999799999999</v>
      </c>
      <c r="BQ38" s="18">
        <v>89.889999000000003</v>
      </c>
      <c r="BR38" s="18">
        <v>72.510002</v>
      </c>
      <c r="BS38" s="18">
        <v>60.43</v>
      </c>
      <c r="BT38" s="18">
        <v>60.400002000000001</v>
      </c>
      <c r="BU38" s="18">
        <v>90.360000999999997</v>
      </c>
      <c r="BV38" s="18">
        <v>55.09</v>
      </c>
      <c r="BW38" s="18">
        <v>31.02</v>
      </c>
      <c r="BX38" s="18">
        <v>49.970001000000003</v>
      </c>
      <c r="BY38" s="18">
        <v>68.059997999999993</v>
      </c>
      <c r="BZ38" s="18">
        <v>95.510002</v>
      </c>
      <c r="CA38" s="18">
        <v>70.050003000000004</v>
      </c>
      <c r="CB38" s="18">
        <v>88.190002000000007</v>
      </c>
      <c r="CC38" s="18">
        <v>29.290001</v>
      </c>
      <c r="CD38" s="18">
        <v>112.209999</v>
      </c>
      <c r="CE38" s="18">
        <v>9.7100000000000009</v>
      </c>
      <c r="CF38" s="18">
        <v>11.03</v>
      </c>
    </row>
    <row r="39" spans="1:84" x14ac:dyDescent="0.25">
      <c r="A39" s="17">
        <v>42429</v>
      </c>
      <c r="B39" s="18">
        <v>96.690002000000007</v>
      </c>
      <c r="C39" s="18">
        <v>29.139999</v>
      </c>
      <c r="D39" s="18">
        <v>131.029999</v>
      </c>
      <c r="E39" s="18">
        <v>95.519997000000004</v>
      </c>
      <c r="F39" s="18">
        <v>117.19000200000001</v>
      </c>
      <c r="G39" s="18">
        <v>66.339995999999999</v>
      </c>
      <c r="H39" s="18">
        <v>43.130001</v>
      </c>
      <c r="I39" s="18">
        <v>179.729996</v>
      </c>
      <c r="J39" s="18">
        <v>80.269997000000004</v>
      </c>
      <c r="K39" s="18">
        <v>104.099998</v>
      </c>
      <c r="L39" s="18">
        <v>43.130001</v>
      </c>
      <c r="M39" s="18">
        <v>97.82</v>
      </c>
      <c r="N39" s="18">
        <v>25.709999</v>
      </c>
      <c r="O39" s="18">
        <v>191.929993</v>
      </c>
      <c r="P39" s="18">
        <v>80.150002000000001</v>
      </c>
      <c r="Q39" s="18">
        <v>83.440002000000007</v>
      </c>
      <c r="R39" s="18">
        <v>270.5</v>
      </c>
      <c r="S39" s="18">
        <v>43.119999</v>
      </c>
      <c r="T39" s="18">
        <v>103.290001</v>
      </c>
      <c r="U39" s="18">
        <v>56.220001000000003</v>
      </c>
      <c r="V39" s="18">
        <v>89.989998</v>
      </c>
      <c r="W39" s="18">
        <v>26.65</v>
      </c>
      <c r="X39" s="18">
        <v>69.019997000000004</v>
      </c>
      <c r="Y39" s="18">
        <v>105.209999</v>
      </c>
      <c r="Z39" s="18">
        <v>29.67</v>
      </c>
      <c r="AA39" s="18">
        <v>50.209999000000003</v>
      </c>
      <c r="AB39" s="18">
        <v>119.099998</v>
      </c>
      <c r="AC39" s="18">
        <v>69.209998999999996</v>
      </c>
      <c r="AD39" s="18">
        <v>110.370003</v>
      </c>
      <c r="AE39" s="18">
        <v>121.94000200000001</v>
      </c>
      <c r="AF39" s="18">
        <v>144.88999899999999</v>
      </c>
      <c r="AG39" s="18">
        <v>290.10998499999999</v>
      </c>
      <c r="AH39" s="18">
        <v>124.120003</v>
      </c>
      <c r="AI39" s="18">
        <v>68.150002000000001</v>
      </c>
      <c r="AJ39" s="18">
        <v>104.110001</v>
      </c>
      <c r="AK39" s="18">
        <v>72.839995999999999</v>
      </c>
      <c r="AL39" s="18">
        <v>47.404541000000002</v>
      </c>
      <c r="AM39" s="18">
        <v>28</v>
      </c>
      <c r="AN39" s="18">
        <v>46.150002000000001</v>
      </c>
      <c r="AO39" s="18">
        <v>78.860000999999997</v>
      </c>
      <c r="AP39" s="18">
        <v>133.03999300000001</v>
      </c>
      <c r="AQ39" s="18">
        <v>509.16000400000001</v>
      </c>
      <c r="AR39" s="18">
        <v>42.41</v>
      </c>
      <c r="AS39" s="18">
        <v>24.719999000000001</v>
      </c>
      <c r="AT39" s="18">
        <v>30.57</v>
      </c>
      <c r="AU39" s="18">
        <v>64.819999999999993</v>
      </c>
      <c r="AV39" s="18">
        <v>41.689999</v>
      </c>
      <c r="AW39" s="18">
        <v>112.82</v>
      </c>
      <c r="AX39" s="18">
        <v>74.279999000000004</v>
      </c>
      <c r="AY39" s="18">
        <v>48.18</v>
      </c>
      <c r="AZ39" s="18">
        <v>96.510002</v>
      </c>
      <c r="BA39" s="18">
        <v>84.120002999999997</v>
      </c>
      <c r="BB39" s="18">
        <v>56.299999</v>
      </c>
      <c r="BC39" s="18">
        <v>12.52</v>
      </c>
      <c r="BD39" s="18">
        <v>72.389999000000003</v>
      </c>
      <c r="BE39" s="18">
        <v>38.849997999999999</v>
      </c>
      <c r="BF39" s="18">
        <v>149.529999</v>
      </c>
      <c r="BG39" s="18">
        <v>38.520000000000003</v>
      </c>
      <c r="BH39" s="18">
        <v>46.919998</v>
      </c>
      <c r="BI39" s="18">
        <v>86.919998000000007</v>
      </c>
      <c r="BJ39" s="18">
        <v>3.99</v>
      </c>
      <c r="BK39" s="18">
        <v>55.580002</v>
      </c>
      <c r="BL39" s="18">
        <v>156.86999499999999</v>
      </c>
      <c r="BM39" s="18">
        <v>100.812668</v>
      </c>
      <c r="BN39" s="18">
        <v>67.680060999999995</v>
      </c>
      <c r="BO39" s="18">
        <v>94.25</v>
      </c>
      <c r="BP39" s="18">
        <v>167.929993</v>
      </c>
      <c r="BQ39" s="18">
        <v>97.57</v>
      </c>
      <c r="BR39" s="18">
        <v>75.160004000000001</v>
      </c>
      <c r="BS39" s="18">
        <v>71.669998000000007</v>
      </c>
      <c r="BT39" s="18">
        <v>61.779998999999997</v>
      </c>
      <c r="BU39" s="18">
        <v>92.599997999999999</v>
      </c>
      <c r="BV39" s="18">
        <v>50.880001</v>
      </c>
      <c r="BW39" s="18">
        <v>29.59</v>
      </c>
      <c r="BX39" s="18">
        <v>50.73</v>
      </c>
      <c r="BY39" s="18">
        <v>67.75</v>
      </c>
      <c r="BZ39" s="18">
        <v>96.639999000000003</v>
      </c>
      <c r="CA39" s="18">
        <v>65.349997999999999</v>
      </c>
      <c r="CB39" s="18">
        <v>83.019997000000004</v>
      </c>
      <c r="CC39" s="18">
        <v>31.360001</v>
      </c>
      <c r="CD39" s="18">
        <v>106.91999800000001</v>
      </c>
      <c r="CE39" s="18">
        <v>10.69</v>
      </c>
      <c r="CF39" s="18">
        <v>10.63</v>
      </c>
    </row>
    <row r="40" spans="1:84" x14ac:dyDescent="0.25">
      <c r="A40" s="17">
        <v>42460</v>
      </c>
      <c r="B40" s="18">
        <v>108.989998</v>
      </c>
      <c r="C40" s="18">
        <v>31.790001</v>
      </c>
      <c r="D40" s="18">
        <v>151.449997</v>
      </c>
      <c r="E40" s="18">
        <v>99.309997999999993</v>
      </c>
      <c r="F40" s="18">
        <v>125.68</v>
      </c>
      <c r="G40" s="18">
        <v>68.489998</v>
      </c>
      <c r="H40" s="18">
        <v>46.389999000000003</v>
      </c>
      <c r="I40" s="18">
        <v>190.89999399999999</v>
      </c>
      <c r="J40" s="18">
        <v>87.739998</v>
      </c>
      <c r="K40" s="18">
        <v>106.32</v>
      </c>
      <c r="L40" s="18">
        <v>46.389999000000003</v>
      </c>
      <c r="M40" s="18">
        <v>102.480003</v>
      </c>
      <c r="N40" s="18">
        <v>27.34</v>
      </c>
      <c r="O40" s="18">
        <v>229.770004</v>
      </c>
      <c r="P40" s="18">
        <v>83.589995999999999</v>
      </c>
      <c r="Q40" s="18">
        <v>95.400002000000001</v>
      </c>
      <c r="R40" s="18">
        <v>284.67001299999998</v>
      </c>
      <c r="S40" s="18">
        <v>46.299999</v>
      </c>
      <c r="T40" s="18">
        <v>113.769997</v>
      </c>
      <c r="U40" s="18">
        <v>63.93</v>
      </c>
      <c r="V40" s="18">
        <v>87.739998</v>
      </c>
      <c r="W40" s="18">
        <v>27</v>
      </c>
      <c r="X40" s="18">
        <v>72.769997000000004</v>
      </c>
      <c r="Y40" s="18">
        <v>108.199997</v>
      </c>
      <c r="Z40" s="18">
        <v>29.639999</v>
      </c>
      <c r="AA40" s="18">
        <v>52.91</v>
      </c>
      <c r="AB40" s="18">
        <v>128.89999399999999</v>
      </c>
      <c r="AC40" s="18">
        <v>78.050003000000004</v>
      </c>
      <c r="AD40" s="18">
        <v>124.720001</v>
      </c>
      <c r="AE40" s="18">
        <v>111.43</v>
      </c>
      <c r="AF40" s="18">
        <v>143.25</v>
      </c>
      <c r="AG40" s="18">
        <v>268.02999899999998</v>
      </c>
      <c r="AH40" s="18">
        <v>133.429993</v>
      </c>
      <c r="AI40" s="18">
        <v>71.180000000000007</v>
      </c>
      <c r="AJ40" s="18">
        <v>107.82</v>
      </c>
      <c r="AK40" s="18">
        <v>76.430000000000007</v>
      </c>
      <c r="AL40" s="18">
        <v>51.769924000000003</v>
      </c>
      <c r="AM40" s="18">
        <v>38.209999000000003</v>
      </c>
      <c r="AN40" s="18">
        <v>49.490001999999997</v>
      </c>
      <c r="AO40" s="18">
        <v>79.550003000000004</v>
      </c>
      <c r="AP40" s="18">
        <v>131.86000100000001</v>
      </c>
      <c r="AQ40" s="18">
        <v>470.97000100000002</v>
      </c>
      <c r="AR40" s="18">
        <v>39.360000999999997</v>
      </c>
      <c r="AS40" s="18">
        <v>26.719999000000001</v>
      </c>
      <c r="AT40" s="18">
        <v>31.82</v>
      </c>
      <c r="AU40" s="18">
        <v>68.930000000000007</v>
      </c>
      <c r="AV40" s="18">
        <v>45.099997999999999</v>
      </c>
      <c r="AW40" s="18">
        <v>118.339996</v>
      </c>
      <c r="AX40" s="18">
        <v>80.680000000000007</v>
      </c>
      <c r="AY40" s="18">
        <v>51.73</v>
      </c>
      <c r="AZ40" s="18">
        <v>104.050003</v>
      </c>
      <c r="BA40" s="18">
        <v>90.660004000000001</v>
      </c>
      <c r="BB40" s="18">
        <v>59.220001000000003</v>
      </c>
      <c r="BC40" s="18">
        <v>13.52</v>
      </c>
      <c r="BD40" s="18">
        <v>76.480002999999996</v>
      </c>
      <c r="BE40" s="18">
        <v>41.75</v>
      </c>
      <c r="BF40" s="18">
        <v>156.979996</v>
      </c>
      <c r="BG40" s="18">
        <v>40.590000000000003</v>
      </c>
      <c r="BH40" s="18">
        <v>48.360000999999997</v>
      </c>
      <c r="BI40" s="18">
        <v>94.5</v>
      </c>
      <c r="BJ40" s="18">
        <v>4.3600000000000003</v>
      </c>
      <c r="BK40" s="18">
        <v>61.400002000000001</v>
      </c>
      <c r="BL40" s="18">
        <v>166.63000500000001</v>
      </c>
      <c r="BM40" s="18">
        <v>111.45594</v>
      </c>
      <c r="BN40" s="18">
        <v>71.918120999999999</v>
      </c>
      <c r="BO40" s="18">
        <v>102.44000200000001</v>
      </c>
      <c r="BP40" s="18">
        <v>182.770004</v>
      </c>
      <c r="BQ40" s="18">
        <v>109.94000200000001</v>
      </c>
      <c r="BR40" s="18">
        <v>82.879997000000003</v>
      </c>
      <c r="BS40" s="18">
        <v>76.040001000000004</v>
      </c>
      <c r="BT40" s="18">
        <v>69</v>
      </c>
      <c r="BU40" s="18">
        <v>106.769997</v>
      </c>
      <c r="BV40" s="18">
        <v>55.23</v>
      </c>
      <c r="BW40" s="18">
        <v>32.349997999999999</v>
      </c>
      <c r="BX40" s="18">
        <v>54.080002</v>
      </c>
      <c r="BY40" s="18">
        <v>73.830001999999993</v>
      </c>
      <c r="BZ40" s="18">
        <v>104.010002</v>
      </c>
      <c r="CA40" s="18">
        <v>74.510002</v>
      </c>
      <c r="CB40" s="18">
        <v>89.459998999999996</v>
      </c>
      <c r="CC40" s="18">
        <v>35.630001</v>
      </c>
      <c r="CD40" s="18">
        <v>114.099998</v>
      </c>
      <c r="CE40" s="18">
        <v>12.32</v>
      </c>
      <c r="CF40" s="18">
        <v>10.47</v>
      </c>
    </row>
    <row r="41" spans="1:84" x14ac:dyDescent="0.25">
      <c r="A41" s="17">
        <v>42490</v>
      </c>
      <c r="B41" s="18">
        <v>93.739998</v>
      </c>
      <c r="C41" s="18">
        <v>30.75</v>
      </c>
      <c r="D41" s="18">
        <v>145.94000199999999</v>
      </c>
      <c r="E41" s="18">
        <v>103.260002</v>
      </c>
      <c r="F41" s="18">
        <v>126.489998</v>
      </c>
      <c r="G41" s="18">
        <v>66.870002999999997</v>
      </c>
      <c r="H41" s="18">
        <v>44.799999</v>
      </c>
      <c r="I41" s="18">
        <v>192.63000500000001</v>
      </c>
      <c r="J41" s="18">
        <v>87.410004000000001</v>
      </c>
      <c r="K41" s="18">
        <v>101.699997</v>
      </c>
      <c r="L41" s="18">
        <v>44.799999</v>
      </c>
      <c r="M41" s="18">
        <v>102.959999</v>
      </c>
      <c r="N41" s="18">
        <v>26.959999</v>
      </c>
      <c r="O41" s="18">
        <v>240.759995</v>
      </c>
      <c r="P41" s="18">
        <v>88.400002000000001</v>
      </c>
      <c r="Q41" s="18">
        <v>102.18</v>
      </c>
      <c r="R41" s="18">
        <v>287.30999800000001</v>
      </c>
      <c r="S41" s="18">
        <v>50.189999</v>
      </c>
      <c r="T41" s="18">
        <v>119.470001</v>
      </c>
      <c r="U41" s="18">
        <v>66.160004000000001</v>
      </c>
      <c r="V41" s="18">
        <v>93.68</v>
      </c>
      <c r="W41" s="18">
        <v>27.99</v>
      </c>
      <c r="X41" s="18">
        <v>70.779999000000004</v>
      </c>
      <c r="Y41" s="18">
        <v>112.08000199999999</v>
      </c>
      <c r="Z41" s="18">
        <v>32.709999000000003</v>
      </c>
      <c r="AA41" s="18">
        <v>54.84</v>
      </c>
      <c r="AB41" s="18">
        <v>131.679993</v>
      </c>
      <c r="AC41" s="18">
        <v>80.620002999999997</v>
      </c>
      <c r="AD41" s="18">
        <v>133.679993</v>
      </c>
      <c r="AE41" s="18">
        <v>105.199997</v>
      </c>
      <c r="AF41" s="18">
        <v>139.740005</v>
      </c>
      <c r="AG41" s="18">
        <v>216.55999800000001</v>
      </c>
      <c r="AH41" s="18">
        <v>133.88999899999999</v>
      </c>
      <c r="AI41" s="18">
        <v>70.089995999999999</v>
      </c>
      <c r="AJ41" s="18">
        <v>115.769997</v>
      </c>
      <c r="AK41" s="18">
        <v>70.949996999999996</v>
      </c>
      <c r="AL41" s="18">
        <v>50.352428000000003</v>
      </c>
      <c r="AM41" s="18">
        <v>36.060001</v>
      </c>
      <c r="AN41" s="18">
        <v>47.880001</v>
      </c>
      <c r="AO41" s="18">
        <v>87.230002999999996</v>
      </c>
      <c r="AP41" s="18">
        <v>120.879997</v>
      </c>
      <c r="AQ41" s="18">
        <v>420.97000100000002</v>
      </c>
      <c r="AR41" s="18">
        <v>41.689999</v>
      </c>
      <c r="AS41" s="18">
        <v>27.93</v>
      </c>
      <c r="AT41" s="18">
        <v>31.66</v>
      </c>
      <c r="AU41" s="18">
        <v>72.760002</v>
      </c>
      <c r="AV41" s="18">
        <v>47.02</v>
      </c>
      <c r="AW41" s="18">
        <v>117.58000199999999</v>
      </c>
      <c r="AX41" s="18">
        <v>78.779999000000004</v>
      </c>
      <c r="AY41" s="18">
        <v>50.099997999999999</v>
      </c>
      <c r="AZ41" s="18">
        <v>103.349998</v>
      </c>
      <c r="BA41" s="18">
        <v>89.160004000000001</v>
      </c>
      <c r="BB41" s="18">
        <v>63.200001</v>
      </c>
      <c r="BC41" s="18">
        <v>14.56</v>
      </c>
      <c r="BD41" s="18">
        <v>77.239998</v>
      </c>
      <c r="BE41" s="18">
        <v>46.279998999999997</v>
      </c>
      <c r="BF41" s="18">
        <v>164.11000100000001</v>
      </c>
      <c r="BG41" s="18">
        <v>42.689999</v>
      </c>
      <c r="BH41" s="18">
        <v>49.98</v>
      </c>
      <c r="BI41" s="18">
        <v>96.989998</v>
      </c>
      <c r="BJ41" s="18">
        <v>5.03</v>
      </c>
      <c r="BK41" s="18">
        <v>65.430000000000007</v>
      </c>
      <c r="BL41" s="18">
        <v>167.38000500000001</v>
      </c>
      <c r="BM41" s="18">
        <v>113.664169</v>
      </c>
      <c r="BN41" s="18">
        <v>73.351021000000003</v>
      </c>
      <c r="BO41" s="18">
        <v>104.519997</v>
      </c>
      <c r="BP41" s="18">
        <v>176.08999600000001</v>
      </c>
      <c r="BQ41" s="18">
        <v>117.029999</v>
      </c>
      <c r="BR41" s="18">
        <v>81.900002000000001</v>
      </c>
      <c r="BS41" s="18">
        <v>76.730002999999996</v>
      </c>
      <c r="BT41" s="18">
        <v>62.560001</v>
      </c>
      <c r="BU41" s="18">
        <v>109.639999</v>
      </c>
      <c r="BV41" s="18">
        <v>49.869999</v>
      </c>
      <c r="BW41" s="18">
        <v>30.280000999999999</v>
      </c>
      <c r="BX41" s="18">
        <v>50.939999</v>
      </c>
      <c r="BY41" s="18">
        <v>75.800003000000004</v>
      </c>
      <c r="BZ41" s="18">
        <v>100.889999</v>
      </c>
      <c r="CA41" s="18">
        <v>73.370002999999997</v>
      </c>
      <c r="CB41" s="18">
        <v>90.769997000000004</v>
      </c>
      <c r="CC41" s="18">
        <v>35.529998999999997</v>
      </c>
      <c r="CD41" s="18">
        <v>117.58000199999999</v>
      </c>
      <c r="CE41" s="18">
        <v>12.27</v>
      </c>
      <c r="CF41" s="18">
        <v>10.75</v>
      </c>
    </row>
    <row r="42" spans="1:84" x14ac:dyDescent="0.25">
      <c r="A42" s="17">
        <v>42521</v>
      </c>
      <c r="B42" s="18">
        <v>99.860000999999997</v>
      </c>
      <c r="C42" s="18">
        <v>30.23</v>
      </c>
      <c r="D42" s="18">
        <v>153.740005</v>
      </c>
      <c r="E42" s="18">
        <v>99.220000999999996</v>
      </c>
      <c r="F42" s="18">
        <v>122.05999799999999</v>
      </c>
      <c r="G42" s="18">
        <v>70.779999000000004</v>
      </c>
      <c r="H42" s="18">
        <v>44.599997999999999</v>
      </c>
      <c r="I42" s="18">
        <v>196.69000199999999</v>
      </c>
      <c r="J42" s="18">
        <v>91.57</v>
      </c>
      <c r="K42" s="18">
        <v>103.410004</v>
      </c>
      <c r="L42" s="18">
        <v>44.599997999999999</v>
      </c>
      <c r="M42" s="18">
        <v>101.16999800000001</v>
      </c>
      <c r="N42" s="18">
        <v>27.98</v>
      </c>
      <c r="O42" s="18">
        <v>223.229996</v>
      </c>
      <c r="P42" s="18">
        <v>89.019997000000004</v>
      </c>
      <c r="Q42" s="18">
        <v>101</v>
      </c>
      <c r="R42" s="18">
        <v>291.08999599999999</v>
      </c>
      <c r="S42" s="18">
        <v>44.130001</v>
      </c>
      <c r="T42" s="18">
        <v>129</v>
      </c>
      <c r="U42" s="18">
        <v>78.5</v>
      </c>
      <c r="V42" s="18">
        <v>112.470001</v>
      </c>
      <c r="W42" s="18">
        <v>25.23</v>
      </c>
      <c r="X42" s="18">
        <v>69.5</v>
      </c>
      <c r="Y42" s="18">
        <v>112.69000200000001</v>
      </c>
      <c r="Z42" s="18">
        <v>34.700001</v>
      </c>
      <c r="AA42" s="18">
        <v>56.259998000000003</v>
      </c>
      <c r="AB42" s="18">
        <v>133.66999799999999</v>
      </c>
      <c r="AC42" s="18">
        <v>78.019997000000004</v>
      </c>
      <c r="AD42" s="18">
        <v>134.86000100000001</v>
      </c>
      <c r="AE42" s="18">
        <v>119.07</v>
      </c>
      <c r="AF42" s="18">
        <v>146.11999499999999</v>
      </c>
      <c r="AG42" s="18">
        <v>235.75</v>
      </c>
      <c r="AH42" s="18">
        <v>132.11999499999999</v>
      </c>
      <c r="AI42" s="18">
        <v>66.040001000000004</v>
      </c>
      <c r="AJ42" s="18">
        <v>111.239998</v>
      </c>
      <c r="AK42" s="18">
        <v>67.389999000000003</v>
      </c>
      <c r="AL42" s="18">
        <v>40.449322000000002</v>
      </c>
      <c r="AM42" s="18">
        <v>33.909999999999997</v>
      </c>
      <c r="AN42" s="18">
        <v>45.91</v>
      </c>
      <c r="AO42" s="18">
        <v>84.190002000000007</v>
      </c>
      <c r="AP42" s="18">
        <v>120.879997</v>
      </c>
      <c r="AQ42" s="18">
        <v>441.959991</v>
      </c>
      <c r="AR42" s="18">
        <v>39.060001</v>
      </c>
      <c r="AS42" s="18">
        <v>29.15</v>
      </c>
      <c r="AT42" s="18">
        <v>32.310001</v>
      </c>
      <c r="AU42" s="18">
        <v>74.099997999999999</v>
      </c>
      <c r="AV42" s="18">
        <v>48.23</v>
      </c>
      <c r="AW42" s="18">
        <v>120.120003</v>
      </c>
      <c r="AX42" s="18">
        <v>78.230002999999996</v>
      </c>
      <c r="AY42" s="18">
        <v>49.439999</v>
      </c>
      <c r="AZ42" s="18">
        <v>107.120003</v>
      </c>
      <c r="BA42" s="18">
        <v>90.68</v>
      </c>
      <c r="BB42" s="18">
        <v>65.269997000000004</v>
      </c>
      <c r="BC42" s="18">
        <v>14.79</v>
      </c>
      <c r="BD42" s="18">
        <v>78.940002000000007</v>
      </c>
      <c r="BE42" s="18">
        <v>46.57</v>
      </c>
      <c r="BF42" s="18">
        <v>159.479996</v>
      </c>
      <c r="BG42" s="18">
        <v>42.82</v>
      </c>
      <c r="BH42" s="18">
        <v>50.720001000000003</v>
      </c>
      <c r="BI42" s="18">
        <v>95.900002000000001</v>
      </c>
      <c r="BJ42" s="18">
        <v>4.75</v>
      </c>
      <c r="BK42" s="18">
        <v>65.760002</v>
      </c>
      <c r="BL42" s="18">
        <v>168.320007</v>
      </c>
      <c r="BM42" s="18">
        <v>113.226501</v>
      </c>
      <c r="BN42" s="18">
        <v>74.571647999999996</v>
      </c>
      <c r="BO42" s="18">
        <v>106.029999</v>
      </c>
      <c r="BP42" s="18">
        <v>171.08000200000001</v>
      </c>
      <c r="BQ42" s="18">
        <v>114.470001</v>
      </c>
      <c r="BR42" s="18">
        <v>83.339995999999999</v>
      </c>
      <c r="BS42" s="18">
        <v>86.980002999999996</v>
      </c>
      <c r="BT42" s="18">
        <v>53.110000999999997</v>
      </c>
      <c r="BU42" s="18">
        <v>124.199997</v>
      </c>
      <c r="BV42" s="18">
        <v>53</v>
      </c>
      <c r="BW42" s="18">
        <v>31.59</v>
      </c>
      <c r="BX42" s="18">
        <v>50.900002000000001</v>
      </c>
      <c r="BY42" s="18">
        <v>83.709998999999996</v>
      </c>
      <c r="BZ42" s="18">
        <v>106.660004</v>
      </c>
      <c r="CA42" s="18">
        <v>77.459998999999996</v>
      </c>
      <c r="CB42" s="18">
        <v>89.099997999999999</v>
      </c>
      <c r="CC42" s="18">
        <v>46.720001000000003</v>
      </c>
      <c r="CD42" s="18">
        <v>118.80999799999999</v>
      </c>
      <c r="CE42" s="18">
        <v>13.38</v>
      </c>
      <c r="CF42" s="18">
        <v>12.72</v>
      </c>
    </row>
    <row r="43" spans="1:84" x14ac:dyDescent="0.25">
      <c r="A43" s="17">
        <v>42551</v>
      </c>
      <c r="B43" s="18">
        <v>95.599997999999999</v>
      </c>
      <c r="C43" s="18">
        <v>31.48</v>
      </c>
      <c r="D43" s="18">
        <v>151.779999</v>
      </c>
      <c r="E43" s="18">
        <v>97.82</v>
      </c>
      <c r="F43" s="18">
        <v>120.339996</v>
      </c>
      <c r="G43" s="18">
        <v>73.019997000000004</v>
      </c>
      <c r="H43" s="18">
        <v>45.330002</v>
      </c>
      <c r="I43" s="18">
        <v>189.759995</v>
      </c>
      <c r="J43" s="18">
        <v>94.029999000000004</v>
      </c>
      <c r="K43" s="18">
        <v>99.989998</v>
      </c>
      <c r="L43" s="18">
        <v>45.330002</v>
      </c>
      <c r="M43" s="18">
        <v>105.94000200000001</v>
      </c>
      <c r="N43" s="18">
        <v>25.33</v>
      </c>
      <c r="O43" s="18">
        <v>212.279999</v>
      </c>
      <c r="P43" s="18">
        <v>93.739998</v>
      </c>
      <c r="Q43" s="18">
        <v>104.83000199999999</v>
      </c>
      <c r="R43" s="18">
        <v>293.67001299999998</v>
      </c>
      <c r="S43" s="18">
        <v>42.919998</v>
      </c>
      <c r="T43" s="18">
        <v>126.07</v>
      </c>
      <c r="U43" s="18">
        <v>79.309997999999993</v>
      </c>
      <c r="V43" s="18">
        <v>103.410004</v>
      </c>
      <c r="W43" s="18">
        <v>26.18</v>
      </c>
      <c r="X43" s="18">
        <v>69.910004000000001</v>
      </c>
      <c r="Y43" s="18">
        <v>121.300003</v>
      </c>
      <c r="Z43" s="18">
        <v>35.209999000000003</v>
      </c>
      <c r="AA43" s="18">
        <v>57.610000999999997</v>
      </c>
      <c r="AB43" s="18">
        <v>141.199997</v>
      </c>
      <c r="AC43" s="18">
        <v>77.010002</v>
      </c>
      <c r="AD43" s="18">
        <v>134.10000600000001</v>
      </c>
      <c r="AE43" s="18">
        <v>105.91999800000001</v>
      </c>
      <c r="AF43" s="18">
        <v>145.60000600000001</v>
      </c>
      <c r="AG43" s="18">
        <v>231.08999600000001</v>
      </c>
      <c r="AH43" s="18">
        <v>127.69000200000001</v>
      </c>
      <c r="AI43" s="18">
        <v>66.459998999999996</v>
      </c>
      <c r="AJ43" s="18">
        <v>106.300003</v>
      </c>
      <c r="AK43" s="18">
        <v>71.230002999999996</v>
      </c>
      <c r="AL43" s="18">
        <v>39.195404000000003</v>
      </c>
      <c r="AM43" s="18">
        <v>36.43</v>
      </c>
      <c r="AN43" s="18">
        <v>49.139999000000003</v>
      </c>
      <c r="AO43" s="18">
        <v>87.25</v>
      </c>
      <c r="AP43" s="18">
        <v>131.38000500000001</v>
      </c>
      <c r="AQ43" s="18">
        <v>402.76001000000002</v>
      </c>
      <c r="AR43" s="18">
        <v>43.82</v>
      </c>
      <c r="AS43" s="18">
        <v>34.93</v>
      </c>
      <c r="AT43" s="18">
        <v>35.659999999999997</v>
      </c>
      <c r="AU43" s="18">
        <v>84.510002</v>
      </c>
      <c r="AV43" s="18">
        <v>56.200001</v>
      </c>
      <c r="AW43" s="18">
        <v>130.39999399999999</v>
      </c>
      <c r="AX43" s="18">
        <v>85.790001000000004</v>
      </c>
      <c r="AY43" s="18">
        <v>53.630001</v>
      </c>
      <c r="AZ43" s="18">
        <v>114.019997</v>
      </c>
      <c r="BA43" s="18">
        <v>99.120002999999997</v>
      </c>
      <c r="BB43" s="18">
        <v>62.139999000000003</v>
      </c>
      <c r="BC43" s="18">
        <v>13.27</v>
      </c>
      <c r="BD43" s="18">
        <v>74.169998000000007</v>
      </c>
      <c r="BE43" s="18">
        <v>42.389999000000003</v>
      </c>
      <c r="BF43" s="18">
        <v>148.58000200000001</v>
      </c>
      <c r="BG43" s="18">
        <v>40.330002</v>
      </c>
      <c r="BH43" s="18">
        <v>47.330002</v>
      </c>
      <c r="BI43" s="18">
        <v>88.059997999999993</v>
      </c>
      <c r="BJ43" s="18">
        <v>3.92</v>
      </c>
      <c r="BK43" s="18">
        <v>60.759998000000003</v>
      </c>
      <c r="BL43" s="18">
        <v>175.11999499999999</v>
      </c>
      <c r="BM43" s="18">
        <v>115.7033</v>
      </c>
      <c r="BN43" s="18">
        <v>76.573158000000006</v>
      </c>
      <c r="BO43" s="18">
        <v>104.160004</v>
      </c>
      <c r="BP43" s="18">
        <v>170.55999800000001</v>
      </c>
      <c r="BQ43" s="18">
        <v>112.44000200000001</v>
      </c>
      <c r="BR43" s="18">
        <v>82.099997999999999</v>
      </c>
      <c r="BS43" s="18">
        <v>83.610000999999997</v>
      </c>
      <c r="BT43" s="18">
        <v>50.099997999999999</v>
      </c>
      <c r="BU43" s="18">
        <v>115.25</v>
      </c>
      <c r="BV43" s="18">
        <v>51.169998</v>
      </c>
      <c r="BW43" s="18">
        <v>32.799999</v>
      </c>
      <c r="BX43" s="18">
        <v>55.84</v>
      </c>
      <c r="BY43" s="18">
        <v>79.410004000000001</v>
      </c>
      <c r="BZ43" s="18">
        <v>111.610001</v>
      </c>
      <c r="CA43" s="18">
        <v>72.599997999999999</v>
      </c>
      <c r="CB43" s="18">
        <v>90.75</v>
      </c>
      <c r="CC43" s="18">
        <v>47.009998000000003</v>
      </c>
      <c r="CD43" s="18">
        <v>114.279999</v>
      </c>
      <c r="CE43" s="18">
        <v>12.55</v>
      </c>
      <c r="CF43" s="18">
        <v>13.76</v>
      </c>
    </row>
    <row r="44" spans="1:84" x14ac:dyDescent="0.25">
      <c r="A44" s="17">
        <v>42582</v>
      </c>
      <c r="B44" s="18">
        <v>104.209999</v>
      </c>
      <c r="C44" s="18">
        <v>31.139999</v>
      </c>
      <c r="D44" s="18">
        <v>160.61999499999999</v>
      </c>
      <c r="E44" s="18">
        <v>95.949996999999996</v>
      </c>
      <c r="F44" s="18">
        <v>117.650002</v>
      </c>
      <c r="G44" s="18">
        <v>72.970000999999996</v>
      </c>
      <c r="H44" s="18">
        <v>43.630001</v>
      </c>
      <c r="I44" s="18">
        <v>208.94000199999999</v>
      </c>
      <c r="J44" s="18">
        <v>102.279999</v>
      </c>
      <c r="K44" s="18">
        <v>111.599998</v>
      </c>
      <c r="L44" s="18">
        <v>43.630001</v>
      </c>
      <c r="M44" s="18">
        <v>108.91999800000001</v>
      </c>
      <c r="N44" s="18">
        <v>27.120000999999998</v>
      </c>
      <c r="O44" s="18">
        <v>234.78999300000001</v>
      </c>
      <c r="P44" s="18">
        <v>88.949996999999996</v>
      </c>
      <c r="Q44" s="18">
        <v>102.480003</v>
      </c>
      <c r="R44" s="18">
        <v>299.73001099999999</v>
      </c>
      <c r="S44" s="18">
        <v>45.740001999999997</v>
      </c>
      <c r="T44" s="18">
        <v>133.25</v>
      </c>
      <c r="U44" s="18">
        <v>84.169998000000007</v>
      </c>
      <c r="V44" s="18">
        <v>106.769997</v>
      </c>
      <c r="W44" s="18">
        <v>27</v>
      </c>
      <c r="X44" s="18">
        <v>73.75</v>
      </c>
      <c r="Y44" s="18">
        <v>125.230003</v>
      </c>
      <c r="Z44" s="18">
        <v>36.889999000000003</v>
      </c>
      <c r="AA44" s="18">
        <v>58.66</v>
      </c>
      <c r="AB44" s="18">
        <v>143.199997</v>
      </c>
      <c r="AC44" s="18">
        <v>77.129997000000003</v>
      </c>
      <c r="AD44" s="18">
        <v>129.529999</v>
      </c>
      <c r="AE44" s="18">
        <v>121.010002</v>
      </c>
      <c r="AF44" s="18">
        <v>139.96000699999999</v>
      </c>
      <c r="AG44" s="18">
        <v>252.949997</v>
      </c>
      <c r="AH44" s="18">
        <v>138.240005</v>
      </c>
      <c r="AI44" s="18">
        <v>71.699996999999996</v>
      </c>
      <c r="AJ44" s="18">
        <v>116.650002</v>
      </c>
      <c r="AK44" s="18">
        <v>71.019997000000004</v>
      </c>
      <c r="AL44" s="18">
        <v>42.319747999999997</v>
      </c>
      <c r="AM44" s="18">
        <v>38.43</v>
      </c>
      <c r="AN44" s="18">
        <v>50.439999</v>
      </c>
      <c r="AO44" s="18">
        <v>93.050003000000004</v>
      </c>
      <c r="AP44" s="18">
        <v>147.300003</v>
      </c>
      <c r="AQ44" s="18">
        <v>423.98998999999998</v>
      </c>
      <c r="AR44" s="18">
        <v>43.200001</v>
      </c>
      <c r="AS44" s="18">
        <v>33.729999999999997</v>
      </c>
      <c r="AT44" s="18">
        <v>34.639999000000003</v>
      </c>
      <c r="AU44" s="18">
        <v>82.580001999999993</v>
      </c>
      <c r="AV44" s="18">
        <v>51.049999</v>
      </c>
      <c r="AW44" s="18">
        <v>128.28999300000001</v>
      </c>
      <c r="AX44" s="18">
        <v>85.589995999999999</v>
      </c>
      <c r="AY44" s="18">
        <v>53.5</v>
      </c>
      <c r="AZ44" s="18">
        <v>111.879997</v>
      </c>
      <c r="BA44" s="18">
        <v>97.519997000000004</v>
      </c>
      <c r="BB44" s="18">
        <v>63.970001000000003</v>
      </c>
      <c r="BC44" s="18">
        <v>14.49</v>
      </c>
      <c r="BD44" s="18">
        <v>78.050003000000004</v>
      </c>
      <c r="BE44" s="18">
        <v>43.810001</v>
      </c>
      <c r="BF44" s="18">
        <v>158.80999800000001</v>
      </c>
      <c r="BG44" s="18">
        <v>42.169998</v>
      </c>
      <c r="BH44" s="18">
        <v>47.970001000000003</v>
      </c>
      <c r="BI44" s="18">
        <v>95.239998</v>
      </c>
      <c r="BJ44" s="18">
        <v>4.24</v>
      </c>
      <c r="BK44" s="18">
        <v>64.459998999999996</v>
      </c>
      <c r="BL44" s="18">
        <v>178.36000100000001</v>
      </c>
      <c r="BM44" s="18">
        <v>115.713249</v>
      </c>
      <c r="BN44" s="18">
        <v>81.440002000000007</v>
      </c>
      <c r="BO44" s="18">
        <v>115.400002</v>
      </c>
      <c r="BP44" s="18">
        <v>170.36000100000001</v>
      </c>
      <c r="BQ44" s="18">
        <v>122.769997</v>
      </c>
      <c r="BR44" s="18">
        <v>89.790001000000004</v>
      </c>
      <c r="BS44" s="18">
        <v>88.290001000000004</v>
      </c>
      <c r="BT44" s="18">
        <v>53.009998000000003</v>
      </c>
      <c r="BU44" s="18">
        <v>120.379997</v>
      </c>
      <c r="BV44" s="18">
        <v>56.68</v>
      </c>
      <c r="BW44" s="18">
        <v>34.860000999999997</v>
      </c>
      <c r="BX44" s="18">
        <v>55.41</v>
      </c>
      <c r="BY44" s="18">
        <v>81.800003000000004</v>
      </c>
      <c r="BZ44" s="18">
        <v>110.989998</v>
      </c>
      <c r="CA44" s="18">
        <v>75.290001000000004</v>
      </c>
      <c r="CB44" s="18">
        <v>89.360000999999997</v>
      </c>
      <c r="CC44" s="18">
        <v>57.099997999999999</v>
      </c>
      <c r="CD44" s="18">
        <v>123.94000200000001</v>
      </c>
      <c r="CE44" s="18">
        <v>14.01</v>
      </c>
      <c r="CF44" s="18">
        <v>13.74</v>
      </c>
    </row>
    <row r="45" spans="1:84" x14ac:dyDescent="0.25">
      <c r="A45" s="17">
        <v>42613</v>
      </c>
      <c r="B45" s="18">
        <v>106.099998</v>
      </c>
      <c r="C45" s="18">
        <v>31.24</v>
      </c>
      <c r="D45" s="18">
        <v>158.88000500000001</v>
      </c>
      <c r="E45" s="18">
        <v>94.459998999999996</v>
      </c>
      <c r="F45" s="18">
        <v>115.660004</v>
      </c>
      <c r="G45" s="18">
        <v>71.440002000000007</v>
      </c>
      <c r="H45" s="18">
        <v>43.43</v>
      </c>
      <c r="I45" s="18">
        <v>212.779999</v>
      </c>
      <c r="J45" s="18">
        <v>100.870003</v>
      </c>
      <c r="K45" s="18">
        <v>120.629997</v>
      </c>
      <c r="L45" s="18">
        <v>43.43</v>
      </c>
      <c r="M45" s="18">
        <v>106.75</v>
      </c>
      <c r="N45" s="18">
        <v>30.809999000000001</v>
      </c>
      <c r="O45" s="18">
        <v>212.009995</v>
      </c>
      <c r="P45" s="18">
        <v>87.139999000000003</v>
      </c>
      <c r="Q45" s="18">
        <v>100.58000199999999</v>
      </c>
      <c r="R45" s="18">
        <v>283.709991</v>
      </c>
      <c r="S45" s="18">
        <v>51.82</v>
      </c>
      <c r="T45" s="18">
        <v>138.58000200000001</v>
      </c>
      <c r="U45" s="18">
        <v>79.970000999999996</v>
      </c>
      <c r="V45" s="18">
        <v>106.5</v>
      </c>
      <c r="W45" s="18">
        <v>30.07</v>
      </c>
      <c r="X45" s="18">
        <v>82.800003000000004</v>
      </c>
      <c r="Y45" s="18">
        <v>119.339996</v>
      </c>
      <c r="Z45" s="18">
        <v>34.799999</v>
      </c>
      <c r="AA45" s="18">
        <v>62.790000999999997</v>
      </c>
      <c r="AB45" s="18">
        <v>136.050003</v>
      </c>
      <c r="AC45" s="18">
        <v>75.550003000000004</v>
      </c>
      <c r="AD45" s="18">
        <v>120.529999</v>
      </c>
      <c r="AE45" s="18">
        <v>122.279999</v>
      </c>
      <c r="AF45" s="18">
        <v>126.599998</v>
      </c>
      <c r="AG45" s="18">
        <v>234.53999300000001</v>
      </c>
      <c r="AH45" s="18">
        <v>134.11999499999999</v>
      </c>
      <c r="AI45" s="18">
        <v>71.330001999999993</v>
      </c>
      <c r="AJ45" s="18">
        <v>109.120003</v>
      </c>
      <c r="AK45" s="18">
        <v>70.790001000000004</v>
      </c>
      <c r="AL45" s="18">
        <v>44.994774</v>
      </c>
      <c r="AM45" s="18">
        <v>44.630001</v>
      </c>
      <c r="AN45" s="18">
        <v>53.48</v>
      </c>
      <c r="AO45" s="18">
        <v>95.529999000000004</v>
      </c>
      <c r="AP45" s="18">
        <v>149.570007</v>
      </c>
      <c r="AQ45" s="18">
        <v>413.73001099999999</v>
      </c>
      <c r="AR45" s="18">
        <v>38.979999999999997</v>
      </c>
      <c r="AS45" s="18">
        <v>30.49</v>
      </c>
      <c r="AT45" s="18">
        <v>30.41</v>
      </c>
      <c r="AU45" s="18">
        <v>73.989998</v>
      </c>
      <c r="AV45" s="18">
        <v>46.369999</v>
      </c>
      <c r="AW45" s="18">
        <v>120.94000200000001</v>
      </c>
      <c r="AX45" s="18">
        <v>79.660004000000001</v>
      </c>
      <c r="AY45" s="18">
        <v>51.330002</v>
      </c>
      <c r="AZ45" s="18">
        <v>104.629997</v>
      </c>
      <c r="BA45" s="18">
        <v>92.900002000000001</v>
      </c>
      <c r="BB45" s="18">
        <v>67.5</v>
      </c>
      <c r="BC45" s="18">
        <v>16.139999</v>
      </c>
      <c r="BD45" s="18">
        <v>80.900002000000001</v>
      </c>
      <c r="BE45" s="18">
        <v>47.740001999999997</v>
      </c>
      <c r="BF45" s="18">
        <v>169.46000699999999</v>
      </c>
      <c r="BG45" s="18">
        <v>44.150002000000001</v>
      </c>
      <c r="BH45" s="18">
        <v>50.799999</v>
      </c>
      <c r="BI45" s="18">
        <v>96.629997000000003</v>
      </c>
      <c r="BJ45" s="18">
        <v>4.4800000000000004</v>
      </c>
      <c r="BK45" s="18">
        <v>65.580001999999993</v>
      </c>
      <c r="BL45" s="18">
        <v>179.240005</v>
      </c>
      <c r="BM45" s="18">
        <v>116.09123200000001</v>
      </c>
      <c r="BN45" s="18">
        <v>81.410004000000001</v>
      </c>
      <c r="BO45" s="18">
        <v>118.849998</v>
      </c>
      <c r="BP45" s="18">
        <v>177.550003</v>
      </c>
      <c r="BQ45" s="18">
        <v>125.610001</v>
      </c>
      <c r="BR45" s="18">
        <v>93.440002000000007</v>
      </c>
      <c r="BS45" s="18">
        <v>98.730002999999996</v>
      </c>
      <c r="BT45" s="18">
        <v>69.959998999999996</v>
      </c>
      <c r="BU45" s="18">
        <v>128.14999399999999</v>
      </c>
      <c r="BV45" s="18">
        <v>57.459999000000003</v>
      </c>
      <c r="BW45" s="18">
        <v>35.889999000000003</v>
      </c>
      <c r="BX45" s="18">
        <v>52.330002</v>
      </c>
      <c r="BY45" s="18">
        <v>79.419998000000007</v>
      </c>
      <c r="BZ45" s="18">
        <v>111.449997</v>
      </c>
      <c r="CA45" s="18">
        <v>72.980002999999996</v>
      </c>
      <c r="CB45" s="18">
        <v>95.089995999999999</v>
      </c>
      <c r="CC45" s="18">
        <v>61.34</v>
      </c>
      <c r="CD45" s="18">
        <v>126.120003</v>
      </c>
      <c r="CE45" s="18">
        <v>14.37</v>
      </c>
      <c r="CF45" s="18">
        <v>16.489999999999998</v>
      </c>
    </row>
    <row r="46" spans="1:84" x14ac:dyDescent="0.25">
      <c r="A46" s="17">
        <v>42643</v>
      </c>
      <c r="B46" s="18">
        <v>113.050003</v>
      </c>
      <c r="C46" s="18">
        <v>29.620000999999998</v>
      </c>
      <c r="D46" s="18">
        <v>158.85000600000001</v>
      </c>
      <c r="E46" s="18">
        <v>92.860000999999997</v>
      </c>
      <c r="F46" s="18">
        <v>115.360001</v>
      </c>
      <c r="G46" s="18">
        <v>72.120002999999997</v>
      </c>
      <c r="H46" s="18">
        <v>42.32</v>
      </c>
      <c r="I46" s="18">
        <v>200.33999600000001</v>
      </c>
      <c r="J46" s="18">
        <v>94.519997000000004</v>
      </c>
      <c r="K46" s="18">
        <v>116.05999799999999</v>
      </c>
      <c r="L46" s="18">
        <v>42.32</v>
      </c>
      <c r="M46" s="18">
        <v>108.769997</v>
      </c>
      <c r="N46" s="18">
        <v>28.92</v>
      </c>
      <c r="O46" s="18">
        <v>204.029999</v>
      </c>
      <c r="P46" s="18">
        <v>87.279999000000004</v>
      </c>
      <c r="Q46" s="18">
        <v>102.91999800000001</v>
      </c>
      <c r="R46" s="18">
        <v>276.66000400000001</v>
      </c>
      <c r="S46" s="18">
        <v>53.5</v>
      </c>
      <c r="T46" s="18">
        <v>142.970001</v>
      </c>
      <c r="U46" s="18">
        <v>85.489998</v>
      </c>
      <c r="V46" s="18">
        <v>102.199997</v>
      </c>
      <c r="W46" s="18">
        <v>24.459999</v>
      </c>
      <c r="X46" s="18">
        <v>83.269997000000004</v>
      </c>
      <c r="Y46" s="18">
        <v>118.129997</v>
      </c>
      <c r="Z46" s="18">
        <v>33.869999</v>
      </c>
      <c r="AA46" s="18">
        <v>62.41</v>
      </c>
      <c r="AB46" s="18">
        <v>140</v>
      </c>
      <c r="AC46" s="18">
        <v>75.629997000000003</v>
      </c>
      <c r="AD46" s="18">
        <v>123.220001</v>
      </c>
      <c r="AE46" s="18">
        <v>118.08000199999999</v>
      </c>
      <c r="AF46" s="18">
        <v>110.510002</v>
      </c>
      <c r="AG46" s="18">
        <v>230.30999800000001</v>
      </c>
      <c r="AH46" s="18">
        <v>128.679993</v>
      </c>
      <c r="AI46" s="18">
        <v>67.330001999999993</v>
      </c>
      <c r="AJ46" s="18">
        <v>116.720001</v>
      </c>
      <c r="AK46" s="18">
        <v>67.330001999999993</v>
      </c>
      <c r="AL46" s="18">
        <v>43.500523000000001</v>
      </c>
      <c r="AM46" s="18">
        <v>45.09</v>
      </c>
      <c r="AN46" s="18">
        <v>49.220001000000003</v>
      </c>
      <c r="AO46" s="18">
        <v>97.529999000000004</v>
      </c>
      <c r="AP46" s="18">
        <v>151.85000600000001</v>
      </c>
      <c r="AQ46" s="18">
        <v>423.5</v>
      </c>
      <c r="AR46" s="18">
        <v>40.049999</v>
      </c>
      <c r="AS46" s="18">
        <v>32.090000000000003</v>
      </c>
      <c r="AT46" s="18">
        <v>30.48</v>
      </c>
      <c r="AU46" s="18">
        <v>74.839995999999999</v>
      </c>
      <c r="AV46" s="18">
        <v>49.73</v>
      </c>
      <c r="AW46" s="18">
        <v>122.32</v>
      </c>
      <c r="AX46" s="18">
        <v>80.040001000000004</v>
      </c>
      <c r="AY46" s="18">
        <v>51.299999</v>
      </c>
      <c r="AZ46" s="18">
        <v>107.19000200000001</v>
      </c>
      <c r="BA46" s="18">
        <v>93.669998000000007</v>
      </c>
      <c r="BB46" s="18">
        <v>66.589995999999999</v>
      </c>
      <c r="BC46" s="18">
        <v>15.65</v>
      </c>
      <c r="BD46" s="18">
        <v>82.699996999999996</v>
      </c>
      <c r="BE46" s="18">
        <v>47.23</v>
      </c>
      <c r="BF46" s="18">
        <v>161.270004</v>
      </c>
      <c r="BG46" s="18">
        <v>42.889999000000003</v>
      </c>
      <c r="BH46" s="18">
        <v>44.279998999999997</v>
      </c>
      <c r="BI46" s="18">
        <v>101.769997</v>
      </c>
      <c r="BJ46" s="18">
        <v>4.41</v>
      </c>
      <c r="BK46" s="18">
        <v>64.040001000000004</v>
      </c>
      <c r="BL46" s="18">
        <v>176.229996</v>
      </c>
      <c r="BM46" s="18">
        <v>115.97187</v>
      </c>
      <c r="BN46" s="18">
        <v>78.389999000000003</v>
      </c>
      <c r="BO46" s="18">
        <v>119.839996</v>
      </c>
      <c r="BP46" s="18">
        <v>182.470001</v>
      </c>
      <c r="BQ46" s="18">
        <v>128.14999399999999</v>
      </c>
      <c r="BR46" s="18">
        <v>93.57</v>
      </c>
      <c r="BS46" s="18">
        <v>99.629997000000003</v>
      </c>
      <c r="BT46" s="18">
        <v>69.610000999999997</v>
      </c>
      <c r="BU46" s="18">
        <v>123.620003</v>
      </c>
      <c r="BV46" s="18">
        <v>57.599997999999999</v>
      </c>
      <c r="BW46" s="18">
        <v>37.75</v>
      </c>
      <c r="BX46" s="18">
        <v>51.98</v>
      </c>
      <c r="BY46" s="18">
        <v>71.330001999999993</v>
      </c>
      <c r="BZ46" s="18">
        <v>110.010002</v>
      </c>
      <c r="CA46" s="18">
        <v>80.830001999999993</v>
      </c>
      <c r="CB46" s="18">
        <v>92.610000999999997</v>
      </c>
      <c r="CC46" s="18">
        <v>68.519997000000004</v>
      </c>
      <c r="CD46" s="18">
        <v>128.270004</v>
      </c>
      <c r="CE46" s="18">
        <v>15.53</v>
      </c>
      <c r="CF46" s="18">
        <v>17.780000999999999</v>
      </c>
    </row>
    <row r="47" spans="1:84" x14ac:dyDescent="0.25">
      <c r="A47" s="17">
        <v>42674</v>
      </c>
      <c r="B47" s="18">
        <v>113.540001</v>
      </c>
      <c r="C47" s="18">
        <v>29.1</v>
      </c>
      <c r="D47" s="18">
        <v>153.69000199999999</v>
      </c>
      <c r="E47" s="18">
        <v>92.690002000000007</v>
      </c>
      <c r="F47" s="18">
        <v>112.57</v>
      </c>
      <c r="G47" s="18">
        <v>70.019997000000004</v>
      </c>
      <c r="H47" s="18">
        <v>42.400002000000001</v>
      </c>
      <c r="I47" s="18">
        <v>184.300003</v>
      </c>
      <c r="J47" s="18">
        <v>92.580001999999993</v>
      </c>
      <c r="K47" s="18">
        <v>115.660004</v>
      </c>
      <c r="L47" s="18">
        <v>42.400002000000001</v>
      </c>
      <c r="M47" s="18">
        <v>107.199997</v>
      </c>
      <c r="N47" s="18">
        <v>29.83</v>
      </c>
      <c r="O47" s="18">
        <v>197.729996</v>
      </c>
      <c r="P47" s="18">
        <v>83.32</v>
      </c>
      <c r="Q47" s="18">
        <v>104.75</v>
      </c>
      <c r="R47" s="18">
        <v>244.86000100000001</v>
      </c>
      <c r="S47" s="18">
        <v>51.790000999999997</v>
      </c>
      <c r="T47" s="18">
        <v>130.779999</v>
      </c>
      <c r="U47" s="18">
        <v>83.550003000000004</v>
      </c>
      <c r="V47" s="18">
        <v>100.769997</v>
      </c>
      <c r="W47" s="18">
        <v>23.530000999999999</v>
      </c>
      <c r="X47" s="18">
        <v>88.089995999999999</v>
      </c>
      <c r="Y47" s="18">
        <v>115.989998</v>
      </c>
      <c r="Z47" s="18">
        <v>31.709999</v>
      </c>
      <c r="AA47" s="18">
        <v>58.720001000000003</v>
      </c>
      <c r="AB47" s="18">
        <v>141.33000200000001</v>
      </c>
      <c r="AC47" s="18">
        <v>76.529999000000004</v>
      </c>
      <c r="AD47" s="18">
        <v>120.709999</v>
      </c>
      <c r="AE47" s="18">
        <v>120.07</v>
      </c>
      <c r="AF47" s="18">
        <v>101.510002</v>
      </c>
      <c r="AG47" s="18">
        <v>208.94000199999999</v>
      </c>
      <c r="AH47" s="18">
        <v>122.010002</v>
      </c>
      <c r="AI47" s="18">
        <v>68.699996999999996</v>
      </c>
      <c r="AJ47" s="18">
        <v>129.229996</v>
      </c>
      <c r="AK47" s="18">
        <v>65.839995999999999</v>
      </c>
      <c r="AL47" s="18">
        <v>41.222572</v>
      </c>
      <c r="AM47" s="18">
        <v>43.009998000000003</v>
      </c>
      <c r="AN47" s="18">
        <v>50.790000999999997</v>
      </c>
      <c r="AO47" s="18">
        <v>88.18</v>
      </c>
      <c r="AP47" s="18">
        <v>169.240005</v>
      </c>
      <c r="AQ47" s="18">
        <v>360.76001000000002</v>
      </c>
      <c r="AR47" s="18">
        <v>39.979999999999997</v>
      </c>
      <c r="AS47" s="18">
        <v>31</v>
      </c>
      <c r="AT47" s="18">
        <v>30.700001</v>
      </c>
      <c r="AU47" s="18">
        <v>74.040001000000004</v>
      </c>
      <c r="AV47" s="18">
        <v>52.07</v>
      </c>
      <c r="AW47" s="18">
        <v>128</v>
      </c>
      <c r="AX47" s="18">
        <v>80.019997000000004</v>
      </c>
      <c r="AY47" s="18">
        <v>51.57</v>
      </c>
      <c r="AZ47" s="18">
        <v>107.099998</v>
      </c>
      <c r="BA47" s="18">
        <v>96.010002</v>
      </c>
      <c r="BB47" s="18">
        <v>69.260002</v>
      </c>
      <c r="BC47" s="18">
        <v>16.5</v>
      </c>
      <c r="BD47" s="18">
        <v>82.510002</v>
      </c>
      <c r="BE47" s="18">
        <v>49.150002000000001</v>
      </c>
      <c r="BF47" s="18">
        <v>178.240005</v>
      </c>
      <c r="BG47" s="18">
        <v>44.759998000000003</v>
      </c>
      <c r="BH47" s="18">
        <v>46.009998000000003</v>
      </c>
      <c r="BI47" s="18">
        <v>107.019997</v>
      </c>
      <c r="BJ47" s="18">
        <v>4.84</v>
      </c>
      <c r="BK47" s="18">
        <v>66.419998000000007</v>
      </c>
      <c r="BL47" s="18">
        <v>165.300003</v>
      </c>
      <c r="BM47" s="18">
        <v>109.68</v>
      </c>
      <c r="BN47" s="18">
        <v>78.550003000000004</v>
      </c>
      <c r="BO47" s="18">
        <v>113.57</v>
      </c>
      <c r="BP47" s="18">
        <v>173.30999800000001</v>
      </c>
      <c r="BQ47" s="18">
        <v>127.82</v>
      </c>
      <c r="BR47" s="18">
        <v>86.440002000000007</v>
      </c>
      <c r="BS47" s="18">
        <v>100.129997</v>
      </c>
      <c r="BT47" s="18">
        <v>65.839995999999999</v>
      </c>
      <c r="BU47" s="18">
        <v>112.110001</v>
      </c>
      <c r="BV47" s="18">
        <v>59.919998</v>
      </c>
      <c r="BW47" s="18">
        <v>34.869999</v>
      </c>
      <c r="BX47" s="18">
        <v>48.099997999999999</v>
      </c>
      <c r="BY47" s="18">
        <v>75.160004000000001</v>
      </c>
      <c r="BZ47" s="18">
        <v>108.739998</v>
      </c>
      <c r="CA47" s="18">
        <v>77.449996999999996</v>
      </c>
      <c r="CB47" s="18">
        <v>91.349997999999999</v>
      </c>
      <c r="CC47" s="18">
        <v>71.160004000000001</v>
      </c>
      <c r="CD47" s="18">
        <v>130.990005</v>
      </c>
      <c r="CE47" s="18">
        <v>14.49</v>
      </c>
      <c r="CF47" s="18">
        <v>17.16</v>
      </c>
    </row>
    <row r="48" spans="1:84" x14ac:dyDescent="0.25">
      <c r="A48" s="17">
        <v>42704</v>
      </c>
      <c r="B48" s="18">
        <v>110.519997</v>
      </c>
      <c r="C48" s="18">
        <v>30.76</v>
      </c>
      <c r="D48" s="18">
        <v>162.220001</v>
      </c>
      <c r="E48" s="18">
        <v>99.120002999999997</v>
      </c>
      <c r="F48" s="18">
        <v>119.269997</v>
      </c>
      <c r="G48" s="18">
        <v>70.430000000000007</v>
      </c>
      <c r="H48" s="18">
        <v>40.349997999999999</v>
      </c>
      <c r="I48" s="18">
        <v>197.44000199999999</v>
      </c>
      <c r="J48" s="18">
        <v>100.610001</v>
      </c>
      <c r="K48" s="18">
        <v>118.529999</v>
      </c>
      <c r="L48" s="18">
        <v>40.349997999999999</v>
      </c>
      <c r="M48" s="18">
        <v>100.099998</v>
      </c>
      <c r="N48" s="18">
        <v>29.74</v>
      </c>
      <c r="O48" s="18">
        <v>189.39999399999999</v>
      </c>
      <c r="P48" s="18">
        <v>87.300003000000004</v>
      </c>
      <c r="Q48" s="18">
        <v>111.55999799999999</v>
      </c>
      <c r="R48" s="18">
        <v>268.67001299999998</v>
      </c>
      <c r="S48" s="18">
        <v>59.169998</v>
      </c>
      <c r="T48" s="18">
        <v>121.050003</v>
      </c>
      <c r="U48" s="18">
        <v>87.779999000000004</v>
      </c>
      <c r="V48" s="18">
        <v>102.709999</v>
      </c>
      <c r="W48" s="18">
        <v>28.4</v>
      </c>
      <c r="X48" s="18">
        <v>91.269997000000004</v>
      </c>
      <c r="Y48" s="18">
        <v>111.300003</v>
      </c>
      <c r="Z48" s="18">
        <v>32.139999000000003</v>
      </c>
      <c r="AA48" s="18">
        <v>61.189999</v>
      </c>
      <c r="AB48" s="18">
        <v>158.320007</v>
      </c>
      <c r="AC48" s="18">
        <v>70.889999000000003</v>
      </c>
      <c r="AD48" s="18">
        <v>123.019997</v>
      </c>
      <c r="AE48" s="18">
        <v>125.610001</v>
      </c>
      <c r="AF48" s="18">
        <v>102.160004</v>
      </c>
      <c r="AG48" s="18">
        <v>194.300003</v>
      </c>
      <c r="AH48" s="18">
        <v>129.39999399999999</v>
      </c>
      <c r="AI48" s="18">
        <v>78.779999000000004</v>
      </c>
      <c r="AJ48" s="18">
        <v>124.050003</v>
      </c>
      <c r="AK48" s="18">
        <v>71.989998</v>
      </c>
      <c r="AL48" s="18">
        <v>43.166145</v>
      </c>
      <c r="AM48" s="18">
        <v>52.380001</v>
      </c>
      <c r="AN48" s="18">
        <v>51.34</v>
      </c>
      <c r="AO48" s="18">
        <v>101.33000199999999</v>
      </c>
      <c r="AP48" s="18">
        <v>168.03999300000001</v>
      </c>
      <c r="AQ48" s="18">
        <v>396.32998700000002</v>
      </c>
      <c r="AR48" s="18">
        <v>42.400002000000001</v>
      </c>
      <c r="AS48" s="18">
        <v>34.549999</v>
      </c>
      <c r="AT48" s="18">
        <v>29.73</v>
      </c>
      <c r="AU48" s="18">
        <v>72.470000999999996</v>
      </c>
      <c r="AV48" s="18">
        <v>54.52</v>
      </c>
      <c r="AW48" s="18">
        <v>114.230003</v>
      </c>
      <c r="AX48" s="18">
        <v>73.769997000000004</v>
      </c>
      <c r="AY48" s="18">
        <v>46.82</v>
      </c>
      <c r="AZ48" s="18">
        <v>99.800003000000004</v>
      </c>
      <c r="BA48" s="18">
        <v>93.089995999999999</v>
      </c>
      <c r="BB48" s="18">
        <v>80.169998000000007</v>
      </c>
      <c r="BC48" s="18">
        <v>21.120000999999998</v>
      </c>
      <c r="BD48" s="18">
        <v>77.319999999999993</v>
      </c>
      <c r="BE48" s="18">
        <v>56.389999000000003</v>
      </c>
      <c r="BF48" s="18">
        <v>219.28999300000001</v>
      </c>
      <c r="BG48" s="18">
        <v>49.619999</v>
      </c>
      <c r="BH48" s="18">
        <v>52.919998</v>
      </c>
      <c r="BI48" s="18">
        <v>102.199997</v>
      </c>
      <c r="BJ48" s="18">
        <v>4.5199999999999996</v>
      </c>
      <c r="BK48" s="18">
        <v>72.040001000000004</v>
      </c>
      <c r="BL48" s="18">
        <v>171.740005</v>
      </c>
      <c r="BM48" s="18">
        <v>113.94000200000001</v>
      </c>
      <c r="BN48" s="18">
        <v>78.169998000000007</v>
      </c>
      <c r="BO48" s="18">
        <v>125.18</v>
      </c>
      <c r="BP48" s="18">
        <v>181.11000100000001</v>
      </c>
      <c r="BQ48" s="18">
        <v>141.779999</v>
      </c>
      <c r="BR48" s="18">
        <v>93.610000999999997</v>
      </c>
      <c r="BS48" s="18">
        <v>106.730003</v>
      </c>
      <c r="BT48" s="18">
        <v>79.050003000000004</v>
      </c>
      <c r="BU48" s="18">
        <v>136.979996</v>
      </c>
      <c r="BV48" s="18">
        <v>60.259998000000003</v>
      </c>
      <c r="BW48" s="18">
        <v>34.700001</v>
      </c>
      <c r="BX48" s="18">
        <v>49.900002000000001</v>
      </c>
      <c r="BY48" s="18">
        <v>72</v>
      </c>
      <c r="BZ48" s="18">
        <v>113.68</v>
      </c>
      <c r="CA48" s="18">
        <v>79.110000999999997</v>
      </c>
      <c r="CB48" s="18">
        <v>94.029999000000004</v>
      </c>
      <c r="CC48" s="18">
        <v>92.199996999999996</v>
      </c>
      <c r="CD48" s="18">
        <v>118.41999800000001</v>
      </c>
      <c r="CE48" s="18">
        <v>15.4</v>
      </c>
      <c r="CF48" s="18">
        <v>19.530000999999999</v>
      </c>
    </row>
    <row r="49" spans="1:84" x14ac:dyDescent="0.25">
      <c r="A49" s="17">
        <v>42735</v>
      </c>
      <c r="B49" s="18">
        <v>115.82</v>
      </c>
      <c r="C49" s="18">
        <v>31.6</v>
      </c>
      <c r="D49" s="18">
        <v>165.990005</v>
      </c>
      <c r="E49" s="18">
        <v>104.220001</v>
      </c>
      <c r="F49" s="18">
        <v>121.720001</v>
      </c>
      <c r="G49" s="18">
        <v>69.120002999999997</v>
      </c>
      <c r="H49" s="18">
        <v>42</v>
      </c>
      <c r="I49" s="18">
        <v>199.679993</v>
      </c>
      <c r="J49" s="18">
        <v>104.339996</v>
      </c>
      <c r="K49" s="18">
        <v>117.199997</v>
      </c>
      <c r="L49" s="18">
        <v>42</v>
      </c>
      <c r="M49" s="18">
        <v>104.629997</v>
      </c>
      <c r="N49" s="18">
        <v>29.190000999999999</v>
      </c>
      <c r="O49" s="18">
        <v>213.69000199999999</v>
      </c>
      <c r="P49" s="18">
        <v>90.260002</v>
      </c>
      <c r="Q49" s="18">
        <v>117.699997</v>
      </c>
      <c r="R49" s="18">
        <v>268.73998999999998</v>
      </c>
      <c r="S49" s="18">
        <v>55.990001999999997</v>
      </c>
      <c r="T49" s="18">
        <v>117.83000199999999</v>
      </c>
      <c r="U49" s="18">
        <v>90.690002000000007</v>
      </c>
      <c r="V49" s="18">
        <v>105.209999</v>
      </c>
      <c r="W49" s="18">
        <v>29.33</v>
      </c>
      <c r="X49" s="18">
        <v>95.550003000000004</v>
      </c>
      <c r="Y49" s="18">
        <v>115.209999</v>
      </c>
      <c r="Z49" s="18">
        <v>31.700001</v>
      </c>
      <c r="AA49" s="18">
        <v>58.869999</v>
      </c>
      <c r="AB49" s="18">
        <v>160.03999300000001</v>
      </c>
      <c r="AC49" s="18">
        <v>74.019997000000004</v>
      </c>
      <c r="AD49" s="18">
        <v>106.379997</v>
      </c>
      <c r="AE49" s="18">
        <v>143.429993</v>
      </c>
      <c r="AF49" s="18">
        <v>105.269997</v>
      </c>
      <c r="AG49" s="18">
        <v>210.009995</v>
      </c>
      <c r="AH49" s="18">
        <v>134.08000200000001</v>
      </c>
      <c r="AI49" s="18">
        <v>82.68</v>
      </c>
      <c r="AJ49" s="18">
        <v>124.05999799999999</v>
      </c>
      <c r="AK49" s="18">
        <v>76.370002999999997</v>
      </c>
      <c r="AL49" s="18">
        <v>46.321838</v>
      </c>
      <c r="AM49" s="18">
        <v>51.84</v>
      </c>
      <c r="AN49" s="18">
        <v>55.259998000000003</v>
      </c>
      <c r="AO49" s="18">
        <v>103.68</v>
      </c>
      <c r="AP49" s="18">
        <v>159.240005</v>
      </c>
      <c r="AQ49" s="18">
        <v>377.32000699999998</v>
      </c>
      <c r="AR49" s="18">
        <v>45.560001</v>
      </c>
      <c r="AS49" s="18">
        <v>33.900002000000001</v>
      </c>
      <c r="AT49" s="18">
        <v>30.1</v>
      </c>
      <c r="AU49" s="18">
        <v>72.360000999999997</v>
      </c>
      <c r="AV49" s="18">
        <v>55.849997999999999</v>
      </c>
      <c r="AW49" s="18">
        <v>119.459999</v>
      </c>
      <c r="AX49" s="18">
        <v>77.620002999999997</v>
      </c>
      <c r="AY49" s="18">
        <v>49.189999</v>
      </c>
      <c r="AZ49" s="18">
        <v>100.639999</v>
      </c>
      <c r="BA49" s="18">
        <v>98.510002</v>
      </c>
      <c r="BB49" s="18">
        <v>85.489998</v>
      </c>
      <c r="BC49" s="18">
        <v>23.09</v>
      </c>
      <c r="BD49" s="18">
        <v>78.019997000000004</v>
      </c>
      <c r="BE49" s="18">
        <v>59.43</v>
      </c>
      <c r="BF49" s="18">
        <v>239.449997</v>
      </c>
      <c r="BG49" s="18">
        <v>51.369999</v>
      </c>
      <c r="BH49" s="18">
        <v>55.110000999999997</v>
      </c>
      <c r="BI49" s="18">
        <v>103.25</v>
      </c>
      <c r="BJ49" s="18">
        <v>5.18</v>
      </c>
      <c r="BK49" s="18">
        <v>74.080001999999993</v>
      </c>
      <c r="BL49" s="18">
        <v>178.490005</v>
      </c>
      <c r="BM49" s="18">
        <v>115.849998</v>
      </c>
      <c r="BN49" s="18">
        <v>78.099997999999999</v>
      </c>
      <c r="BO49" s="18">
        <v>127.019997</v>
      </c>
      <c r="BP49" s="18">
        <v>185.800003</v>
      </c>
      <c r="BQ49" s="18">
        <v>142.25</v>
      </c>
      <c r="BR49" s="18">
        <v>90.059997999999993</v>
      </c>
      <c r="BS49" s="18">
        <v>112.050003</v>
      </c>
      <c r="BT49" s="18">
        <v>85.760002</v>
      </c>
      <c r="BU49" s="18">
        <v>142.199997</v>
      </c>
      <c r="BV49" s="18">
        <v>62.139999000000003</v>
      </c>
      <c r="BW49" s="18">
        <v>36.270000000000003</v>
      </c>
      <c r="BX49" s="18">
        <v>53.380001</v>
      </c>
      <c r="BY49" s="18">
        <v>68.459998999999996</v>
      </c>
      <c r="BZ49" s="18">
        <v>114.610001</v>
      </c>
      <c r="CA49" s="18">
        <v>69.699996999999996</v>
      </c>
      <c r="CB49" s="18">
        <v>92.489998</v>
      </c>
      <c r="CC49" s="18">
        <v>106.739998</v>
      </c>
      <c r="CD49" s="18">
        <v>115.050003</v>
      </c>
      <c r="CE49" s="18">
        <v>14.84</v>
      </c>
      <c r="CF49" s="18">
        <v>21.92</v>
      </c>
    </row>
    <row r="50" spans="1:84" x14ac:dyDescent="0.25">
      <c r="A50" s="17">
        <v>42766</v>
      </c>
      <c r="B50" s="18">
        <v>121.349998</v>
      </c>
      <c r="C50" s="18">
        <v>29.700001</v>
      </c>
      <c r="D50" s="18">
        <v>174.520004</v>
      </c>
      <c r="E50" s="18">
        <v>110.650002</v>
      </c>
      <c r="F50" s="18">
        <v>122.57</v>
      </c>
      <c r="G50" s="18">
        <v>66.739998</v>
      </c>
      <c r="H50" s="18">
        <v>41.57</v>
      </c>
      <c r="I50" s="18">
        <v>215.83999600000001</v>
      </c>
      <c r="J50" s="18">
        <v>105.55999799999999</v>
      </c>
      <c r="K50" s="18">
        <v>115.75</v>
      </c>
      <c r="L50" s="18">
        <v>41.57</v>
      </c>
      <c r="M50" s="18">
        <v>103.779999</v>
      </c>
      <c r="N50" s="18">
        <v>29.719999000000001</v>
      </c>
      <c r="O50" s="18">
        <v>251.929993</v>
      </c>
      <c r="P50" s="18">
        <v>83.889999000000003</v>
      </c>
      <c r="Q50" s="18">
        <v>111.349998</v>
      </c>
      <c r="R50" s="18">
        <v>303.80999800000001</v>
      </c>
      <c r="S50" s="18">
        <v>61.91</v>
      </c>
      <c r="T50" s="18">
        <v>117.209999</v>
      </c>
      <c r="U50" s="18">
        <v>92.639999000000003</v>
      </c>
      <c r="V50" s="18">
        <v>108.30999799999999</v>
      </c>
      <c r="W50" s="18">
        <v>31.370000999999998</v>
      </c>
      <c r="X50" s="18">
        <v>91.970000999999996</v>
      </c>
      <c r="Y50" s="18">
        <v>113.25</v>
      </c>
      <c r="Z50" s="18">
        <v>31.73</v>
      </c>
      <c r="AA50" s="18">
        <v>61.990001999999997</v>
      </c>
      <c r="AB50" s="18">
        <v>162.10000600000001</v>
      </c>
      <c r="AC50" s="18">
        <v>80.279999000000004</v>
      </c>
      <c r="AD50" s="18">
        <v>112.629997</v>
      </c>
      <c r="AE50" s="18">
        <v>163.63000500000001</v>
      </c>
      <c r="AF50" s="18">
        <v>104.489998</v>
      </c>
      <c r="AG50" s="18">
        <v>218.88999899999999</v>
      </c>
      <c r="AH50" s="18">
        <v>137.58000200000001</v>
      </c>
      <c r="AI50" s="18">
        <v>84.599997999999999</v>
      </c>
      <c r="AJ50" s="18">
        <v>121.589996</v>
      </c>
      <c r="AK50" s="18">
        <v>79.059997999999993</v>
      </c>
      <c r="AL50" s="18">
        <v>48.516196999999998</v>
      </c>
      <c r="AM50" s="18">
        <v>54.029998999999997</v>
      </c>
      <c r="AN50" s="18">
        <v>54.709999000000003</v>
      </c>
      <c r="AO50" s="18">
        <v>106.58000199999999</v>
      </c>
      <c r="AP50" s="18">
        <v>174.53999300000001</v>
      </c>
      <c r="AQ50" s="18">
        <v>421.44000199999999</v>
      </c>
      <c r="AR50" s="18">
        <v>43.779998999999997</v>
      </c>
      <c r="AS50" s="18">
        <v>34.5</v>
      </c>
      <c r="AT50" s="18">
        <v>30.41</v>
      </c>
      <c r="AU50" s="18">
        <v>73.440002000000007</v>
      </c>
      <c r="AV50" s="18">
        <v>54.040000999999997</v>
      </c>
      <c r="AW50" s="18">
        <v>123.720001</v>
      </c>
      <c r="AX50" s="18">
        <v>78.540001000000004</v>
      </c>
      <c r="AY50" s="18">
        <v>49.43</v>
      </c>
      <c r="AZ50" s="18">
        <v>102.389999</v>
      </c>
      <c r="BA50" s="18">
        <v>98.639999000000003</v>
      </c>
      <c r="BB50" s="18">
        <v>84.629997000000003</v>
      </c>
      <c r="BC50" s="18">
        <v>22.639999</v>
      </c>
      <c r="BD50" s="18">
        <v>82.709998999999996</v>
      </c>
      <c r="BE50" s="18">
        <v>55.830002</v>
      </c>
      <c r="BF50" s="18">
        <v>229.320007</v>
      </c>
      <c r="BG50" s="18">
        <v>52.650002000000001</v>
      </c>
      <c r="BH50" s="18">
        <v>56.330002</v>
      </c>
      <c r="BI50" s="18">
        <v>106.33000199999999</v>
      </c>
      <c r="BJ50" s="18">
        <v>5.56</v>
      </c>
      <c r="BK50" s="18">
        <v>76.379997000000003</v>
      </c>
      <c r="BL50" s="18">
        <v>174.820007</v>
      </c>
      <c r="BM50" s="18">
        <v>118.32</v>
      </c>
      <c r="BN50" s="18">
        <v>83.919998000000007</v>
      </c>
      <c r="BO50" s="18">
        <v>127.199997</v>
      </c>
      <c r="BP50" s="18">
        <v>191.85000600000001</v>
      </c>
      <c r="BQ50" s="18">
        <v>147.009995</v>
      </c>
      <c r="BR50" s="18">
        <v>90.160004000000001</v>
      </c>
      <c r="BS50" s="18">
        <v>113.529999</v>
      </c>
      <c r="BT50" s="18">
        <v>83.669998000000007</v>
      </c>
      <c r="BU50" s="18">
        <v>134.179993</v>
      </c>
      <c r="BV50" s="18">
        <v>64.650002000000001</v>
      </c>
      <c r="BW50" s="18">
        <v>36.82</v>
      </c>
      <c r="BX50" s="18">
        <v>49.009998000000003</v>
      </c>
      <c r="BY50" s="18">
        <v>79.099997999999999</v>
      </c>
      <c r="BZ50" s="18">
        <v>118.58000199999999</v>
      </c>
      <c r="CA50" s="18">
        <v>75.879997000000003</v>
      </c>
      <c r="CB50" s="18">
        <v>93.260002</v>
      </c>
      <c r="CC50" s="18">
        <v>109.18</v>
      </c>
      <c r="CD50" s="18">
        <v>130.320007</v>
      </c>
      <c r="CE50" s="18">
        <v>15.05</v>
      </c>
      <c r="CF50" s="18">
        <v>24.110001</v>
      </c>
    </row>
    <row r="51" spans="1:84" x14ac:dyDescent="0.25">
      <c r="A51" s="17">
        <v>42794</v>
      </c>
      <c r="B51" s="18">
        <v>136.990005</v>
      </c>
      <c r="C51" s="18">
        <v>29.809999000000001</v>
      </c>
      <c r="D51" s="18">
        <v>179.820007</v>
      </c>
      <c r="E51" s="18">
        <v>110.089996</v>
      </c>
      <c r="F51" s="18">
        <v>127.650002</v>
      </c>
      <c r="G51" s="18">
        <v>70.930000000000007</v>
      </c>
      <c r="H51" s="18">
        <v>41.959999000000003</v>
      </c>
      <c r="I51" s="18">
        <v>226.36000100000001</v>
      </c>
      <c r="J51" s="18">
        <v>114.709999</v>
      </c>
      <c r="K51" s="18">
        <v>113.150002</v>
      </c>
      <c r="L51" s="18">
        <v>41.959999000000003</v>
      </c>
      <c r="M51" s="18">
        <v>110.379997</v>
      </c>
      <c r="N51" s="18">
        <v>30.969999000000001</v>
      </c>
      <c r="O51" s="18">
        <v>249.990005</v>
      </c>
      <c r="P51" s="18">
        <v>81.319999999999993</v>
      </c>
      <c r="Q51" s="18">
        <v>112.5</v>
      </c>
      <c r="R51" s="18">
        <v>308.540009</v>
      </c>
      <c r="S51" s="18">
        <v>63.43</v>
      </c>
      <c r="T51" s="18">
        <v>125.699997</v>
      </c>
      <c r="U51" s="18">
        <v>101.510002</v>
      </c>
      <c r="V51" s="18">
        <v>113.83000199999999</v>
      </c>
      <c r="W51" s="18">
        <v>31.190000999999999</v>
      </c>
      <c r="X51" s="18">
        <v>90.629997000000003</v>
      </c>
      <c r="Y51" s="18">
        <v>122.209999</v>
      </c>
      <c r="Z51" s="18">
        <v>34.119999</v>
      </c>
      <c r="AA51" s="18">
        <v>65.870002999999997</v>
      </c>
      <c r="AB51" s="18">
        <v>165.38000500000001</v>
      </c>
      <c r="AC51" s="18">
        <v>87.239998</v>
      </c>
      <c r="AD51" s="18">
        <v>125.599998</v>
      </c>
      <c r="AE51" s="18">
        <v>147.720001</v>
      </c>
      <c r="AF51" s="18">
        <v>119.910004</v>
      </c>
      <c r="AG51" s="18">
        <v>244.820007</v>
      </c>
      <c r="AH51" s="18">
        <v>144.91000399999999</v>
      </c>
      <c r="AI51" s="18">
        <v>86.989998</v>
      </c>
      <c r="AJ51" s="18">
        <v>119.040001</v>
      </c>
      <c r="AK51" s="18">
        <v>83.239998</v>
      </c>
      <c r="AL51" s="18">
        <v>49.153606000000003</v>
      </c>
      <c r="AM51" s="18">
        <v>57.970001000000003</v>
      </c>
      <c r="AN51" s="18">
        <v>51.34</v>
      </c>
      <c r="AO51" s="18">
        <v>107.94000200000001</v>
      </c>
      <c r="AP51" s="18">
        <v>189.80999800000001</v>
      </c>
      <c r="AQ51" s="18">
        <v>418.73998999999998</v>
      </c>
      <c r="AR51" s="18">
        <v>44.720001000000003</v>
      </c>
      <c r="AS51" s="18">
        <v>36.75</v>
      </c>
      <c r="AT51" s="18">
        <v>31.74</v>
      </c>
      <c r="AU51" s="18">
        <v>78</v>
      </c>
      <c r="AV51" s="18">
        <v>57.049999</v>
      </c>
      <c r="AW51" s="18">
        <v>131</v>
      </c>
      <c r="AX51" s="18">
        <v>82.550003000000004</v>
      </c>
      <c r="AY51" s="18">
        <v>50.82</v>
      </c>
      <c r="AZ51" s="18">
        <v>110.290001</v>
      </c>
      <c r="BA51" s="18">
        <v>101.379997</v>
      </c>
      <c r="BB51" s="18">
        <v>90.620002999999997</v>
      </c>
      <c r="BC51" s="18">
        <v>24.68</v>
      </c>
      <c r="BD51" s="18">
        <v>87.940002000000007</v>
      </c>
      <c r="BE51" s="18">
        <v>59.810001</v>
      </c>
      <c r="BF51" s="18">
        <v>248.05999800000001</v>
      </c>
      <c r="BG51" s="18">
        <v>55</v>
      </c>
      <c r="BH51" s="18">
        <v>57.880001</v>
      </c>
      <c r="BI51" s="18">
        <v>110.459999</v>
      </c>
      <c r="BJ51" s="18">
        <v>5.41</v>
      </c>
      <c r="BK51" s="18">
        <v>80.059997999999993</v>
      </c>
      <c r="BL51" s="18">
        <v>186.35000600000001</v>
      </c>
      <c r="BM51" s="18">
        <v>124.5</v>
      </c>
      <c r="BN51" s="18">
        <v>85.550003000000004</v>
      </c>
      <c r="BO51" s="18">
        <v>132.009995</v>
      </c>
      <c r="BP51" s="18">
        <v>209.199997</v>
      </c>
      <c r="BQ51" s="18">
        <v>148.490005</v>
      </c>
      <c r="BR51" s="18">
        <v>92.190002000000007</v>
      </c>
      <c r="BS51" s="18">
        <v>120.040001</v>
      </c>
      <c r="BT51" s="18">
        <v>90.709998999999996</v>
      </c>
      <c r="BU51" s="18">
        <v>138.71000699999999</v>
      </c>
      <c r="BV51" s="18">
        <v>63.98</v>
      </c>
      <c r="BW51" s="18">
        <v>36.200001</v>
      </c>
      <c r="BX51" s="18">
        <v>49.630001</v>
      </c>
      <c r="BY51" s="18">
        <v>81.349997999999999</v>
      </c>
      <c r="BZ51" s="18">
        <v>125.44000200000001</v>
      </c>
      <c r="CA51" s="18">
        <v>82.809997999999993</v>
      </c>
      <c r="CB51" s="18">
        <v>106.760002</v>
      </c>
      <c r="CC51" s="18">
        <v>101.480003</v>
      </c>
      <c r="CD51" s="18">
        <v>135.53999300000001</v>
      </c>
      <c r="CE51" s="18">
        <v>17.370000999999998</v>
      </c>
      <c r="CF51" s="18">
        <v>23.440000999999999</v>
      </c>
    </row>
    <row r="52" spans="1:84" x14ac:dyDescent="0.25">
      <c r="A52" s="17">
        <v>42825</v>
      </c>
      <c r="B52" s="18">
        <v>143.66000399999999</v>
      </c>
      <c r="C52" s="18">
        <v>29.799999</v>
      </c>
      <c r="D52" s="18">
        <v>174.13999899999999</v>
      </c>
      <c r="E52" s="18">
        <v>113.389999</v>
      </c>
      <c r="F52" s="18">
        <v>129.61000100000001</v>
      </c>
      <c r="G52" s="18">
        <v>72.080001999999993</v>
      </c>
      <c r="H52" s="18">
        <v>42.439999</v>
      </c>
      <c r="I52" s="18">
        <v>229.490005</v>
      </c>
      <c r="J52" s="18">
        <v>119.33000199999999</v>
      </c>
      <c r="K52" s="18">
        <v>108.620003</v>
      </c>
      <c r="L52" s="18">
        <v>42.439999</v>
      </c>
      <c r="M52" s="18">
        <v>111.860001</v>
      </c>
      <c r="N52" s="18">
        <v>30.26</v>
      </c>
      <c r="O52" s="18">
        <v>278.29998799999998</v>
      </c>
      <c r="P52" s="18">
        <v>82.010002</v>
      </c>
      <c r="Q52" s="18">
        <v>107.370003</v>
      </c>
      <c r="R52" s="18">
        <v>310.19000199999999</v>
      </c>
      <c r="S52" s="18">
        <v>66.050003000000004</v>
      </c>
      <c r="T52" s="18">
        <v>132.529999</v>
      </c>
      <c r="U52" s="18">
        <v>105.639999</v>
      </c>
      <c r="V52" s="18">
        <v>113.199997</v>
      </c>
      <c r="W52" s="18">
        <v>29.18</v>
      </c>
      <c r="X52" s="18">
        <v>93.389999000000003</v>
      </c>
      <c r="Y52" s="18">
        <v>124.550003</v>
      </c>
      <c r="Z52" s="18">
        <v>34.209999000000003</v>
      </c>
      <c r="AA52" s="18">
        <v>63.540000999999997</v>
      </c>
      <c r="AB52" s="18">
        <v>164.009995</v>
      </c>
      <c r="AC52" s="18">
        <v>88.989998</v>
      </c>
      <c r="AD52" s="18">
        <v>124.449997</v>
      </c>
      <c r="AE52" s="18">
        <v>135.38000500000001</v>
      </c>
      <c r="AF52" s="18">
        <v>116.620003</v>
      </c>
      <c r="AG52" s="18">
        <v>238.91999799999999</v>
      </c>
      <c r="AH52" s="18">
        <v>146.83000200000001</v>
      </c>
      <c r="AI52" s="18">
        <v>94.18</v>
      </c>
      <c r="AJ52" s="18">
        <v>126.16999800000001</v>
      </c>
      <c r="AK52" s="18">
        <v>84.290001000000004</v>
      </c>
      <c r="AL52" s="18">
        <v>51.128525000000003</v>
      </c>
      <c r="AM52" s="18">
        <v>62.049999</v>
      </c>
      <c r="AN52" s="18">
        <v>53.98</v>
      </c>
      <c r="AO52" s="18">
        <v>105.91999800000001</v>
      </c>
      <c r="AP52" s="18">
        <v>184.300003</v>
      </c>
      <c r="AQ52" s="18">
        <v>445.51998900000001</v>
      </c>
      <c r="AR52" s="18">
        <v>44.299999</v>
      </c>
      <c r="AS52" s="18">
        <v>35.849997999999999</v>
      </c>
      <c r="AT52" s="18">
        <v>32.150002000000001</v>
      </c>
      <c r="AU52" s="18">
        <v>77.769997000000004</v>
      </c>
      <c r="AV52" s="18">
        <v>53.150002000000001</v>
      </c>
      <c r="AW52" s="18">
        <v>128.36999499999999</v>
      </c>
      <c r="AX52" s="18">
        <v>82.010002</v>
      </c>
      <c r="AY52" s="18">
        <v>49.779998999999997</v>
      </c>
      <c r="AZ52" s="18">
        <v>110.5</v>
      </c>
      <c r="BA52" s="18">
        <v>102.110001</v>
      </c>
      <c r="BB52" s="18">
        <v>87.839995999999999</v>
      </c>
      <c r="BC52" s="18">
        <v>23.59</v>
      </c>
      <c r="BD52" s="18">
        <v>88.870002999999997</v>
      </c>
      <c r="BE52" s="18">
        <v>59.82</v>
      </c>
      <c r="BF52" s="18">
        <v>229.720001</v>
      </c>
      <c r="BG52" s="18">
        <v>51.5</v>
      </c>
      <c r="BH52" s="18">
        <v>55.66</v>
      </c>
      <c r="BI52" s="18">
        <v>112.470001</v>
      </c>
      <c r="BJ52" s="18">
        <v>6.07</v>
      </c>
      <c r="BK52" s="18">
        <v>79.110000999999997</v>
      </c>
      <c r="BL52" s="18">
        <v>191.33000200000001</v>
      </c>
      <c r="BM52" s="18">
        <v>124.870003</v>
      </c>
      <c r="BN52" s="18">
        <v>85.529999000000004</v>
      </c>
      <c r="BO52" s="18">
        <v>132.470001</v>
      </c>
      <c r="BP52" s="18">
        <v>206.490005</v>
      </c>
      <c r="BQ52" s="18">
        <v>151.199997</v>
      </c>
      <c r="BR52" s="18">
        <v>93.510002</v>
      </c>
      <c r="BS52" s="18">
        <v>122.839996</v>
      </c>
      <c r="BT52" s="18">
        <v>91.25</v>
      </c>
      <c r="BU52" s="18">
        <v>136.449997</v>
      </c>
      <c r="BV52" s="18">
        <v>65.860000999999997</v>
      </c>
      <c r="BW52" s="18">
        <v>36.07</v>
      </c>
      <c r="BX52" s="18">
        <v>48.75</v>
      </c>
      <c r="BY52" s="18">
        <v>82.489998</v>
      </c>
      <c r="BZ52" s="18">
        <v>115.989998</v>
      </c>
      <c r="CA52" s="18">
        <v>86.5</v>
      </c>
      <c r="CB52" s="18">
        <v>106.870003</v>
      </c>
      <c r="CC52" s="18">
        <v>108.93</v>
      </c>
      <c r="CD52" s="18">
        <v>142.050003</v>
      </c>
      <c r="CE52" s="18">
        <v>17.879999000000002</v>
      </c>
      <c r="CF52" s="18">
        <v>28.9</v>
      </c>
    </row>
    <row r="53" spans="1:84" x14ac:dyDescent="0.25">
      <c r="A53" s="17">
        <v>42855</v>
      </c>
      <c r="B53" s="18">
        <v>143.64999399999999</v>
      </c>
      <c r="C53" s="18">
        <v>28.99</v>
      </c>
      <c r="D53" s="18">
        <v>160.28999300000001</v>
      </c>
      <c r="E53" s="18">
        <v>115.599998</v>
      </c>
      <c r="F53" s="18">
        <v>139.929993</v>
      </c>
      <c r="G53" s="18">
        <v>75.180000000000007</v>
      </c>
      <c r="H53" s="18">
        <v>43.150002000000001</v>
      </c>
      <c r="I53" s="18">
        <v>234.78999300000001</v>
      </c>
      <c r="J53" s="18">
        <v>119.620003</v>
      </c>
      <c r="K53" s="18">
        <v>108.139999</v>
      </c>
      <c r="L53" s="18">
        <v>43.150002000000001</v>
      </c>
      <c r="M53" s="18">
        <v>113.279999</v>
      </c>
      <c r="N53" s="18">
        <v>29.1</v>
      </c>
      <c r="O53" s="18">
        <v>314.07000699999998</v>
      </c>
      <c r="P53" s="18">
        <v>81.650002000000001</v>
      </c>
      <c r="Q53" s="18">
        <v>106.699997</v>
      </c>
      <c r="R53" s="18">
        <v>334.67999300000002</v>
      </c>
      <c r="S53" s="18">
        <v>62.25</v>
      </c>
      <c r="T53" s="18">
        <v>138.58999600000001</v>
      </c>
      <c r="U53" s="18">
        <v>108.910004</v>
      </c>
      <c r="V53" s="18">
        <v>116.610001</v>
      </c>
      <c r="W53" s="18">
        <v>26.93</v>
      </c>
      <c r="X53" s="18">
        <v>96.599997999999999</v>
      </c>
      <c r="Y53" s="18">
        <v>123.470001</v>
      </c>
      <c r="Z53" s="18">
        <v>33.919998</v>
      </c>
      <c r="AA53" s="18">
        <v>62.330002</v>
      </c>
      <c r="AB53" s="18">
        <v>174.88000500000001</v>
      </c>
      <c r="AC53" s="18">
        <v>84.209998999999996</v>
      </c>
      <c r="AD53" s="18">
        <v>120.760002</v>
      </c>
      <c r="AE53" s="18">
        <v>125.699997</v>
      </c>
      <c r="AF53" s="18">
        <v>116.849998</v>
      </c>
      <c r="AG53" s="18">
        <v>243.86000100000001</v>
      </c>
      <c r="AH53" s="18">
        <v>156.10000600000001</v>
      </c>
      <c r="AI53" s="18">
        <v>94.419998000000007</v>
      </c>
      <c r="AJ53" s="18">
        <v>133.720001</v>
      </c>
      <c r="AK53" s="18">
        <v>95.309997999999993</v>
      </c>
      <c r="AL53" s="18">
        <v>55.161963999999998</v>
      </c>
      <c r="AM53" s="18">
        <v>70.980002999999996</v>
      </c>
      <c r="AN53" s="18">
        <v>55.5</v>
      </c>
      <c r="AO53" s="18">
        <v>111.959999</v>
      </c>
      <c r="AP53" s="18">
        <v>181.38999899999999</v>
      </c>
      <c r="AQ53" s="18">
        <v>474.47000100000002</v>
      </c>
      <c r="AR53" s="18">
        <v>44.52</v>
      </c>
      <c r="AS53" s="18">
        <v>35.700001</v>
      </c>
      <c r="AT53" s="18">
        <v>33.090000000000003</v>
      </c>
      <c r="AU53" s="18">
        <v>79.760002</v>
      </c>
      <c r="AV53" s="18">
        <v>53.669998</v>
      </c>
      <c r="AW53" s="18">
        <v>133.55999800000001</v>
      </c>
      <c r="AX53" s="18">
        <v>82.5</v>
      </c>
      <c r="AY53" s="18">
        <v>49.799999</v>
      </c>
      <c r="AZ53" s="18">
        <v>113.019997</v>
      </c>
      <c r="BA53" s="18">
        <v>104.589996</v>
      </c>
      <c r="BB53" s="18">
        <v>87</v>
      </c>
      <c r="BC53" s="18">
        <v>23.34</v>
      </c>
      <c r="BD53" s="18">
        <v>91.220000999999996</v>
      </c>
      <c r="BE53" s="18">
        <v>59.119999</v>
      </c>
      <c r="BF53" s="18">
        <v>223.800003</v>
      </c>
      <c r="BG53" s="18">
        <v>51.279998999999997</v>
      </c>
      <c r="BH53" s="18">
        <v>53.84</v>
      </c>
      <c r="BI53" s="18">
        <v>116.32</v>
      </c>
      <c r="BJ53" s="18">
        <v>6.52</v>
      </c>
      <c r="BK53" s="18">
        <v>79.25</v>
      </c>
      <c r="BL53" s="18">
        <v>195.83000200000001</v>
      </c>
      <c r="BM53" s="18">
        <v>131.13999899999999</v>
      </c>
      <c r="BN53" s="18">
        <v>83.330001999999993</v>
      </c>
      <c r="BO53" s="18">
        <v>138.08999600000001</v>
      </c>
      <c r="BP53" s="18">
        <v>218.699997</v>
      </c>
      <c r="BQ53" s="18">
        <v>150.94000199999999</v>
      </c>
      <c r="BR53" s="18">
        <v>104.760002</v>
      </c>
      <c r="BS53" s="18">
        <v>125.199997</v>
      </c>
      <c r="BT53" s="18">
        <v>94.269997000000004</v>
      </c>
      <c r="BU53" s="18">
        <v>136.13000500000001</v>
      </c>
      <c r="BV53" s="18">
        <v>68.459998999999996</v>
      </c>
      <c r="BW53" s="18">
        <v>36.150002000000001</v>
      </c>
      <c r="BX53" s="18">
        <v>45.91</v>
      </c>
      <c r="BY53" s="18">
        <v>86.120002999999997</v>
      </c>
      <c r="BZ53" s="18">
        <v>125.209999</v>
      </c>
      <c r="CA53" s="18">
        <v>88.080001999999993</v>
      </c>
      <c r="CB53" s="18">
        <v>110.160004</v>
      </c>
      <c r="CC53" s="18">
        <v>104.300003</v>
      </c>
      <c r="CD53" s="18">
        <v>150.25</v>
      </c>
      <c r="CE53" s="18">
        <v>18.82</v>
      </c>
      <c r="CF53" s="18">
        <v>27.67</v>
      </c>
    </row>
    <row r="54" spans="1:84" x14ac:dyDescent="0.25">
      <c r="A54" s="17">
        <v>42886</v>
      </c>
      <c r="B54" s="18">
        <v>152.759995</v>
      </c>
      <c r="C54" s="18">
        <v>27.379999000000002</v>
      </c>
      <c r="D54" s="18">
        <v>152.63000500000001</v>
      </c>
      <c r="E54" s="18">
        <v>107.94000200000001</v>
      </c>
      <c r="F54" s="18">
        <v>150.88999899999999</v>
      </c>
      <c r="G54" s="18">
        <v>78.599997999999999</v>
      </c>
      <c r="H54" s="18">
        <v>45.470001000000003</v>
      </c>
      <c r="I54" s="18">
        <v>239.300003</v>
      </c>
      <c r="J54" s="18">
        <v>119.129997</v>
      </c>
      <c r="K54" s="18">
        <v>107.540001</v>
      </c>
      <c r="L54" s="18">
        <v>45.470001000000003</v>
      </c>
      <c r="M54" s="18">
        <v>116.870003</v>
      </c>
      <c r="N54" s="18">
        <v>27.93</v>
      </c>
      <c r="O54" s="18">
        <v>341.01001000000002</v>
      </c>
      <c r="P54" s="18">
        <v>80.5</v>
      </c>
      <c r="Q54" s="18">
        <v>103.480003</v>
      </c>
      <c r="R54" s="18">
        <v>331.76998900000001</v>
      </c>
      <c r="S54" s="18">
        <v>61.459999000000003</v>
      </c>
      <c r="T54" s="18">
        <v>137.88999899999999</v>
      </c>
      <c r="U54" s="18">
        <v>113.599998</v>
      </c>
      <c r="V54" s="18">
        <v>117.41999800000001</v>
      </c>
      <c r="W54" s="18">
        <v>22.629999000000002</v>
      </c>
      <c r="X54" s="18">
        <v>86.610000999999997</v>
      </c>
      <c r="Y54" s="18">
        <v>128.25</v>
      </c>
      <c r="Z54" s="18">
        <v>32.650002000000001</v>
      </c>
      <c r="AA54" s="18">
        <v>65.110000999999997</v>
      </c>
      <c r="AB54" s="18">
        <v>175.179993</v>
      </c>
      <c r="AC54" s="18">
        <v>81.910004000000001</v>
      </c>
      <c r="AD54" s="18">
        <v>113.660004</v>
      </c>
      <c r="AE54" s="18">
        <v>120.889999</v>
      </c>
      <c r="AF54" s="18">
        <v>106.610001</v>
      </c>
      <c r="AG54" s="18">
        <v>223.75</v>
      </c>
      <c r="AH54" s="18">
        <v>153.509995</v>
      </c>
      <c r="AI54" s="18">
        <v>107.650002</v>
      </c>
      <c r="AJ54" s="18">
        <v>143.779999</v>
      </c>
      <c r="AK54" s="18">
        <v>100.989998</v>
      </c>
      <c r="AL54" s="18">
        <v>56.540000999999997</v>
      </c>
      <c r="AM54" s="18">
        <v>76.400002000000001</v>
      </c>
      <c r="AN54" s="18">
        <v>57.700001</v>
      </c>
      <c r="AO54" s="18">
        <v>110.300003</v>
      </c>
      <c r="AP54" s="18">
        <v>211.720001</v>
      </c>
      <c r="AQ54" s="18">
        <v>477.35000600000001</v>
      </c>
      <c r="AR54" s="18">
        <v>45.790000999999997</v>
      </c>
      <c r="AS54" s="18">
        <v>34.650002000000001</v>
      </c>
      <c r="AT54" s="18">
        <v>32.689999</v>
      </c>
      <c r="AU54" s="18">
        <v>78.180000000000007</v>
      </c>
      <c r="AV54" s="18">
        <v>53.060001</v>
      </c>
      <c r="AW54" s="18">
        <v>141.44000199999999</v>
      </c>
      <c r="AX54" s="18">
        <v>85.68</v>
      </c>
      <c r="AY54" s="18">
        <v>50.610000999999997</v>
      </c>
      <c r="AZ54" s="18">
        <v>116.489998</v>
      </c>
      <c r="BA54" s="18">
        <v>109.519997</v>
      </c>
      <c r="BB54" s="18">
        <v>82.150002000000001</v>
      </c>
      <c r="BC54" s="18">
        <v>22.41</v>
      </c>
      <c r="BD54" s="18">
        <v>95.230002999999996</v>
      </c>
      <c r="BE54" s="18">
        <v>60.540000999999997</v>
      </c>
      <c r="BF54" s="18">
        <v>211.259995</v>
      </c>
      <c r="BG54" s="18">
        <v>50.889999000000003</v>
      </c>
      <c r="BH54" s="18">
        <v>51.139999000000003</v>
      </c>
      <c r="BI54" s="18">
        <v>122.879997</v>
      </c>
      <c r="BJ54" s="18">
        <v>6.54</v>
      </c>
      <c r="BK54" s="18">
        <v>76.940002000000007</v>
      </c>
      <c r="BL54" s="18">
        <v>204.470001</v>
      </c>
      <c r="BM54" s="18">
        <v>132.990005</v>
      </c>
      <c r="BN54" s="18">
        <v>84.940002000000007</v>
      </c>
      <c r="BO54" s="18">
        <v>141.220001</v>
      </c>
      <c r="BP54" s="18">
        <v>227.199997</v>
      </c>
      <c r="BQ54" s="18">
        <v>157.699997</v>
      </c>
      <c r="BR54" s="18">
        <v>108.470001</v>
      </c>
      <c r="BS54" s="18">
        <v>115.879997</v>
      </c>
      <c r="BT54" s="18">
        <v>104.339996</v>
      </c>
      <c r="BU54" s="18">
        <v>128.36000100000001</v>
      </c>
      <c r="BV54" s="18">
        <v>69.839995999999999</v>
      </c>
      <c r="BW54" s="18">
        <v>36.110000999999997</v>
      </c>
      <c r="BX54" s="18">
        <v>46.639999000000003</v>
      </c>
      <c r="BY54" s="18">
        <v>89.639999000000003</v>
      </c>
      <c r="BZ54" s="18">
        <v>140.63999899999999</v>
      </c>
      <c r="CA54" s="18">
        <v>89.57</v>
      </c>
      <c r="CB54" s="18">
        <v>126.33000199999999</v>
      </c>
      <c r="CC54" s="18">
        <v>144.35000600000001</v>
      </c>
      <c r="CD54" s="18">
        <v>151.46000699999999</v>
      </c>
      <c r="CE54" s="18">
        <v>18.760000000000002</v>
      </c>
      <c r="CF54" s="18">
        <v>30.77</v>
      </c>
    </row>
    <row r="55" spans="1:84" x14ac:dyDescent="0.25">
      <c r="A55" s="17">
        <v>42916</v>
      </c>
      <c r="B55" s="18">
        <v>144.020004</v>
      </c>
      <c r="C55" s="18">
        <v>27.01</v>
      </c>
      <c r="D55" s="18">
        <v>153.83000200000001</v>
      </c>
      <c r="E55" s="18">
        <v>106.25</v>
      </c>
      <c r="F55" s="18">
        <v>153.16000399999999</v>
      </c>
      <c r="G55" s="18">
        <v>75.680000000000007</v>
      </c>
      <c r="H55" s="18">
        <v>44.849997999999999</v>
      </c>
      <c r="I55" s="18">
        <v>241.69000199999999</v>
      </c>
      <c r="J55" s="18">
        <v>117.57</v>
      </c>
      <c r="K55" s="18">
        <v>105.019997</v>
      </c>
      <c r="L55" s="18">
        <v>44.849997999999999</v>
      </c>
      <c r="M55" s="18">
        <v>115.489998</v>
      </c>
      <c r="N55" s="18">
        <v>27.389999</v>
      </c>
      <c r="O55" s="18">
        <v>361.60998499999999</v>
      </c>
      <c r="P55" s="18">
        <v>80.730002999999996</v>
      </c>
      <c r="Q55" s="18">
        <v>104.33000199999999</v>
      </c>
      <c r="R55" s="18">
        <v>350.959991</v>
      </c>
      <c r="S55" s="18">
        <v>66.209998999999996</v>
      </c>
      <c r="T55" s="18">
        <v>135</v>
      </c>
      <c r="U55" s="18">
        <v>105.540001</v>
      </c>
      <c r="V55" s="18">
        <v>118.360001</v>
      </c>
      <c r="W55" s="18">
        <v>22.83</v>
      </c>
      <c r="X55" s="18">
        <v>89.459998999999996</v>
      </c>
      <c r="Y55" s="18">
        <v>132.28999300000001</v>
      </c>
      <c r="Z55" s="18">
        <v>33.590000000000003</v>
      </c>
      <c r="AA55" s="18">
        <v>64.089995999999999</v>
      </c>
      <c r="AB55" s="18">
        <v>185.41999799999999</v>
      </c>
      <c r="AC55" s="18">
        <v>87.199996999999996</v>
      </c>
      <c r="AD55" s="18">
        <v>122.08000199999999</v>
      </c>
      <c r="AE55" s="18">
        <v>129.729996</v>
      </c>
      <c r="AF55" s="18">
        <v>112.05999799999999</v>
      </c>
      <c r="AG55" s="18">
        <v>243.08999600000001</v>
      </c>
      <c r="AH55" s="18">
        <v>153.39999399999999</v>
      </c>
      <c r="AI55" s="18">
        <v>100.30999799999999</v>
      </c>
      <c r="AJ55" s="18">
        <v>148.949997</v>
      </c>
      <c r="AK55" s="18">
        <v>100.410004</v>
      </c>
      <c r="AL55" s="18">
        <v>55.529998999999997</v>
      </c>
      <c r="AM55" s="18">
        <v>80.680000000000007</v>
      </c>
      <c r="AN55" s="18">
        <v>56.209999000000003</v>
      </c>
      <c r="AO55" s="18">
        <v>108.910004</v>
      </c>
      <c r="AP55" s="18">
        <v>211.529999</v>
      </c>
      <c r="AQ55" s="18">
        <v>416.10000600000001</v>
      </c>
      <c r="AR55" s="18">
        <v>47.41</v>
      </c>
      <c r="AS55" s="18">
        <v>36.799999</v>
      </c>
      <c r="AT55" s="18">
        <v>33.299999</v>
      </c>
      <c r="AU55" s="18">
        <v>77.949996999999996</v>
      </c>
      <c r="AV55" s="18">
        <v>55.509998000000003</v>
      </c>
      <c r="AW55" s="18">
        <v>140.13000500000001</v>
      </c>
      <c r="AX55" s="18">
        <v>83.589995999999999</v>
      </c>
      <c r="AY55" s="18">
        <v>47.880001</v>
      </c>
      <c r="AZ55" s="18">
        <v>112.75</v>
      </c>
      <c r="BA55" s="18">
        <v>105.790001</v>
      </c>
      <c r="BB55" s="18">
        <v>91.400002000000001</v>
      </c>
      <c r="BC55" s="18">
        <v>24.26</v>
      </c>
      <c r="BD55" s="18">
        <v>93.779999000000004</v>
      </c>
      <c r="BE55" s="18">
        <v>66.879997000000003</v>
      </c>
      <c r="BF55" s="18">
        <v>221.89999399999999</v>
      </c>
      <c r="BG55" s="18">
        <v>51.919998</v>
      </c>
      <c r="BH55" s="18">
        <v>55.41</v>
      </c>
      <c r="BI55" s="18">
        <v>121.449997</v>
      </c>
      <c r="BJ55" s="18">
        <v>6.69</v>
      </c>
      <c r="BK55" s="18">
        <v>84.239998</v>
      </c>
      <c r="BL55" s="18">
        <v>208.19000199999999</v>
      </c>
      <c r="BM55" s="18">
        <v>133.28999300000001</v>
      </c>
      <c r="BN55" s="18">
        <v>84.389999000000003</v>
      </c>
      <c r="BO55" s="18">
        <v>143.25</v>
      </c>
      <c r="BP55" s="18">
        <v>231.529999</v>
      </c>
      <c r="BQ55" s="18">
        <v>162.220001</v>
      </c>
      <c r="BR55" s="18">
        <v>113.010002</v>
      </c>
      <c r="BS55" s="18">
        <v>121.32</v>
      </c>
      <c r="BT55" s="18">
        <v>100.519997</v>
      </c>
      <c r="BU55" s="18">
        <v>121.510002</v>
      </c>
      <c r="BV55" s="18">
        <v>68.930000000000007</v>
      </c>
      <c r="BW55" s="18">
        <v>33.740001999999997</v>
      </c>
      <c r="BX55" s="18">
        <v>44.66</v>
      </c>
      <c r="BY55" s="18">
        <v>86.599997999999999</v>
      </c>
      <c r="BZ55" s="18">
        <v>132.80999800000001</v>
      </c>
      <c r="CA55" s="18">
        <v>95.75</v>
      </c>
      <c r="CB55" s="18">
        <v>121.68</v>
      </c>
      <c r="CC55" s="18">
        <v>144.55999800000001</v>
      </c>
      <c r="CD55" s="18">
        <v>150.979996</v>
      </c>
      <c r="CE55" s="18">
        <v>17.48</v>
      </c>
      <c r="CF55" s="18">
        <v>29.860001</v>
      </c>
    </row>
    <row r="56" spans="1:84" x14ac:dyDescent="0.25">
      <c r="A56" s="17">
        <v>42947</v>
      </c>
      <c r="B56" s="18">
        <v>148.729996</v>
      </c>
      <c r="C56" s="18">
        <v>25.610001</v>
      </c>
      <c r="D56" s="18">
        <v>144.66999799999999</v>
      </c>
      <c r="E56" s="18">
        <v>109.93</v>
      </c>
      <c r="F56" s="18">
        <v>155.13999899999999</v>
      </c>
      <c r="G56" s="18">
        <v>79.989998</v>
      </c>
      <c r="H56" s="18">
        <v>45.84</v>
      </c>
      <c r="I56" s="18">
        <v>248.990005</v>
      </c>
      <c r="J56" s="18">
        <v>108.120003</v>
      </c>
      <c r="K56" s="18">
        <v>112.839996</v>
      </c>
      <c r="L56" s="18">
        <v>45.84</v>
      </c>
      <c r="M56" s="18">
        <v>116.610001</v>
      </c>
      <c r="N56" s="18">
        <v>28.02</v>
      </c>
      <c r="O56" s="18">
        <v>323.47000100000002</v>
      </c>
      <c r="P56" s="18">
        <v>80.040001000000004</v>
      </c>
      <c r="Q56" s="18">
        <v>109.19000200000001</v>
      </c>
      <c r="R56" s="18">
        <v>337.26998900000001</v>
      </c>
      <c r="S56" s="18">
        <v>70.360000999999997</v>
      </c>
      <c r="T56" s="18">
        <v>133.179993</v>
      </c>
      <c r="U56" s="18">
        <v>115.800003</v>
      </c>
      <c r="V56" s="18">
        <v>116.82</v>
      </c>
      <c r="W56" s="18">
        <v>24.139999</v>
      </c>
      <c r="X56" s="18">
        <v>95.989998</v>
      </c>
      <c r="Y56" s="18">
        <v>132.720001</v>
      </c>
      <c r="Z56" s="18">
        <v>33.159999999999997</v>
      </c>
      <c r="AA56" s="18">
        <v>63.880001</v>
      </c>
      <c r="AB56" s="18">
        <v>191.80999800000001</v>
      </c>
      <c r="AC56" s="18">
        <v>80.339995999999999</v>
      </c>
      <c r="AD56" s="18">
        <v>110.83000199999999</v>
      </c>
      <c r="AE56" s="18">
        <v>128.39999399999999</v>
      </c>
      <c r="AF56" s="18">
        <v>114.33000199999999</v>
      </c>
      <c r="AG56" s="18">
        <v>252.33000200000001</v>
      </c>
      <c r="AH56" s="18">
        <v>149.60000600000001</v>
      </c>
      <c r="AI56" s="18">
        <v>104.19000200000001</v>
      </c>
      <c r="AJ56" s="18">
        <v>156.470001</v>
      </c>
      <c r="AK56" s="18">
        <v>104.370003</v>
      </c>
      <c r="AL56" s="18">
        <v>56.759998000000003</v>
      </c>
      <c r="AM56" s="18">
        <v>101.730003</v>
      </c>
      <c r="AN56" s="18">
        <v>55.57</v>
      </c>
      <c r="AO56" s="18">
        <v>102.959999</v>
      </c>
      <c r="AP56" s="18">
        <v>186.5</v>
      </c>
      <c r="AQ56" s="18">
        <v>343.76998900000001</v>
      </c>
      <c r="AR56" s="18">
        <v>49.450001</v>
      </c>
      <c r="AS56" s="18">
        <v>38.900002000000001</v>
      </c>
      <c r="AT56" s="18">
        <v>33.380001</v>
      </c>
      <c r="AU56" s="18">
        <v>81.099997999999999</v>
      </c>
      <c r="AV56" s="18">
        <v>56.98</v>
      </c>
      <c r="AW56" s="18">
        <v>146.08999600000001</v>
      </c>
      <c r="AX56" s="18">
        <v>85.120002999999997</v>
      </c>
      <c r="AY56" s="18">
        <v>47.93</v>
      </c>
      <c r="AZ56" s="18">
        <v>113.010002</v>
      </c>
      <c r="BA56" s="18">
        <v>107.05999799999999</v>
      </c>
      <c r="BB56" s="18">
        <v>91.800003000000004</v>
      </c>
      <c r="BC56" s="18">
        <v>24.120000999999998</v>
      </c>
      <c r="BD56" s="18">
        <v>99.559997999999993</v>
      </c>
      <c r="BE56" s="18">
        <v>68.449996999999996</v>
      </c>
      <c r="BF56" s="18">
        <v>225.33000200000001</v>
      </c>
      <c r="BG56" s="18">
        <v>52.779998999999997</v>
      </c>
      <c r="BH56" s="18">
        <v>53.939999</v>
      </c>
      <c r="BI56" s="18">
        <v>127.800003</v>
      </c>
      <c r="BJ56" s="18">
        <v>6.82</v>
      </c>
      <c r="BK56" s="18">
        <v>85.230002999999996</v>
      </c>
      <c r="BL56" s="18">
        <v>201.16999799999999</v>
      </c>
      <c r="BM56" s="18">
        <v>136.11999499999999</v>
      </c>
      <c r="BN56" s="18">
        <v>81.489998</v>
      </c>
      <c r="BO56" s="18">
        <v>140.71000699999999</v>
      </c>
      <c r="BP56" s="18">
        <v>232.46000699999999</v>
      </c>
      <c r="BQ56" s="18">
        <v>167.89999399999999</v>
      </c>
      <c r="BR56" s="18">
        <v>116.540001</v>
      </c>
      <c r="BS56" s="18">
        <v>127</v>
      </c>
      <c r="BT56" s="18">
        <v>101.720001</v>
      </c>
      <c r="BU56" s="18">
        <v>130.679993</v>
      </c>
      <c r="BV56" s="18">
        <v>72.699996999999996</v>
      </c>
      <c r="BW56" s="18">
        <v>35.470001000000003</v>
      </c>
      <c r="BX56" s="18">
        <v>48.400002000000001</v>
      </c>
      <c r="BY56" s="18">
        <v>90.800003000000004</v>
      </c>
      <c r="BZ56" s="18">
        <v>137.21000699999999</v>
      </c>
      <c r="CA56" s="18">
        <v>98.870002999999997</v>
      </c>
      <c r="CB56" s="18">
        <v>129.550003</v>
      </c>
      <c r="CC56" s="18">
        <v>162.509995</v>
      </c>
      <c r="CD56" s="18">
        <v>169.25</v>
      </c>
      <c r="CE56" s="18">
        <v>19.100000000000001</v>
      </c>
      <c r="CF56" s="18">
        <v>28.120000999999998</v>
      </c>
    </row>
    <row r="57" spans="1:84" x14ac:dyDescent="0.25">
      <c r="A57" s="17">
        <v>42978</v>
      </c>
      <c r="B57" s="18">
        <v>164</v>
      </c>
      <c r="C57" s="18">
        <v>24.549999</v>
      </c>
      <c r="D57" s="18">
        <v>143.029999</v>
      </c>
      <c r="E57" s="18">
        <v>101.199997</v>
      </c>
      <c r="F57" s="18">
        <v>159.970001</v>
      </c>
      <c r="G57" s="18">
        <v>78.069999999999993</v>
      </c>
      <c r="H57" s="18">
        <v>45.549999</v>
      </c>
      <c r="I57" s="18">
        <v>253.11999499999999</v>
      </c>
      <c r="J57" s="18">
        <v>99.690002000000007</v>
      </c>
      <c r="K57" s="18">
        <v>112.980003</v>
      </c>
      <c r="L57" s="18">
        <v>45.549999</v>
      </c>
      <c r="M57" s="18">
        <v>115.730003</v>
      </c>
      <c r="N57" s="18">
        <v>28.1</v>
      </c>
      <c r="O57" s="18">
        <v>355.89999399999999</v>
      </c>
      <c r="P57" s="18">
        <v>76.330001999999993</v>
      </c>
      <c r="Q57" s="18">
        <v>107.620003</v>
      </c>
      <c r="R57" s="18">
        <v>339.26998900000001</v>
      </c>
      <c r="S57" s="18">
        <v>76.910004000000001</v>
      </c>
      <c r="T57" s="18">
        <v>136.85000600000001</v>
      </c>
      <c r="U57" s="18">
        <v>116.260002</v>
      </c>
      <c r="V57" s="18">
        <v>117.199997</v>
      </c>
      <c r="W57" s="18">
        <v>19.98</v>
      </c>
      <c r="X57" s="18">
        <v>95.589995999999999</v>
      </c>
      <c r="Y57" s="18">
        <v>132.36999499999999</v>
      </c>
      <c r="Z57" s="18">
        <v>33.919998</v>
      </c>
      <c r="AA57" s="18">
        <v>63.860000999999997</v>
      </c>
      <c r="AB57" s="18">
        <v>198.89999399999999</v>
      </c>
      <c r="AC57" s="18">
        <v>78.660004000000001</v>
      </c>
      <c r="AD57" s="18">
        <v>108.129997</v>
      </c>
      <c r="AE57" s="18">
        <v>130.800003</v>
      </c>
      <c r="AF57" s="18">
        <v>104.839996</v>
      </c>
      <c r="AG57" s="18">
        <v>229.479996</v>
      </c>
      <c r="AH57" s="18">
        <v>149.86999499999999</v>
      </c>
      <c r="AI57" s="18">
        <v>129.91000399999999</v>
      </c>
      <c r="AJ57" s="18">
        <v>148.36000100000001</v>
      </c>
      <c r="AK57" s="18">
        <v>99.68</v>
      </c>
      <c r="AL57" s="18">
        <v>50.200001</v>
      </c>
      <c r="AM57" s="18">
        <v>113.510002</v>
      </c>
      <c r="AN57" s="18">
        <v>59.509998000000003</v>
      </c>
      <c r="AO57" s="18">
        <v>105.300003</v>
      </c>
      <c r="AP57" s="18">
        <v>182.259995</v>
      </c>
      <c r="AQ57" s="18">
        <v>316.709991</v>
      </c>
      <c r="AR57" s="18">
        <v>49.299999</v>
      </c>
      <c r="AS57" s="18">
        <v>37.450001</v>
      </c>
      <c r="AT57" s="18">
        <v>33.400002000000001</v>
      </c>
      <c r="AU57" s="18">
        <v>80.900002000000001</v>
      </c>
      <c r="AV57" s="18">
        <v>54.240001999999997</v>
      </c>
      <c r="AW57" s="18">
        <v>150.509995</v>
      </c>
      <c r="AX57" s="18">
        <v>87.300003000000004</v>
      </c>
      <c r="AY57" s="18">
        <v>48.259998000000003</v>
      </c>
      <c r="AZ57" s="18">
        <v>117.93</v>
      </c>
      <c r="BA57" s="18">
        <v>112.32</v>
      </c>
      <c r="BB57" s="18">
        <v>90.889999000000003</v>
      </c>
      <c r="BC57" s="18">
        <v>23.889999</v>
      </c>
      <c r="BD57" s="18">
        <v>103.519997</v>
      </c>
      <c r="BE57" s="18">
        <v>68.029999000000004</v>
      </c>
      <c r="BF57" s="18">
        <v>223.740005</v>
      </c>
      <c r="BG57" s="18">
        <v>51.25</v>
      </c>
      <c r="BH57" s="18">
        <v>51.07</v>
      </c>
      <c r="BI57" s="18">
        <v>133.300003</v>
      </c>
      <c r="BJ57" s="18">
        <v>6.51</v>
      </c>
      <c r="BK57" s="18">
        <v>86.099997999999999</v>
      </c>
      <c r="BL57" s="18">
        <v>204.320007</v>
      </c>
      <c r="BM57" s="18">
        <v>138.270004</v>
      </c>
      <c r="BN57" s="18">
        <v>83.419998000000007</v>
      </c>
      <c r="BO57" s="18">
        <v>137.509995</v>
      </c>
      <c r="BP57" s="18">
        <v>230.66000399999999</v>
      </c>
      <c r="BQ57" s="18">
        <v>159.38000500000001</v>
      </c>
      <c r="BR57" s="18">
        <v>117.58000199999999</v>
      </c>
      <c r="BS57" s="18">
        <v>109.300003</v>
      </c>
      <c r="BT57" s="18">
        <v>103.089996</v>
      </c>
      <c r="BU57" s="18">
        <v>121.699997</v>
      </c>
      <c r="BV57" s="18">
        <v>74.769997000000004</v>
      </c>
      <c r="BW57" s="18">
        <v>35.07</v>
      </c>
      <c r="BX57" s="18">
        <v>47.970001000000003</v>
      </c>
      <c r="BY57" s="18">
        <v>95.489998</v>
      </c>
      <c r="BZ57" s="18">
        <v>141.449997</v>
      </c>
      <c r="CA57" s="18">
        <v>107.5</v>
      </c>
      <c r="CB57" s="18">
        <v>128.820007</v>
      </c>
      <c r="CC57" s="18">
        <v>169.44000199999999</v>
      </c>
      <c r="CD57" s="18">
        <v>171.970001</v>
      </c>
      <c r="CE57" s="18">
        <v>19.079999999999998</v>
      </c>
      <c r="CF57" s="18">
        <v>31.969999000000001</v>
      </c>
    </row>
    <row r="58" spans="1:84" x14ac:dyDescent="0.25">
      <c r="A58" s="17">
        <v>43008</v>
      </c>
      <c r="B58" s="18">
        <v>154.11999499999999</v>
      </c>
      <c r="C58" s="18">
        <v>24.18</v>
      </c>
      <c r="D58" s="18">
        <v>145.08000200000001</v>
      </c>
      <c r="E58" s="18">
        <v>98.57</v>
      </c>
      <c r="F58" s="18">
        <v>156.679993</v>
      </c>
      <c r="G58" s="18">
        <v>78.139999000000003</v>
      </c>
      <c r="H58" s="18">
        <v>45.009998000000003</v>
      </c>
      <c r="I58" s="18">
        <v>247.509995</v>
      </c>
      <c r="J58" s="18">
        <v>108.16999800000001</v>
      </c>
      <c r="K58" s="18">
        <v>119.16999800000001</v>
      </c>
      <c r="L58" s="18">
        <v>45.009998000000003</v>
      </c>
      <c r="M58" s="18">
        <v>111.43</v>
      </c>
      <c r="N58" s="18">
        <v>29.559999000000001</v>
      </c>
      <c r="O58" s="18">
        <v>341.10000600000001</v>
      </c>
      <c r="P58" s="18">
        <v>81.980002999999996</v>
      </c>
      <c r="Q58" s="18">
        <v>117.5</v>
      </c>
      <c r="R58" s="18">
        <v>358.040009</v>
      </c>
      <c r="S58" s="18">
        <v>83.089995999999999</v>
      </c>
      <c r="T58" s="18">
        <v>142.91000399999999</v>
      </c>
      <c r="U58" s="18">
        <v>136.30999800000001</v>
      </c>
      <c r="V58" s="18">
        <v>119.82</v>
      </c>
      <c r="W58" s="18">
        <v>21.59</v>
      </c>
      <c r="X58" s="18">
        <v>97.339995999999999</v>
      </c>
      <c r="Y58" s="18">
        <v>130.009995</v>
      </c>
      <c r="Z58" s="18">
        <v>35.700001</v>
      </c>
      <c r="AA58" s="18">
        <v>64.029999000000004</v>
      </c>
      <c r="AB58" s="18">
        <v>195.85000600000001</v>
      </c>
      <c r="AC58" s="18">
        <v>79.589995999999999</v>
      </c>
      <c r="AD58" s="18">
        <v>110.94000200000001</v>
      </c>
      <c r="AE58" s="18">
        <v>117.19000200000001</v>
      </c>
      <c r="AF58" s="18">
        <v>112.69000200000001</v>
      </c>
      <c r="AG58" s="18">
        <v>204.949997</v>
      </c>
      <c r="AH58" s="18">
        <v>163.55999800000001</v>
      </c>
      <c r="AI58" s="18">
        <v>110.260002</v>
      </c>
      <c r="AJ58" s="18">
        <v>143.94000199999999</v>
      </c>
      <c r="AK58" s="18">
        <v>105.410004</v>
      </c>
      <c r="AL58" s="18">
        <v>52.889999000000003</v>
      </c>
      <c r="AM58" s="18">
        <v>118.82</v>
      </c>
      <c r="AN58" s="18">
        <v>61.790000999999997</v>
      </c>
      <c r="AO58" s="18">
        <v>115.970001</v>
      </c>
      <c r="AP58" s="18">
        <v>198.550003</v>
      </c>
      <c r="AQ58" s="18">
        <v>307.82998700000002</v>
      </c>
      <c r="AR58" s="18">
        <v>49.25</v>
      </c>
      <c r="AS58" s="18">
        <v>38.150002000000001</v>
      </c>
      <c r="AT58" s="18">
        <v>33.189999</v>
      </c>
      <c r="AU58" s="18">
        <v>80.910004000000001</v>
      </c>
      <c r="AV58" s="18">
        <v>59.299999</v>
      </c>
      <c r="AW58" s="18">
        <v>146.550003</v>
      </c>
      <c r="AX58" s="18">
        <v>83.919998000000007</v>
      </c>
      <c r="AY58" s="18">
        <v>49.139999000000003</v>
      </c>
      <c r="AZ58" s="18">
        <v>114.129997</v>
      </c>
      <c r="BA58" s="18">
        <v>107.360001</v>
      </c>
      <c r="BB58" s="18">
        <v>95.510002</v>
      </c>
      <c r="BC58" s="18">
        <v>25.34</v>
      </c>
      <c r="BD58" s="18">
        <v>105.239998</v>
      </c>
      <c r="BE58" s="18">
        <v>72.739998</v>
      </c>
      <c r="BF58" s="18">
        <v>237.19000199999999</v>
      </c>
      <c r="BG58" s="18">
        <v>53.59</v>
      </c>
      <c r="BH58" s="18">
        <v>55.150002000000001</v>
      </c>
      <c r="BI58" s="18">
        <v>141.199997</v>
      </c>
      <c r="BJ58" s="18">
        <v>6.94</v>
      </c>
      <c r="BK58" s="18">
        <v>90.459998999999996</v>
      </c>
      <c r="BL58" s="18">
        <v>209.89999399999999</v>
      </c>
      <c r="BM58" s="18">
        <v>141.740005</v>
      </c>
      <c r="BN58" s="18">
        <v>85.779999000000004</v>
      </c>
      <c r="BO58" s="18">
        <v>147.96000699999999</v>
      </c>
      <c r="BP58" s="18">
        <v>243.39999399999999</v>
      </c>
      <c r="BQ58" s="18">
        <v>168.029999</v>
      </c>
      <c r="BR58" s="18">
        <v>121.470001</v>
      </c>
      <c r="BS58" s="18">
        <v>118.5</v>
      </c>
      <c r="BT58" s="18">
        <v>108.58000199999999</v>
      </c>
      <c r="BU58" s="18">
        <v>128.16999799999999</v>
      </c>
      <c r="BV58" s="18">
        <v>74.489998</v>
      </c>
      <c r="BW58" s="18">
        <v>38.080002</v>
      </c>
      <c r="BX58" s="18">
        <v>49.490001999999997</v>
      </c>
      <c r="BY58" s="18">
        <v>93.419998000000007</v>
      </c>
      <c r="BZ58" s="18">
        <v>142.13999899999999</v>
      </c>
      <c r="CA58" s="18">
        <v>110.860001</v>
      </c>
      <c r="CB58" s="18">
        <v>122.730003</v>
      </c>
      <c r="CC58" s="18">
        <v>178.770004</v>
      </c>
      <c r="CD58" s="18">
        <v>170.86999499999999</v>
      </c>
      <c r="CE58" s="18">
        <v>19.959999</v>
      </c>
      <c r="CF58" s="18">
        <v>39.330002</v>
      </c>
    </row>
    <row r="59" spans="1:84" x14ac:dyDescent="0.25">
      <c r="A59" s="17">
        <v>43039</v>
      </c>
      <c r="B59" s="18">
        <v>169.03999300000001</v>
      </c>
      <c r="C59" s="18">
        <v>20.16</v>
      </c>
      <c r="D59" s="18">
        <v>154.05999800000001</v>
      </c>
      <c r="E59" s="18">
        <v>97.809997999999993</v>
      </c>
      <c r="F59" s="18">
        <v>166.91000399999999</v>
      </c>
      <c r="G59" s="18">
        <v>87.309997999999993</v>
      </c>
      <c r="H59" s="18">
        <v>45.98</v>
      </c>
      <c r="I59" s="18">
        <v>261.76001000000002</v>
      </c>
      <c r="J59" s="18">
        <v>120.779999</v>
      </c>
      <c r="K59" s="18">
        <v>124</v>
      </c>
      <c r="L59" s="18">
        <v>45.98</v>
      </c>
      <c r="M59" s="18">
        <v>110.230003</v>
      </c>
      <c r="N59" s="18">
        <v>31.09</v>
      </c>
      <c r="O59" s="18">
        <v>331.52999899999998</v>
      </c>
      <c r="P59" s="18">
        <v>83.349997999999999</v>
      </c>
      <c r="Q59" s="18">
        <v>115.889999</v>
      </c>
      <c r="R59" s="18">
        <v>395.14999399999999</v>
      </c>
      <c r="S59" s="18">
        <v>84.910004000000001</v>
      </c>
      <c r="T59" s="18">
        <v>147.41999799999999</v>
      </c>
      <c r="U59" s="18">
        <v>140.88999899999999</v>
      </c>
      <c r="V59" s="18">
        <v>121.099998</v>
      </c>
      <c r="W59" s="18">
        <v>22.34</v>
      </c>
      <c r="X59" s="18">
        <v>99.620002999999997</v>
      </c>
      <c r="Y59" s="18">
        <v>139.41000399999999</v>
      </c>
      <c r="Z59" s="18">
        <v>35.060001</v>
      </c>
      <c r="AA59" s="18">
        <v>55.09</v>
      </c>
      <c r="AB59" s="18">
        <v>210.220001</v>
      </c>
      <c r="AC59" s="18">
        <v>75.650002000000001</v>
      </c>
      <c r="AD59" s="18">
        <v>102.699997</v>
      </c>
      <c r="AE59" s="18">
        <v>118.589996</v>
      </c>
      <c r="AF59" s="18">
        <v>112.41999800000001</v>
      </c>
      <c r="AG59" s="18">
        <v>177.229996</v>
      </c>
      <c r="AH59" s="18">
        <v>165.779999</v>
      </c>
      <c r="AI59" s="18">
        <v>119.480003</v>
      </c>
      <c r="AJ59" s="18">
        <v>124.660004</v>
      </c>
      <c r="AK59" s="18">
        <v>106.849998</v>
      </c>
      <c r="AL59" s="18">
        <v>55.59</v>
      </c>
      <c r="AM59" s="18">
        <v>133.88999899999999</v>
      </c>
      <c r="AN59" s="18">
        <v>62.66</v>
      </c>
      <c r="AO59" s="18">
        <v>115.790001</v>
      </c>
      <c r="AP59" s="18">
        <v>183</v>
      </c>
      <c r="AQ59" s="18">
        <v>271.89999399999999</v>
      </c>
      <c r="AR59" s="18">
        <v>53.75</v>
      </c>
      <c r="AS59" s="18">
        <v>42</v>
      </c>
      <c r="AT59" s="18">
        <v>35.479999999999997</v>
      </c>
      <c r="AU59" s="18">
        <v>87.760002</v>
      </c>
      <c r="AV59" s="18">
        <v>62.02</v>
      </c>
      <c r="AW59" s="18">
        <v>155.070007</v>
      </c>
      <c r="AX59" s="18">
        <v>88.309997999999993</v>
      </c>
      <c r="AY59" s="18">
        <v>52.200001</v>
      </c>
      <c r="AZ59" s="18">
        <v>117.5</v>
      </c>
      <c r="BA59" s="18">
        <v>110.459999</v>
      </c>
      <c r="BB59" s="18">
        <v>100.610001</v>
      </c>
      <c r="BC59" s="18">
        <v>27.389999</v>
      </c>
      <c r="BD59" s="18">
        <v>109.980003</v>
      </c>
      <c r="BE59" s="18">
        <v>73.5</v>
      </c>
      <c r="BF59" s="18">
        <v>242.479996</v>
      </c>
      <c r="BG59" s="18">
        <v>54.380001</v>
      </c>
      <c r="BH59" s="18">
        <v>56.139999000000003</v>
      </c>
      <c r="BI59" s="18">
        <v>148.770004</v>
      </c>
      <c r="BJ59" s="18">
        <v>6.74</v>
      </c>
      <c r="BK59" s="18">
        <v>95.519997000000004</v>
      </c>
      <c r="BL59" s="18">
        <v>230.19000199999999</v>
      </c>
      <c r="BM59" s="18">
        <v>144.16000399999999</v>
      </c>
      <c r="BN59" s="18">
        <v>92.269997000000004</v>
      </c>
      <c r="BO59" s="18">
        <v>156.520004</v>
      </c>
      <c r="BP59" s="18">
        <v>258.17001299999998</v>
      </c>
      <c r="BQ59" s="18">
        <v>176.88000500000001</v>
      </c>
      <c r="BR59" s="18">
        <v>128.21000699999999</v>
      </c>
      <c r="BS59" s="18">
        <v>126.69000200000001</v>
      </c>
      <c r="BT59" s="18">
        <v>115.989998</v>
      </c>
      <c r="BU59" s="18">
        <v>115.900002</v>
      </c>
      <c r="BV59" s="18">
        <v>83.18</v>
      </c>
      <c r="BW59" s="18">
        <v>45.490001999999997</v>
      </c>
      <c r="BX59" s="18">
        <v>47.869999</v>
      </c>
      <c r="BY59" s="18">
        <v>102.339996</v>
      </c>
      <c r="BZ59" s="18">
        <v>151.020004</v>
      </c>
      <c r="CA59" s="18">
        <v>120.83000199999999</v>
      </c>
      <c r="CB59" s="18">
        <v>136.71000699999999</v>
      </c>
      <c r="CC59" s="18">
        <v>206.80999800000001</v>
      </c>
      <c r="CD59" s="18">
        <v>180.05999800000001</v>
      </c>
      <c r="CE59" s="18">
        <v>21.549999</v>
      </c>
      <c r="CF59" s="18">
        <v>44.310001</v>
      </c>
    </row>
    <row r="60" spans="1:84" x14ac:dyDescent="0.25">
      <c r="A60" s="17">
        <v>43069</v>
      </c>
      <c r="B60" s="18">
        <v>171.85000600000001</v>
      </c>
      <c r="C60" s="18">
        <v>18.290001</v>
      </c>
      <c r="D60" s="18">
        <v>149.11999499999999</v>
      </c>
      <c r="E60" s="18">
        <v>104.82</v>
      </c>
      <c r="F60" s="18">
        <v>171.970001</v>
      </c>
      <c r="G60" s="18">
        <v>97.230002999999996</v>
      </c>
      <c r="H60" s="18">
        <v>45.77</v>
      </c>
      <c r="I60" s="18">
        <v>270.64999399999999</v>
      </c>
      <c r="J60" s="18">
        <v>125.639999</v>
      </c>
      <c r="K60" s="18">
        <v>126.339996</v>
      </c>
      <c r="L60" s="18">
        <v>45.77</v>
      </c>
      <c r="M60" s="18">
        <v>116.519997</v>
      </c>
      <c r="N60" s="18">
        <v>33.340000000000003</v>
      </c>
      <c r="O60" s="18">
        <v>308.85000600000001</v>
      </c>
      <c r="P60" s="18">
        <v>83.290001000000004</v>
      </c>
      <c r="Q60" s="18">
        <v>118.989998</v>
      </c>
      <c r="R60" s="18">
        <v>399.42001299999998</v>
      </c>
      <c r="S60" s="18">
        <v>97.93</v>
      </c>
      <c r="T60" s="18">
        <v>148.58999600000001</v>
      </c>
      <c r="U60" s="18">
        <v>134.320007</v>
      </c>
      <c r="V60" s="18">
        <v>118.339996</v>
      </c>
      <c r="W60" s="18">
        <v>24.290001</v>
      </c>
      <c r="X60" s="18">
        <v>98.900002000000001</v>
      </c>
      <c r="Y60" s="18">
        <v>139.33000200000001</v>
      </c>
      <c r="Z60" s="18">
        <v>36.259998000000003</v>
      </c>
      <c r="AA60" s="18">
        <v>55.27</v>
      </c>
      <c r="AB60" s="18">
        <v>211.13000500000001</v>
      </c>
      <c r="AC60" s="18">
        <v>85</v>
      </c>
      <c r="AD60" s="18">
        <v>108.349998</v>
      </c>
      <c r="AE60" s="18">
        <v>129.990005</v>
      </c>
      <c r="AF60" s="18">
        <v>107.300003</v>
      </c>
      <c r="AG60" s="18">
        <v>173.83000200000001</v>
      </c>
      <c r="AH60" s="18">
        <v>179.820007</v>
      </c>
      <c r="AI60" s="18">
        <v>127</v>
      </c>
      <c r="AJ60" s="18">
        <v>122.5</v>
      </c>
      <c r="AK60" s="18">
        <v>112.389999</v>
      </c>
      <c r="AL60" s="18">
        <v>58.66</v>
      </c>
      <c r="AM60" s="18">
        <v>106.709999</v>
      </c>
      <c r="AN60" s="18">
        <v>72.360000999999997</v>
      </c>
      <c r="AO60" s="18">
        <v>126.5</v>
      </c>
      <c r="AP60" s="18">
        <v>186.16000399999999</v>
      </c>
      <c r="AQ60" s="18">
        <v>304.39001500000001</v>
      </c>
      <c r="AR60" s="18">
        <v>57.689999</v>
      </c>
      <c r="AS60" s="18">
        <v>45.599997999999999</v>
      </c>
      <c r="AT60" s="18">
        <v>37.990001999999997</v>
      </c>
      <c r="AU60" s="18">
        <v>91.559997999999993</v>
      </c>
      <c r="AV60" s="18">
        <v>63.310001</v>
      </c>
      <c r="AW60" s="18">
        <v>157.28999300000001</v>
      </c>
      <c r="AX60" s="18">
        <v>89.18</v>
      </c>
      <c r="AY60" s="18">
        <v>51.200001</v>
      </c>
      <c r="AZ60" s="18">
        <v>120.989998</v>
      </c>
      <c r="BA60" s="18">
        <v>115.57</v>
      </c>
      <c r="BB60" s="18">
        <v>104.519997</v>
      </c>
      <c r="BC60" s="18">
        <v>28.17</v>
      </c>
      <c r="BD60" s="18">
        <v>112.589996</v>
      </c>
      <c r="BE60" s="18">
        <v>75.5</v>
      </c>
      <c r="BF60" s="18">
        <v>247.63999899999999</v>
      </c>
      <c r="BG60" s="18">
        <v>55.150002000000001</v>
      </c>
      <c r="BH60" s="18">
        <v>56.470001000000003</v>
      </c>
      <c r="BI60" s="18">
        <v>150.470001</v>
      </c>
      <c r="BJ60" s="18">
        <v>6.5</v>
      </c>
      <c r="BK60" s="18">
        <v>97.709998999999996</v>
      </c>
      <c r="BL60" s="18">
        <v>243.13999899999999</v>
      </c>
      <c r="BM60" s="18">
        <v>155.96000699999999</v>
      </c>
      <c r="BN60" s="18">
        <v>94.360000999999997</v>
      </c>
      <c r="BO60" s="18">
        <v>169.25</v>
      </c>
      <c r="BP60" s="18">
        <v>267.209991</v>
      </c>
      <c r="BQ60" s="18">
        <v>167.39999399999999</v>
      </c>
      <c r="BR60" s="18">
        <v>135.570007</v>
      </c>
      <c r="BS60" s="18">
        <v>128.36000100000001</v>
      </c>
      <c r="BT60" s="18">
        <v>110.32</v>
      </c>
      <c r="BU60" s="18">
        <v>127.519997</v>
      </c>
      <c r="BV60" s="18">
        <v>84.169998000000007</v>
      </c>
      <c r="BW60" s="18">
        <v>44.84</v>
      </c>
      <c r="BX60" s="18">
        <v>50.889999000000003</v>
      </c>
      <c r="BY60" s="18">
        <v>107.029999</v>
      </c>
      <c r="BZ60" s="18">
        <v>157.220001</v>
      </c>
      <c r="CA60" s="18">
        <v>126.760002</v>
      </c>
      <c r="CB60" s="18">
        <v>148.19000199999999</v>
      </c>
      <c r="CC60" s="18">
        <v>211.61000100000001</v>
      </c>
      <c r="CD60" s="18">
        <v>177.179993</v>
      </c>
      <c r="CE60" s="18">
        <v>21.450001</v>
      </c>
      <c r="CF60" s="18">
        <v>42.389999000000003</v>
      </c>
    </row>
    <row r="61" spans="1:84" x14ac:dyDescent="0.25">
      <c r="A61" s="17">
        <v>43100</v>
      </c>
      <c r="B61" s="18">
        <v>169.229996</v>
      </c>
      <c r="C61" s="18">
        <v>17.450001</v>
      </c>
      <c r="D61" s="18">
        <v>153.41999799999999</v>
      </c>
      <c r="E61" s="18">
        <v>107.510002</v>
      </c>
      <c r="F61" s="18">
        <v>172.11999499999999</v>
      </c>
      <c r="G61" s="18">
        <v>98.75</v>
      </c>
      <c r="H61" s="18">
        <v>45.880001</v>
      </c>
      <c r="I61" s="18">
        <v>275.89999399999999</v>
      </c>
      <c r="J61" s="18">
        <v>129.64999399999999</v>
      </c>
      <c r="K61" s="18">
        <v>127.16999800000001</v>
      </c>
      <c r="L61" s="18">
        <v>45.880001</v>
      </c>
      <c r="M61" s="18">
        <v>119.91999800000001</v>
      </c>
      <c r="N61" s="18">
        <v>34.080002</v>
      </c>
      <c r="O61" s="18">
        <v>311.35000600000001</v>
      </c>
      <c r="P61" s="18">
        <v>83.639999000000003</v>
      </c>
      <c r="Q61" s="18">
        <v>125.19000200000001</v>
      </c>
      <c r="R61" s="18">
        <v>410.040009</v>
      </c>
      <c r="S61" s="18">
        <v>106.529999</v>
      </c>
      <c r="T61" s="18">
        <v>152.61000100000001</v>
      </c>
      <c r="U61" s="18">
        <v>127.889999</v>
      </c>
      <c r="V61" s="18">
        <v>116.779999</v>
      </c>
      <c r="W61" s="18">
        <v>25.66</v>
      </c>
      <c r="X61" s="18">
        <v>106.989998</v>
      </c>
      <c r="Y61" s="18">
        <v>139.720001</v>
      </c>
      <c r="Z61" s="18">
        <v>36.220001000000003</v>
      </c>
      <c r="AA61" s="18">
        <v>56.27</v>
      </c>
      <c r="AB61" s="18">
        <v>220.46000699999999</v>
      </c>
      <c r="AC61" s="18">
        <v>87.839995999999999</v>
      </c>
      <c r="AD61" s="18">
        <v>113.349998</v>
      </c>
      <c r="AE61" s="18">
        <v>147.949997</v>
      </c>
      <c r="AF61" s="18">
        <v>104.709999</v>
      </c>
      <c r="AG61" s="18">
        <v>163.58000200000001</v>
      </c>
      <c r="AH61" s="18">
        <v>189.529999</v>
      </c>
      <c r="AI61" s="18">
        <v>135.729996</v>
      </c>
      <c r="AJ61" s="18">
        <v>119.769997</v>
      </c>
      <c r="AK61" s="18">
        <v>115.870003</v>
      </c>
      <c r="AL61" s="18">
        <v>63.509998000000003</v>
      </c>
      <c r="AM61" s="18">
        <v>144.429993</v>
      </c>
      <c r="AN61" s="18">
        <v>73.540001000000004</v>
      </c>
      <c r="AO61" s="18">
        <v>134.10000600000001</v>
      </c>
      <c r="AP61" s="18">
        <v>188.96000699999999</v>
      </c>
      <c r="AQ61" s="18">
        <v>289.02999899999998</v>
      </c>
      <c r="AR61" s="18">
        <v>57.91</v>
      </c>
      <c r="AS61" s="18">
        <v>45.349997999999999</v>
      </c>
      <c r="AT61" s="18">
        <v>39.229999999999997</v>
      </c>
      <c r="AU61" s="18">
        <v>91.489998</v>
      </c>
      <c r="AV61" s="18">
        <v>57.41</v>
      </c>
      <c r="AW61" s="18">
        <v>156.19000199999999</v>
      </c>
      <c r="AX61" s="18">
        <v>84.110000999999997</v>
      </c>
      <c r="AY61" s="18">
        <v>48.09</v>
      </c>
      <c r="AZ61" s="18">
        <v>106.91999800000001</v>
      </c>
      <c r="BA61" s="18">
        <v>109.459999</v>
      </c>
      <c r="BB61" s="18">
        <v>106.94000200000001</v>
      </c>
      <c r="BC61" s="18">
        <v>29.52</v>
      </c>
      <c r="BD61" s="18">
        <v>114.019997</v>
      </c>
      <c r="BE61" s="18">
        <v>74.410004000000001</v>
      </c>
      <c r="BF61" s="18">
        <v>254.759995</v>
      </c>
      <c r="BG61" s="18">
        <v>53.580002</v>
      </c>
      <c r="BH61" s="18">
        <v>60.669998</v>
      </c>
      <c r="BI61" s="18">
        <v>151.36000100000001</v>
      </c>
      <c r="BJ61" s="18">
        <v>6.54</v>
      </c>
      <c r="BK61" s="18">
        <v>99.309997999999993</v>
      </c>
      <c r="BL61" s="18">
        <v>235.36999499999999</v>
      </c>
      <c r="BM61" s="18">
        <v>153.36000100000001</v>
      </c>
      <c r="BN61" s="18">
        <v>92.82</v>
      </c>
      <c r="BO61" s="18">
        <v>166.85000600000001</v>
      </c>
      <c r="BP61" s="18">
        <v>259</v>
      </c>
      <c r="BQ61" s="18">
        <v>176.63999899999999</v>
      </c>
      <c r="BR61" s="18">
        <v>131.970001</v>
      </c>
      <c r="BS61" s="18">
        <v>146.39999399999999</v>
      </c>
      <c r="BT61" s="18">
        <v>103.800003</v>
      </c>
      <c r="BU61" s="18">
        <v>134.949997</v>
      </c>
      <c r="BV61" s="18">
        <v>85.540001000000004</v>
      </c>
      <c r="BW61" s="18">
        <v>46.16</v>
      </c>
      <c r="BX61" s="18">
        <v>52.93</v>
      </c>
      <c r="BY61" s="18">
        <v>102.230003</v>
      </c>
      <c r="BZ61" s="18">
        <v>157.779999</v>
      </c>
      <c r="CA61" s="18">
        <v>120.099998</v>
      </c>
      <c r="CB61" s="18">
        <v>147.58999600000001</v>
      </c>
      <c r="CC61" s="18">
        <v>193.5</v>
      </c>
      <c r="CD61" s="18">
        <v>176.46000699999999</v>
      </c>
      <c r="CE61" s="18">
        <v>21.01</v>
      </c>
      <c r="CF61" s="18">
        <v>41.119999</v>
      </c>
    </row>
    <row r="62" spans="1:84" x14ac:dyDescent="0.25">
      <c r="A62" s="17">
        <v>43131</v>
      </c>
      <c r="B62" s="18">
        <v>167.429993</v>
      </c>
      <c r="C62" s="18">
        <v>16.170000000000002</v>
      </c>
      <c r="D62" s="18">
        <v>163.699997</v>
      </c>
      <c r="E62" s="18">
        <v>108.66999800000001</v>
      </c>
      <c r="F62" s="18">
        <v>171.13999899999999</v>
      </c>
      <c r="G62" s="18">
        <v>106.599998</v>
      </c>
      <c r="H62" s="18">
        <v>47.59</v>
      </c>
      <c r="I62" s="18">
        <v>281.05999800000001</v>
      </c>
      <c r="J62" s="18">
        <v>135.240005</v>
      </c>
      <c r="K62" s="18">
        <v>137.91999799999999</v>
      </c>
      <c r="L62" s="18">
        <v>47.59</v>
      </c>
      <c r="M62" s="18">
        <v>120.300003</v>
      </c>
      <c r="N62" s="18">
        <v>35.290000999999997</v>
      </c>
      <c r="O62" s="18">
        <v>354.30999800000001</v>
      </c>
      <c r="P62" s="18">
        <v>87.300003000000004</v>
      </c>
      <c r="Q62" s="18">
        <v>125.349998</v>
      </c>
      <c r="R62" s="18">
        <v>417.10998499999999</v>
      </c>
      <c r="S62" s="18">
        <v>112.599998</v>
      </c>
      <c r="T62" s="18">
        <v>150.300003</v>
      </c>
      <c r="U62" s="18">
        <v>111.589996</v>
      </c>
      <c r="V62" s="18">
        <v>121.800003</v>
      </c>
      <c r="W62" s="18">
        <v>27.299999</v>
      </c>
      <c r="X62" s="18">
        <v>90.269997000000004</v>
      </c>
      <c r="Y62" s="18">
        <v>138.19000199999999</v>
      </c>
      <c r="Z62" s="18">
        <v>37.040000999999997</v>
      </c>
      <c r="AA62" s="18">
        <v>59.25</v>
      </c>
      <c r="AB62" s="18">
        <v>236.779999</v>
      </c>
      <c r="AC62" s="18">
        <v>101.160004</v>
      </c>
      <c r="AD62" s="18">
        <v>121.5</v>
      </c>
      <c r="AE62" s="18">
        <v>129</v>
      </c>
      <c r="AF62" s="18">
        <v>101.69000200000001</v>
      </c>
      <c r="AG62" s="18">
        <v>180.259995</v>
      </c>
      <c r="AH62" s="18">
        <v>200.89999399999999</v>
      </c>
      <c r="AI62" s="18">
        <v>147.33999600000001</v>
      </c>
      <c r="AJ62" s="18">
        <v>128.009995</v>
      </c>
      <c r="AK62" s="18">
        <v>124.129997</v>
      </c>
      <c r="AL62" s="18">
        <v>67.069999999999993</v>
      </c>
      <c r="AM62" s="18">
        <v>149.490005</v>
      </c>
      <c r="AN62" s="18">
        <v>81.300003000000004</v>
      </c>
      <c r="AO62" s="18">
        <v>133.5</v>
      </c>
      <c r="AP62" s="18">
        <v>216.85000600000001</v>
      </c>
      <c r="AQ62" s="18">
        <v>324.76001000000002</v>
      </c>
      <c r="AR62" s="18">
        <v>55.220001000000003</v>
      </c>
      <c r="AS62" s="18">
        <v>40.700001</v>
      </c>
      <c r="AT62" s="18">
        <v>36.209999000000003</v>
      </c>
      <c r="AU62" s="18">
        <v>83.169998000000007</v>
      </c>
      <c r="AV62" s="18">
        <v>53.049999</v>
      </c>
      <c r="AW62" s="18">
        <v>158.41999799999999</v>
      </c>
      <c r="AX62" s="18">
        <v>78.5</v>
      </c>
      <c r="AY62" s="18">
        <v>45.110000999999997</v>
      </c>
      <c r="AZ62" s="18">
        <v>107.019997</v>
      </c>
      <c r="BA62" s="18">
        <v>105.639999</v>
      </c>
      <c r="BB62" s="18">
        <v>115.66999800000001</v>
      </c>
      <c r="BC62" s="18">
        <v>32</v>
      </c>
      <c r="BD62" s="18">
        <v>124.230003</v>
      </c>
      <c r="BE62" s="18">
        <v>78.480002999999996</v>
      </c>
      <c r="BF62" s="18">
        <v>267.89001500000001</v>
      </c>
      <c r="BG62" s="18">
        <v>57.139999000000003</v>
      </c>
      <c r="BH62" s="18">
        <v>65.779999000000004</v>
      </c>
      <c r="BI62" s="18">
        <v>169</v>
      </c>
      <c r="BJ62" s="18">
        <v>7.41</v>
      </c>
      <c r="BK62" s="18">
        <v>99.400002000000001</v>
      </c>
      <c r="BL62" s="18">
        <v>250.5</v>
      </c>
      <c r="BM62" s="18">
        <v>159.66999799999999</v>
      </c>
      <c r="BN62" s="18">
        <v>101.279999</v>
      </c>
      <c r="BO62" s="18">
        <v>173.66999799999999</v>
      </c>
      <c r="BP62" s="18">
        <v>280.58999599999999</v>
      </c>
      <c r="BQ62" s="18">
        <v>188</v>
      </c>
      <c r="BR62" s="18">
        <v>143.479996</v>
      </c>
      <c r="BS62" s="18">
        <v>143.720001</v>
      </c>
      <c r="BT62" s="18">
        <v>123.160004</v>
      </c>
      <c r="BU62" s="18">
        <v>136.259995</v>
      </c>
      <c r="BV62" s="18">
        <v>95.010002</v>
      </c>
      <c r="BW62" s="18">
        <v>48.139999000000003</v>
      </c>
      <c r="BX62" s="18">
        <v>54.07</v>
      </c>
      <c r="BY62" s="18">
        <v>113.910004</v>
      </c>
      <c r="BZ62" s="18">
        <v>167.89999399999999</v>
      </c>
      <c r="CA62" s="18">
        <v>131.38000500000001</v>
      </c>
      <c r="CB62" s="18">
        <v>161.64999399999999</v>
      </c>
      <c r="CC62" s="18">
        <v>245.800003</v>
      </c>
      <c r="CD62" s="18">
        <v>186.88999899999999</v>
      </c>
      <c r="CE62" s="18">
        <v>23.32</v>
      </c>
      <c r="CF62" s="18">
        <v>43.720001000000003</v>
      </c>
    </row>
    <row r="63" spans="1:84" x14ac:dyDescent="0.25">
      <c r="A63" s="17">
        <v>43159</v>
      </c>
      <c r="B63" s="18">
        <v>178.11999499999999</v>
      </c>
      <c r="C63" s="18">
        <v>14.11</v>
      </c>
      <c r="D63" s="18">
        <v>155.83000200000001</v>
      </c>
      <c r="E63" s="18">
        <v>103.160004</v>
      </c>
      <c r="F63" s="18">
        <v>157.740005</v>
      </c>
      <c r="G63" s="18">
        <v>90.010002</v>
      </c>
      <c r="H63" s="18">
        <v>43.220001000000003</v>
      </c>
      <c r="I63" s="18">
        <v>239.88000500000001</v>
      </c>
      <c r="J63" s="18">
        <v>138.029999</v>
      </c>
      <c r="K63" s="18">
        <v>134.60000600000001</v>
      </c>
      <c r="L63" s="18">
        <v>43.220001000000003</v>
      </c>
      <c r="M63" s="18">
        <v>109.730003</v>
      </c>
      <c r="N63" s="18">
        <v>36.090000000000003</v>
      </c>
      <c r="O63" s="18">
        <v>343.05999800000001</v>
      </c>
      <c r="P63" s="18">
        <v>75.739998</v>
      </c>
      <c r="Q63" s="18">
        <v>111.91999800000001</v>
      </c>
      <c r="R63" s="18">
        <v>401.57998700000002</v>
      </c>
      <c r="S63" s="18">
        <v>108.260002</v>
      </c>
      <c r="T63" s="18">
        <v>141.25</v>
      </c>
      <c r="U63" s="18">
        <v>100.43</v>
      </c>
      <c r="V63" s="18">
        <v>123.370003</v>
      </c>
      <c r="W63" s="18">
        <v>26.32</v>
      </c>
      <c r="X63" s="18">
        <v>89.839995999999999</v>
      </c>
      <c r="Y63" s="18">
        <v>129.88000500000001</v>
      </c>
      <c r="Z63" s="18">
        <v>36.310001</v>
      </c>
      <c r="AA63" s="18">
        <v>54.220001000000003</v>
      </c>
      <c r="AB63" s="18">
        <v>226.16000399999999</v>
      </c>
      <c r="AC63" s="18">
        <v>99.25</v>
      </c>
      <c r="AD63" s="18">
        <v>114.199997</v>
      </c>
      <c r="AE63" s="18">
        <v>115.849998</v>
      </c>
      <c r="AF63" s="18">
        <v>98.150002000000001</v>
      </c>
      <c r="AG63" s="18">
        <v>154.220001</v>
      </c>
      <c r="AH63" s="18">
        <v>182.270004</v>
      </c>
      <c r="AI63" s="18">
        <v>141.21000699999999</v>
      </c>
      <c r="AJ63" s="18">
        <v>105.16999800000001</v>
      </c>
      <c r="AK63" s="18">
        <v>115.779999</v>
      </c>
      <c r="AL63" s="18">
        <v>64.790001000000004</v>
      </c>
      <c r="AM63" s="18">
        <v>151.89999399999999</v>
      </c>
      <c r="AN63" s="18">
        <v>77.269997000000004</v>
      </c>
      <c r="AO63" s="18">
        <v>130.25</v>
      </c>
      <c r="AP63" s="18">
        <v>222.41000399999999</v>
      </c>
      <c r="AQ63" s="18">
        <v>318.41000400000001</v>
      </c>
      <c r="AR63" s="18">
        <v>53.119999</v>
      </c>
      <c r="AS63" s="18">
        <v>37.950001</v>
      </c>
      <c r="AT63" s="18">
        <v>34.189999</v>
      </c>
      <c r="AU63" s="18">
        <v>79.360000999999997</v>
      </c>
      <c r="AV63" s="18">
        <v>51.630001</v>
      </c>
      <c r="AW63" s="18">
        <v>152.14999399999999</v>
      </c>
      <c r="AX63" s="18">
        <v>75.339995999999999</v>
      </c>
      <c r="AY63" s="18">
        <v>43.060001</v>
      </c>
      <c r="AZ63" s="18">
        <v>108.980003</v>
      </c>
      <c r="BA63" s="18">
        <v>100.779999</v>
      </c>
      <c r="BB63" s="18">
        <v>115.5</v>
      </c>
      <c r="BC63" s="18">
        <v>32.099997999999999</v>
      </c>
      <c r="BD63" s="18">
        <v>122.94000200000001</v>
      </c>
      <c r="BE63" s="18">
        <v>75.489998</v>
      </c>
      <c r="BF63" s="18">
        <v>262.92999300000002</v>
      </c>
      <c r="BG63" s="18">
        <v>54.360000999999997</v>
      </c>
      <c r="BH63" s="18">
        <v>58.41</v>
      </c>
      <c r="BI63" s="18">
        <v>175.759995</v>
      </c>
      <c r="BJ63" s="18">
        <v>6.87</v>
      </c>
      <c r="BK63" s="18">
        <v>97.510002</v>
      </c>
      <c r="BL63" s="18">
        <v>235.509995</v>
      </c>
      <c r="BM63" s="18">
        <v>151.11000100000001</v>
      </c>
      <c r="BN63" s="18">
        <v>97.779999000000004</v>
      </c>
      <c r="BO63" s="18">
        <v>161.44000199999999</v>
      </c>
      <c r="BP63" s="18">
        <v>275.08999599999999</v>
      </c>
      <c r="BQ63" s="18">
        <v>168.16999799999999</v>
      </c>
      <c r="BR63" s="18">
        <v>136.800003</v>
      </c>
      <c r="BS63" s="18">
        <v>134.070007</v>
      </c>
      <c r="BT63" s="18">
        <v>138.13999899999999</v>
      </c>
      <c r="BU63" s="18">
        <v>120.25</v>
      </c>
      <c r="BV63" s="18">
        <v>93.769997000000004</v>
      </c>
      <c r="BW63" s="18">
        <v>49.290000999999997</v>
      </c>
      <c r="BX63" s="18">
        <v>47.740001999999997</v>
      </c>
      <c r="BY63" s="18">
        <v>116.25</v>
      </c>
      <c r="BZ63" s="18">
        <v>166.86000100000001</v>
      </c>
      <c r="CA63" s="18">
        <v>147.39999399999999</v>
      </c>
      <c r="CB63" s="18">
        <v>159.94000199999999</v>
      </c>
      <c r="CC63" s="18">
        <v>242</v>
      </c>
      <c r="CD63" s="18">
        <v>178.320007</v>
      </c>
      <c r="CE63" s="18">
        <v>23.389999</v>
      </c>
      <c r="CF63" s="18">
        <v>48.810001</v>
      </c>
    </row>
    <row r="64" spans="1:84" x14ac:dyDescent="0.25">
      <c r="A64" s="17">
        <v>43190</v>
      </c>
      <c r="B64" s="18">
        <v>167.779999</v>
      </c>
      <c r="C64" s="18">
        <v>13.48</v>
      </c>
      <c r="D64" s="18">
        <v>153.429993</v>
      </c>
      <c r="E64" s="18">
        <v>100.44000200000001</v>
      </c>
      <c r="F64" s="18">
        <v>156.38000500000001</v>
      </c>
      <c r="G64" s="18">
        <v>88.970000999999996</v>
      </c>
      <c r="H64" s="18">
        <v>43.43</v>
      </c>
      <c r="I64" s="18">
        <v>232.220001</v>
      </c>
      <c r="J64" s="18">
        <v>146.220001</v>
      </c>
      <c r="K64" s="18">
        <v>130.36999499999999</v>
      </c>
      <c r="L64" s="18">
        <v>43.43</v>
      </c>
      <c r="M64" s="18">
        <v>109.150002</v>
      </c>
      <c r="N64" s="18">
        <v>34.729999999999997</v>
      </c>
      <c r="O64" s="18">
        <v>266.13000499999998</v>
      </c>
      <c r="P64" s="18">
        <v>74.610000999999997</v>
      </c>
      <c r="Q64" s="18">
        <v>114.040001</v>
      </c>
      <c r="R64" s="18">
        <v>392.11999500000002</v>
      </c>
      <c r="S64" s="18">
        <v>111.150002</v>
      </c>
      <c r="T64" s="18">
        <v>136.91000399999999</v>
      </c>
      <c r="U64" s="18">
        <v>92.739998</v>
      </c>
      <c r="V64" s="18">
        <v>116.69000200000001</v>
      </c>
      <c r="W64" s="18">
        <v>24.280000999999999</v>
      </c>
      <c r="X64" s="18">
        <v>85.75</v>
      </c>
      <c r="Y64" s="18">
        <v>128.14999399999999</v>
      </c>
      <c r="Z64" s="18">
        <v>35.490001999999997</v>
      </c>
      <c r="AA64" s="18">
        <v>54.470001000000003</v>
      </c>
      <c r="AB64" s="18">
        <v>214</v>
      </c>
      <c r="AC64" s="18">
        <v>97</v>
      </c>
      <c r="AD64" s="18">
        <v>118.410004</v>
      </c>
      <c r="AE64" s="18">
        <v>112.360001</v>
      </c>
      <c r="AF64" s="18">
        <v>98.739998</v>
      </c>
      <c r="AG64" s="18">
        <v>168.28999300000001</v>
      </c>
      <c r="AH64" s="18">
        <v>178.240005</v>
      </c>
      <c r="AI64" s="18">
        <v>135.979996</v>
      </c>
      <c r="AJ64" s="18">
        <v>110.410004</v>
      </c>
      <c r="AK64" s="18">
        <v>114.43</v>
      </c>
      <c r="AL64" s="18">
        <v>61.209999000000003</v>
      </c>
      <c r="AM64" s="18">
        <v>131.71000699999999</v>
      </c>
      <c r="AN64" s="18">
        <v>76.260002</v>
      </c>
      <c r="AO64" s="18">
        <v>134.429993</v>
      </c>
      <c r="AP64" s="18">
        <v>233.55999800000001</v>
      </c>
      <c r="AQ64" s="18">
        <v>323.10998499999999</v>
      </c>
      <c r="AR64" s="18">
        <v>53.060001</v>
      </c>
      <c r="AS64" s="18">
        <v>37.25</v>
      </c>
      <c r="AT64" s="18">
        <v>34.060001</v>
      </c>
      <c r="AU64" s="18">
        <v>82.129997000000003</v>
      </c>
      <c r="AV64" s="18">
        <v>60.529998999999997</v>
      </c>
      <c r="AW64" s="18">
        <v>163.33000200000001</v>
      </c>
      <c r="AX64" s="18">
        <v>77.470000999999996</v>
      </c>
      <c r="AY64" s="18">
        <v>44.66</v>
      </c>
      <c r="AZ64" s="18">
        <v>111.220001</v>
      </c>
      <c r="BA64" s="18">
        <v>104.400002</v>
      </c>
      <c r="BB64" s="18">
        <v>109.970001</v>
      </c>
      <c r="BC64" s="18">
        <v>29.99</v>
      </c>
      <c r="BD64" s="18">
        <v>119.620003</v>
      </c>
      <c r="BE64" s="18">
        <v>67.5</v>
      </c>
      <c r="BF64" s="18">
        <v>251.86000100000001</v>
      </c>
      <c r="BG64" s="18">
        <v>50.5</v>
      </c>
      <c r="BH64" s="18">
        <v>52.41</v>
      </c>
      <c r="BI64" s="18">
        <v>175.16000399999999</v>
      </c>
      <c r="BJ64" s="18">
        <v>6.55</v>
      </c>
      <c r="BK64" s="18">
        <v>93.279999000000004</v>
      </c>
      <c r="BL64" s="18">
        <v>219.520004</v>
      </c>
      <c r="BM64" s="18">
        <v>144.509995</v>
      </c>
      <c r="BN64" s="18">
        <v>97.910004000000001</v>
      </c>
      <c r="BO64" s="18">
        <v>156.66000399999999</v>
      </c>
      <c r="BP64" s="18">
        <v>280.69000199999999</v>
      </c>
      <c r="BQ64" s="18">
        <v>162.08999600000001</v>
      </c>
      <c r="BR64" s="18">
        <v>142.509995</v>
      </c>
      <c r="BS64" s="18">
        <v>136.33999600000001</v>
      </c>
      <c r="BT64" s="18">
        <v>139.19000199999999</v>
      </c>
      <c r="BU64" s="18">
        <v>123.790001</v>
      </c>
      <c r="BV64" s="18">
        <v>91.269997000000004</v>
      </c>
      <c r="BW64" s="18">
        <v>52.080002</v>
      </c>
      <c r="BX64" s="18">
        <v>47.82</v>
      </c>
      <c r="BY64" s="18">
        <v>116.300003</v>
      </c>
      <c r="BZ64" s="18">
        <v>173.35000600000001</v>
      </c>
      <c r="CA64" s="18">
        <v>149.509995</v>
      </c>
      <c r="CB64" s="18">
        <v>156.69000199999999</v>
      </c>
      <c r="CC64" s="18">
        <v>231.58999600000001</v>
      </c>
      <c r="CD64" s="18">
        <v>159.78999300000001</v>
      </c>
      <c r="CE64" s="18">
        <v>21.92</v>
      </c>
      <c r="CF64" s="18">
        <v>52.139999000000003</v>
      </c>
    </row>
  </sheetData>
  <mergeCells count="3">
    <mergeCell ref="A1:P1"/>
    <mergeCell ref="Q1:AE1"/>
    <mergeCell ref="AF1:AT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Q64"/>
  <sheetViews>
    <sheetView showGridLines="0" zoomScaleNormal="100" workbookViewId="0">
      <pane ySplit="3" topLeftCell="A4" activePane="bottomLeft" state="frozen"/>
      <selection pane="bottomLeft" sqref="A1:P1"/>
    </sheetView>
  </sheetViews>
  <sheetFormatPr defaultRowHeight="15" x14ac:dyDescent="0.25"/>
  <cols>
    <col min="1" max="1" width="12" customWidth="1"/>
  </cols>
  <sheetData>
    <row r="1" spans="1:121" x14ac:dyDescent="0.25">
      <c r="A1" s="40" t="s">
        <v>121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58" t="s">
        <v>121</v>
      </c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 t="s">
        <v>121</v>
      </c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</row>
    <row r="2" spans="1:121" x14ac:dyDescent="0.25">
      <c r="A2" s="7" t="s">
        <v>72</v>
      </c>
      <c r="B2" s="7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7">
        <v>12</v>
      </c>
      <c r="N2" s="7">
        <v>13</v>
      </c>
      <c r="O2" s="7">
        <v>14</v>
      </c>
      <c r="P2" s="7">
        <v>15</v>
      </c>
      <c r="Q2" s="7">
        <v>16</v>
      </c>
      <c r="R2" s="7">
        <v>17</v>
      </c>
      <c r="S2" s="7">
        <v>18</v>
      </c>
      <c r="T2" s="7">
        <v>19</v>
      </c>
      <c r="U2" s="7">
        <v>20</v>
      </c>
      <c r="V2" s="7">
        <v>21</v>
      </c>
      <c r="W2" s="7">
        <v>22</v>
      </c>
      <c r="X2" s="7">
        <v>23</v>
      </c>
      <c r="Y2" s="7">
        <v>24</v>
      </c>
      <c r="Z2" s="7">
        <v>25</v>
      </c>
      <c r="AA2" s="7">
        <v>26</v>
      </c>
      <c r="AB2" s="7">
        <v>27</v>
      </c>
      <c r="AC2" s="7">
        <v>28</v>
      </c>
      <c r="AD2" s="7">
        <v>29</v>
      </c>
      <c r="AE2" s="7">
        <v>30</v>
      </c>
      <c r="AF2" s="7">
        <v>31</v>
      </c>
      <c r="AG2" s="7">
        <v>32</v>
      </c>
      <c r="AH2" s="7">
        <v>33</v>
      </c>
      <c r="AI2" s="7">
        <v>34</v>
      </c>
      <c r="AJ2" s="7">
        <v>35</v>
      </c>
      <c r="AK2" s="7">
        <v>36</v>
      </c>
      <c r="AL2" s="7">
        <v>37</v>
      </c>
      <c r="AM2" s="7">
        <v>38</v>
      </c>
      <c r="AN2" s="7">
        <v>39</v>
      </c>
      <c r="AO2" s="7">
        <v>40</v>
      </c>
      <c r="AP2" s="7">
        <v>41</v>
      </c>
      <c r="AQ2" s="7">
        <v>42</v>
      </c>
      <c r="AR2" s="7">
        <v>43</v>
      </c>
      <c r="AS2" s="7">
        <v>44</v>
      </c>
      <c r="AT2" s="7">
        <v>45</v>
      </c>
      <c r="AU2" s="7">
        <v>46</v>
      </c>
      <c r="AV2" s="7">
        <v>47</v>
      </c>
      <c r="AW2" s="7">
        <v>48</v>
      </c>
      <c r="AX2" s="7">
        <v>49</v>
      </c>
      <c r="AY2" s="7">
        <v>50</v>
      </c>
      <c r="AZ2" s="7">
        <v>51</v>
      </c>
      <c r="BA2" s="7">
        <v>52</v>
      </c>
      <c r="BB2" s="7">
        <v>53</v>
      </c>
      <c r="BC2" s="7">
        <v>54</v>
      </c>
      <c r="BD2" s="7">
        <v>55</v>
      </c>
      <c r="BE2" s="7">
        <v>56</v>
      </c>
      <c r="BF2" s="7">
        <v>57</v>
      </c>
      <c r="BG2" s="7">
        <v>58</v>
      </c>
      <c r="BH2" s="7">
        <v>59</v>
      </c>
      <c r="BI2" s="7">
        <v>60</v>
      </c>
      <c r="BJ2" s="7">
        <v>61</v>
      </c>
      <c r="BK2" s="7">
        <v>62</v>
      </c>
      <c r="BL2" s="7">
        <v>63</v>
      </c>
      <c r="BM2" s="7">
        <v>64</v>
      </c>
      <c r="BN2" s="7">
        <v>65</v>
      </c>
      <c r="BO2" s="7">
        <v>66</v>
      </c>
      <c r="BP2" s="7">
        <v>67</v>
      </c>
      <c r="BQ2" s="7">
        <v>68</v>
      </c>
      <c r="BR2" s="7">
        <v>69</v>
      </c>
      <c r="BS2" s="7">
        <v>70</v>
      </c>
      <c r="BT2" s="7">
        <v>71</v>
      </c>
      <c r="BU2" s="7">
        <v>72</v>
      </c>
      <c r="BV2" s="7">
        <v>73</v>
      </c>
      <c r="BW2" s="7">
        <v>74</v>
      </c>
      <c r="BX2" s="7">
        <v>75</v>
      </c>
      <c r="BY2" s="7">
        <v>76</v>
      </c>
      <c r="BZ2" s="7">
        <v>77</v>
      </c>
      <c r="CA2" s="7">
        <v>78</v>
      </c>
      <c r="CB2" s="7">
        <v>79</v>
      </c>
      <c r="CC2" s="7">
        <v>80</v>
      </c>
      <c r="CD2" s="7">
        <v>81</v>
      </c>
      <c r="CE2" s="7">
        <v>82</v>
      </c>
      <c r="CF2" s="7">
        <v>83</v>
      </c>
      <c r="CG2" s="7">
        <v>84</v>
      </c>
      <c r="CH2" s="7">
        <v>85</v>
      </c>
      <c r="CI2" s="7">
        <v>86</v>
      </c>
      <c r="CJ2" s="7">
        <v>87</v>
      </c>
      <c r="CK2" s="7">
        <v>88</v>
      </c>
      <c r="CL2" s="7">
        <v>89</v>
      </c>
      <c r="CM2" s="7">
        <v>90</v>
      </c>
      <c r="CN2" s="7">
        <v>91</v>
      </c>
      <c r="CO2" s="7">
        <v>92</v>
      </c>
      <c r="CP2" s="7">
        <v>93</v>
      </c>
      <c r="CQ2" s="7">
        <v>94</v>
      </c>
      <c r="CR2" s="7">
        <v>95</v>
      </c>
      <c r="CS2" s="7">
        <v>96</v>
      </c>
      <c r="CT2" s="7">
        <v>97</v>
      </c>
      <c r="CU2" s="7">
        <v>98</v>
      </c>
      <c r="CV2" s="7">
        <v>99</v>
      </c>
      <c r="CW2" s="7">
        <v>100</v>
      </c>
      <c r="CX2" s="7">
        <v>101</v>
      </c>
      <c r="CY2" s="7">
        <v>102</v>
      </c>
      <c r="CZ2" s="7">
        <v>103</v>
      </c>
      <c r="DA2" s="7">
        <v>104</v>
      </c>
      <c r="DB2" s="7">
        <v>105</v>
      </c>
      <c r="DC2" s="7">
        <v>106</v>
      </c>
      <c r="DD2" s="7">
        <v>107</v>
      </c>
      <c r="DE2" s="7">
        <v>108</v>
      </c>
      <c r="DF2" s="7">
        <v>109</v>
      </c>
      <c r="DG2" s="7">
        <v>110</v>
      </c>
      <c r="DH2" s="7">
        <v>111</v>
      </c>
      <c r="DI2" s="7">
        <v>112</v>
      </c>
      <c r="DJ2" s="7">
        <v>113</v>
      </c>
      <c r="DK2" s="7">
        <v>114</v>
      </c>
      <c r="DL2" s="7">
        <v>115</v>
      </c>
      <c r="DM2" s="7">
        <v>116</v>
      </c>
      <c r="DN2" s="7">
        <v>117</v>
      </c>
      <c r="DO2" s="7">
        <v>118</v>
      </c>
      <c r="DP2" s="7">
        <v>119</v>
      </c>
      <c r="DQ2" s="7">
        <v>120</v>
      </c>
    </row>
    <row r="3" spans="1:121" x14ac:dyDescent="0.25">
      <c r="A3" s="17" t="s">
        <v>104</v>
      </c>
      <c r="B3" t="s">
        <v>79</v>
      </c>
      <c r="C3" t="s">
        <v>80</v>
      </c>
      <c r="D3" t="s">
        <v>81</v>
      </c>
      <c r="E3" t="s">
        <v>83</v>
      </c>
      <c r="F3" t="s">
        <v>284</v>
      </c>
      <c r="G3" t="s">
        <v>85</v>
      </c>
      <c r="H3" t="s">
        <v>285</v>
      </c>
      <c r="I3" t="s">
        <v>286</v>
      </c>
      <c r="J3" t="s">
        <v>287</v>
      </c>
      <c r="K3" t="s">
        <v>288</v>
      </c>
      <c r="L3" t="s">
        <v>285</v>
      </c>
      <c r="M3" t="s">
        <v>290</v>
      </c>
      <c r="N3" t="s">
        <v>291</v>
      </c>
      <c r="O3" t="s">
        <v>292</v>
      </c>
      <c r="P3" t="s">
        <v>293</v>
      </c>
      <c r="Q3" t="s">
        <v>294</v>
      </c>
      <c r="R3" t="s">
        <v>295</v>
      </c>
      <c r="S3" t="s">
        <v>297</v>
      </c>
      <c r="T3" t="s">
        <v>298</v>
      </c>
      <c r="U3" t="s">
        <v>299</v>
      </c>
      <c r="V3" t="s">
        <v>300</v>
      </c>
      <c r="W3" t="s">
        <v>301</v>
      </c>
      <c r="X3" t="s">
        <v>302</v>
      </c>
      <c r="Y3" t="s">
        <v>303</v>
      </c>
      <c r="Z3" t="s">
        <v>304</v>
      </c>
      <c r="AA3" t="s">
        <v>305</v>
      </c>
      <c r="AB3" t="s">
        <v>306</v>
      </c>
      <c r="AC3" t="s">
        <v>308</v>
      </c>
      <c r="AD3" t="s">
        <v>309</v>
      </c>
      <c r="AE3" t="s">
        <v>310</v>
      </c>
      <c r="AF3" t="s">
        <v>311</v>
      </c>
      <c r="AG3" t="s">
        <v>312</v>
      </c>
      <c r="AH3" t="s">
        <v>313</v>
      </c>
      <c r="AI3" t="s">
        <v>314</v>
      </c>
      <c r="AJ3" t="s">
        <v>315</v>
      </c>
      <c r="AK3" t="s">
        <v>316</v>
      </c>
      <c r="AL3" t="s">
        <v>317</v>
      </c>
      <c r="AM3" t="s">
        <v>318</v>
      </c>
      <c r="AN3" t="s">
        <v>319</v>
      </c>
      <c r="AO3" t="s">
        <v>320</v>
      </c>
      <c r="AP3" t="s">
        <v>321</v>
      </c>
      <c r="AQ3" t="s">
        <v>322</v>
      </c>
      <c r="AR3" t="s">
        <v>88</v>
      </c>
      <c r="AS3" t="s">
        <v>90</v>
      </c>
      <c r="AT3" t="s">
        <v>91</v>
      </c>
      <c r="AU3" t="s">
        <v>323</v>
      </c>
      <c r="AV3" t="s">
        <v>324</v>
      </c>
      <c r="AW3" t="s">
        <v>325</v>
      </c>
      <c r="AX3" t="s">
        <v>326</v>
      </c>
      <c r="AY3" t="s">
        <v>327</v>
      </c>
      <c r="AZ3" t="s">
        <v>328</v>
      </c>
      <c r="BA3" t="s">
        <v>329</v>
      </c>
      <c r="BB3" t="s">
        <v>330</v>
      </c>
      <c r="BC3" t="s">
        <v>331</v>
      </c>
      <c r="BD3" t="s">
        <v>332</v>
      </c>
      <c r="BE3" t="s">
        <v>333</v>
      </c>
      <c r="BF3" t="s">
        <v>334</v>
      </c>
      <c r="BG3" t="s">
        <v>335</v>
      </c>
      <c r="BH3" t="s">
        <v>336</v>
      </c>
      <c r="BI3" t="s">
        <v>337</v>
      </c>
      <c r="BJ3" t="s">
        <v>338</v>
      </c>
      <c r="BK3" t="s">
        <v>339</v>
      </c>
      <c r="BL3" t="s">
        <v>340</v>
      </c>
      <c r="BM3" t="s">
        <v>341</v>
      </c>
      <c r="BN3" t="s">
        <v>342</v>
      </c>
      <c r="BO3" t="s">
        <v>343</v>
      </c>
      <c r="BP3" t="s">
        <v>344</v>
      </c>
      <c r="BQ3" t="s">
        <v>345</v>
      </c>
      <c r="BR3" t="s">
        <v>346</v>
      </c>
      <c r="BS3" t="s">
        <v>347</v>
      </c>
      <c r="BT3" t="s">
        <v>348</v>
      </c>
      <c r="BU3" t="s">
        <v>349</v>
      </c>
      <c r="BV3" t="s">
        <v>9</v>
      </c>
      <c r="BW3" t="s">
        <v>350</v>
      </c>
      <c r="BX3" t="s">
        <v>351</v>
      </c>
      <c r="BY3" t="s">
        <v>352</v>
      </c>
      <c r="BZ3" t="s">
        <v>353</v>
      </c>
      <c r="CA3" t="s">
        <v>354</v>
      </c>
      <c r="CB3" t="s">
        <v>355</v>
      </c>
      <c r="CC3" t="s">
        <v>356</v>
      </c>
      <c r="CD3" t="s">
        <v>357</v>
      </c>
      <c r="CE3" t="s">
        <v>358</v>
      </c>
      <c r="CF3" t="s">
        <v>359</v>
      </c>
    </row>
    <row r="4" spans="1:121" x14ac:dyDescent="0.25">
      <c r="A4" s="17">
        <v>41364</v>
      </c>
      <c r="B4" s="18">
        <v>47.506943</v>
      </c>
      <c r="C4" s="18">
        <v>19.317786999999999</v>
      </c>
      <c r="D4" s="18">
        <v>179.30435199999999</v>
      </c>
      <c r="E4" s="18">
        <v>53.096362999999997</v>
      </c>
      <c r="F4" s="18">
        <v>84.723183000000006</v>
      </c>
      <c r="G4" s="18">
        <v>65.280403000000007</v>
      </c>
      <c r="H4" s="18">
        <v>34.308315</v>
      </c>
      <c r="I4" s="18">
        <v>113.120003</v>
      </c>
      <c r="J4" s="18">
        <v>44.736556999999998</v>
      </c>
      <c r="K4" s="18">
        <v>87.139229</v>
      </c>
      <c r="L4" s="18">
        <v>34.308315</v>
      </c>
      <c r="M4" s="18">
        <v>68.660499999999999</v>
      </c>
      <c r="N4" s="18">
        <v>32.978931000000003</v>
      </c>
      <c r="O4" s="18">
        <v>37.889999000000003</v>
      </c>
      <c r="P4" s="18">
        <v>75.896088000000006</v>
      </c>
      <c r="Q4" s="18">
        <v>97.628349</v>
      </c>
      <c r="R4" s="18">
        <v>160.23770099999999</v>
      </c>
      <c r="S4" s="18">
        <v>43.936084999999999</v>
      </c>
      <c r="T4" s="18">
        <v>69.589889999999997</v>
      </c>
      <c r="U4" s="18">
        <v>57.421581000000003</v>
      </c>
      <c r="V4" s="18">
        <v>95.836524999999995</v>
      </c>
      <c r="W4" s="18">
        <v>52.507092</v>
      </c>
      <c r="X4" s="18">
        <v>36.373534999999997</v>
      </c>
      <c r="Y4" s="18">
        <v>70.991455000000002</v>
      </c>
      <c r="Z4" s="18">
        <v>24.190505999999999</v>
      </c>
      <c r="AA4" s="18">
        <v>37.277821000000003</v>
      </c>
      <c r="AB4" s="18">
        <v>52.376221000000001</v>
      </c>
      <c r="AC4" s="18">
        <v>40.489983000000002</v>
      </c>
      <c r="AD4" s="18">
        <v>62.860191</v>
      </c>
      <c r="AE4" s="18">
        <v>60.869999</v>
      </c>
      <c r="AF4" s="18">
        <v>58.689999</v>
      </c>
      <c r="AG4" s="18">
        <v>90.314102000000005</v>
      </c>
      <c r="AH4" s="18">
        <v>62.423935</v>
      </c>
      <c r="AI4" s="18">
        <v>39.471545999999996</v>
      </c>
      <c r="AJ4" s="18">
        <v>57.313087000000003</v>
      </c>
      <c r="AK4" s="18">
        <v>57.452964999999999</v>
      </c>
      <c r="AL4" s="18">
        <v>32.728703000000003</v>
      </c>
      <c r="AM4" s="18">
        <v>16.018425000000001</v>
      </c>
      <c r="AN4" s="18">
        <v>43.148975</v>
      </c>
      <c r="AO4" s="18">
        <v>62.615616000000003</v>
      </c>
      <c r="AP4" s="18">
        <v>48.423222000000003</v>
      </c>
      <c r="AQ4" s="18">
        <v>325.86999500000002</v>
      </c>
      <c r="AR4" s="18">
        <v>25.270527000000001</v>
      </c>
      <c r="AS4" s="18">
        <v>17.509112999999999</v>
      </c>
      <c r="AT4" s="18">
        <v>22.197865</v>
      </c>
      <c r="AU4" s="18">
        <v>36.703021999999997</v>
      </c>
      <c r="AV4" s="18">
        <v>25.600641</v>
      </c>
      <c r="AW4" s="18">
        <v>65.895781999999997</v>
      </c>
      <c r="AX4" s="18">
        <v>57.860905000000002</v>
      </c>
      <c r="AY4" s="18">
        <v>36.745316000000003</v>
      </c>
      <c r="AZ4" s="18">
        <v>68.772919000000002</v>
      </c>
      <c r="BA4" s="18">
        <v>55.967475999999998</v>
      </c>
      <c r="BB4" s="18">
        <v>41.190407</v>
      </c>
      <c r="BC4" s="18">
        <v>11.511727</v>
      </c>
      <c r="BD4" s="18">
        <v>39.043757999999997</v>
      </c>
      <c r="BE4" s="18">
        <v>42.845253</v>
      </c>
      <c r="BF4" s="18">
        <v>137.66688500000001</v>
      </c>
      <c r="BG4" s="18">
        <v>30.011134999999999</v>
      </c>
      <c r="BH4" s="18">
        <v>32.112502999999997</v>
      </c>
      <c r="BI4" s="18">
        <v>50.254055000000001</v>
      </c>
      <c r="BJ4" s="18">
        <v>4.9337150000000003</v>
      </c>
      <c r="BK4" s="18">
        <v>62.514381</v>
      </c>
      <c r="BL4" s="18">
        <v>94.139763000000002</v>
      </c>
      <c r="BM4" s="18">
        <v>67.611075999999997</v>
      </c>
      <c r="BN4" s="18">
        <v>31.038204</v>
      </c>
      <c r="BO4" s="18">
        <v>54.480437999999999</v>
      </c>
      <c r="BP4" s="18">
        <v>123.30186500000001</v>
      </c>
      <c r="BQ4" s="18">
        <v>101.738007</v>
      </c>
      <c r="BR4" s="18">
        <v>49.514423000000001</v>
      </c>
      <c r="BS4" s="18">
        <v>62.217365000000001</v>
      </c>
      <c r="BT4" s="18">
        <v>47.130001</v>
      </c>
      <c r="BU4" s="18">
        <v>50.716667000000001</v>
      </c>
      <c r="BV4" s="18">
        <v>25.140432000000001</v>
      </c>
      <c r="BW4" s="18">
        <v>18.678272</v>
      </c>
      <c r="BX4" s="18">
        <v>38.72139</v>
      </c>
      <c r="BY4" s="18">
        <v>44.707500000000003</v>
      </c>
      <c r="BZ4" s="18">
        <v>61.999099999999999</v>
      </c>
      <c r="CA4" s="18">
        <v>50.560001</v>
      </c>
      <c r="CB4" s="18">
        <v>81.419998000000007</v>
      </c>
      <c r="CC4" s="18">
        <v>12.038302</v>
      </c>
      <c r="CD4" s="18">
        <v>25.58</v>
      </c>
      <c r="CE4" s="18">
        <v>8.6864000000000008</v>
      </c>
      <c r="CF4" s="18">
        <v>9.98</v>
      </c>
    </row>
    <row r="5" spans="1:121" x14ac:dyDescent="0.25">
      <c r="A5" s="17">
        <v>41394</v>
      </c>
      <c r="B5" s="18">
        <v>47.519817000000003</v>
      </c>
      <c r="C5" s="18">
        <v>18.624286999999999</v>
      </c>
      <c r="D5" s="18">
        <v>170.25924699999999</v>
      </c>
      <c r="E5" s="18">
        <v>58.742527000000003</v>
      </c>
      <c r="F5" s="18">
        <v>86.805358999999996</v>
      </c>
      <c r="G5" s="18">
        <v>68.239013999999997</v>
      </c>
      <c r="H5" s="18">
        <v>36.171722000000003</v>
      </c>
      <c r="I5" s="18">
        <v>110.879997</v>
      </c>
      <c r="J5" s="18">
        <v>45.839668000000003</v>
      </c>
      <c r="K5" s="18">
        <v>99.957947000000004</v>
      </c>
      <c r="L5" s="18">
        <v>36.171722000000003</v>
      </c>
      <c r="M5" s="18">
        <v>71.576706000000001</v>
      </c>
      <c r="N5" s="18">
        <v>34.635807</v>
      </c>
      <c r="O5" s="18">
        <v>53.990001999999997</v>
      </c>
      <c r="P5" s="18">
        <v>74.952713000000003</v>
      </c>
      <c r="Q5" s="18">
        <v>100.24942</v>
      </c>
      <c r="R5" s="18">
        <v>173.72924800000001</v>
      </c>
      <c r="S5" s="18">
        <v>39.067870999999997</v>
      </c>
      <c r="T5" s="18">
        <v>70.378174000000001</v>
      </c>
      <c r="U5" s="18">
        <v>56.463951000000002</v>
      </c>
      <c r="V5" s="18">
        <v>96.916190999999998</v>
      </c>
      <c r="W5" s="18">
        <v>54.251170999999999</v>
      </c>
      <c r="X5" s="18">
        <v>38.14846</v>
      </c>
      <c r="Y5" s="18">
        <v>74.213195999999996</v>
      </c>
      <c r="Z5" s="18">
        <v>24.366530999999998</v>
      </c>
      <c r="AA5" s="18">
        <v>40.021393000000003</v>
      </c>
      <c r="AB5" s="18">
        <v>55.079880000000003</v>
      </c>
      <c r="AC5" s="18">
        <v>39.752529000000003</v>
      </c>
      <c r="AD5" s="18">
        <v>65.537186000000005</v>
      </c>
      <c r="AE5" s="18">
        <v>66.779999000000004</v>
      </c>
      <c r="AF5" s="18">
        <v>60.5</v>
      </c>
      <c r="AG5" s="18">
        <v>103.668541</v>
      </c>
      <c r="AH5" s="18">
        <v>65.978378000000006</v>
      </c>
      <c r="AI5" s="18">
        <v>40.247334000000002</v>
      </c>
      <c r="AJ5" s="18">
        <v>53.428534999999997</v>
      </c>
      <c r="AK5" s="18">
        <v>53.780312000000002</v>
      </c>
      <c r="AL5" s="18">
        <v>32.129848000000003</v>
      </c>
      <c r="AM5" s="18">
        <v>14.831154</v>
      </c>
      <c r="AN5" s="18">
        <v>42.600006</v>
      </c>
      <c r="AO5" s="18">
        <v>65.055892999999998</v>
      </c>
      <c r="AP5" s="18">
        <v>52.172749000000003</v>
      </c>
      <c r="AQ5" s="18">
        <v>363.19000199999999</v>
      </c>
      <c r="AR5" s="18">
        <v>24.353113</v>
      </c>
      <c r="AS5" s="18">
        <v>17.641096000000001</v>
      </c>
      <c r="AT5" s="18">
        <v>22.402616999999999</v>
      </c>
      <c r="AU5" s="18">
        <v>37.092723999999997</v>
      </c>
      <c r="AV5" s="18">
        <v>24.943764000000002</v>
      </c>
      <c r="AW5" s="18">
        <v>69.585869000000002</v>
      </c>
      <c r="AX5" s="18">
        <v>59.941319</v>
      </c>
      <c r="AY5" s="18">
        <v>37.771251999999997</v>
      </c>
      <c r="AZ5" s="18">
        <v>71.847808999999998</v>
      </c>
      <c r="BA5" s="18">
        <v>60.243941999999997</v>
      </c>
      <c r="BB5" s="18">
        <v>42.535645000000002</v>
      </c>
      <c r="BC5" s="18">
        <v>11.634594</v>
      </c>
      <c r="BD5" s="18">
        <v>38.726517000000001</v>
      </c>
      <c r="BE5" s="18">
        <v>45.188941999999997</v>
      </c>
      <c r="BF5" s="18">
        <v>136.65654000000001</v>
      </c>
      <c r="BG5" s="18">
        <v>29.607689000000001</v>
      </c>
      <c r="BH5" s="18">
        <v>32.971961999999998</v>
      </c>
      <c r="BI5" s="18">
        <v>51.349910999999999</v>
      </c>
      <c r="BJ5" s="18">
        <v>5.2524879999999996</v>
      </c>
      <c r="BK5" s="18">
        <v>63.394706999999997</v>
      </c>
      <c r="BL5" s="18">
        <v>92.722945999999993</v>
      </c>
      <c r="BM5" s="18">
        <v>65.986960999999994</v>
      </c>
      <c r="BN5" s="18">
        <v>30.450372999999999</v>
      </c>
      <c r="BO5" s="18">
        <v>58.075912000000002</v>
      </c>
      <c r="BP5" s="18">
        <v>115.883026</v>
      </c>
      <c r="BQ5" s="18">
        <v>93.462624000000005</v>
      </c>
      <c r="BR5" s="18">
        <v>48.226050999999998</v>
      </c>
      <c r="BS5" s="18">
        <v>65.556999000000005</v>
      </c>
      <c r="BT5" s="18">
        <v>46.650002000000001</v>
      </c>
      <c r="BU5" s="18">
        <v>49.860000999999997</v>
      </c>
      <c r="BV5" s="18">
        <v>29.085917999999999</v>
      </c>
      <c r="BW5" s="18">
        <v>20.482811000000002</v>
      </c>
      <c r="BX5" s="18">
        <v>42.471404999999997</v>
      </c>
      <c r="BY5" s="18">
        <v>41.110000999999997</v>
      </c>
      <c r="BZ5" s="18">
        <v>56.314731999999999</v>
      </c>
      <c r="CA5" s="18">
        <v>47.93</v>
      </c>
      <c r="CB5" s="18">
        <v>80.860000999999997</v>
      </c>
      <c r="CC5" s="18">
        <v>12.920299999999999</v>
      </c>
      <c r="CD5" s="18">
        <v>27.77</v>
      </c>
      <c r="CE5" s="18">
        <v>7.6112130000000002</v>
      </c>
      <c r="CF5" s="18">
        <v>9.42</v>
      </c>
    </row>
    <row r="6" spans="1:121" x14ac:dyDescent="0.25">
      <c r="A6" s="17">
        <v>41425</v>
      </c>
      <c r="B6" s="18">
        <v>48.265701</v>
      </c>
      <c r="C6" s="18">
        <v>19.484891999999999</v>
      </c>
      <c r="D6" s="18">
        <v>174.86586</v>
      </c>
      <c r="E6" s="18">
        <v>58.966876999999997</v>
      </c>
      <c r="F6" s="18">
        <v>82.071608999999995</v>
      </c>
      <c r="G6" s="18">
        <v>65.710335000000001</v>
      </c>
      <c r="H6" s="18">
        <v>34.172150000000002</v>
      </c>
      <c r="I6" s="18">
        <v>111.16999800000001</v>
      </c>
      <c r="J6" s="18">
        <v>48.112015</v>
      </c>
      <c r="K6" s="18">
        <v>101.032326</v>
      </c>
      <c r="L6" s="18">
        <v>34.172150000000002</v>
      </c>
      <c r="M6" s="18">
        <v>70.101241999999999</v>
      </c>
      <c r="N6" s="18">
        <v>32.547955000000002</v>
      </c>
      <c r="O6" s="18">
        <v>97.760002</v>
      </c>
      <c r="P6" s="18">
        <v>76.199286999999998</v>
      </c>
      <c r="Q6" s="18">
        <v>100.857437</v>
      </c>
      <c r="R6" s="18">
        <v>178.871521</v>
      </c>
      <c r="S6" s="18">
        <v>43.889107000000003</v>
      </c>
      <c r="T6" s="18">
        <v>73.204628</v>
      </c>
      <c r="U6" s="18">
        <v>61.690907000000003</v>
      </c>
      <c r="V6" s="18">
        <v>91.639595</v>
      </c>
      <c r="W6" s="18">
        <v>53.790371</v>
      </c>
      <c r="X6" s="18">
        <v>39.763568999999997</v>
      </c>
      <c r="Y6" s="18">
        <v>73.298896999999997</v>
      </c>
      <c r="Z6" s="18">
        <v>22.824238000000001</v>
      </c>
      <c r="AA6" s="18">
        <v>39.765948999999999</v>
      </c>
      <c r="AB6" s="18">
        <v>57.561377999999998</v>
      </c>
      <c r="AC6" s="18">
        <v>38.925392000000002</v>
      </c>
      <c r="AD6" s="18">
        <v>68.046875</v>
      </c>
      <c r="AE6" s="18">
        <v>66.489998</v>
      </c>
      <c r="AF6" s="18">
        <v>58.5</v>
      </c>
      <c r="AG6" s="18">
        <v>120.886154</v>
      </c>
      <c r="AH6" s="18">
        <v>70.754722999999998</v>
      </c>
      <c r="AI6" s="18">
        <v>39.265903000000002</v>
      </c>
      <c r="AJ6" s="18">
        <v>55.026423999999999</v>
      </c>
      <c r="AK6" s="18">
        <v>52.025821999999998</v>
      </c>
      <c r="AL6" s="18">
        <v>31.227388000000001</v>
      </c>
      <c r="AM6" s="18">
        <v>15.541570999999999</v>
      </c>
      <c r="AN6" s="18">
        <v>41.042931000000003</v>
      </c>
      <c r="AO6" s="18">
        <v>67.984177000000003</v>
      </c>
      <c r="AP6" s="18">
        <v>56.019539000000002</v>
      </c>
      <c r="AQ6" s="18">
        <v>361</v>
      </c>
      <c r="AR6" s="18">
        <v>23.321570999999999</v>
      </c>
      <c r="AS6" s="18">
        <v>17.359537</v>
      </c>
      <c r="AT6" s="18">
        <v>21.950748000000001</v>
      </c>
      <c r="AU6" s="18">
        <v>35.374493000000001</v>
      </c>
      <c r="AV6" s="18">
        <v>24.847427</v>
      </c>
      <c r="AW6" s="18">
        <v>64.148300000000006</v>
      </c>
      <c r="AX6" s="18">
        <v>53.349379999999996</v>
      </c>
      <c r="AY6" s="18">
        <v>34.380215</v>
      </c>
      <c r="AZ6" s="18">
        <v>70.503624000000002</v>
      </c>
      <c r="BA6" s="18">
        <v>55.061050000000002</v>
      </c>
      <c r="BB6" s="18">
        <v>47.674754999999998</v>
      </c>
      <c r="BC6" s="18">
        <v>12.910525</v>
      </c>
      <c r="BD6" s="18">
        <v>40.951808999999997</v>
      </c>
      <c r="BE6" s="18">
        <v>50.350906000000002</v>
      </c>
      <c r="BF6" s="18">
        <v>151.63476600000001</v>
      </c>
      <c r="BG6" s="18">
        <v>31.191272999999999</v>
      </c>
      <c r="BH6" s="18">
        <v>35.203071999999999</v>
      </c>
      <c r="BI6" s="18">
        <v>53.559947999999999</v>
      </c>
      <c r="BJ6" s="18">
        <v>5.3715270000000004</v>
      </c>
      <c r="BK6" s="18">
        <v>70.367607000000007</v>
      </c>
      <c r="BL6" s="18">
        <v>97.646439000000001</v>
      </c>
      <c r="BM6" s="18">
        <v>70.401641999999995</v>
      </c>
      <c r="BN6" s="18">
        <v>30.890091000000002</v>
      </c>
      <c r="BO6" s="18">
        <v>63.086468000000004</v>
      </c>
      <c r="BP6" s="18">
        <v>120.471024</v>
      </c>
      <c r="BQ6" s="18">
        <v>105.09384900000001</v>
      </c>
      <c r="BR6" s="18">
        <v>51.253143000000001</v>
      </c>
      <c r="BS6" s="18">
        <v>67.189102000000005</v>
      </c>
      <c r="BT6" s="18">
        <v>45.66</v>
      </c>
      <c r="BU6" s="18">
        <v>54.496665999999998</v>
      </c>
      <c r="BV6" s="18">
        <v>30.667636999999999</v>
      </c>
      <c r="BW6" s="18">
        <v>20.765038000000001</v>
      </c>
      <c r="BX6" s="18">
        <v>38.594588999999999</v>
      </c>
      <c r="BY6" s="18">
        <v>42.330002</v>
      </c>
      <c r="BZ6" s="18">
        <v>55.327545000000001</v>
      </c>
      <c r="CA6" s="18">
        <v>48.23</v>
      </c>
      <c r="CB6" s="18">
        <v>74.5</v>
      </c>
      <c r="CC6" s="18">
        <v>13.577106000000001</v>
      </c>
      <c r="CD6" s="18">
        <v>24.35</v>
      </c>
      <c r="CE6" s="18">
        <v>9.0226100000000002</v>
      </c>
      <c r="CF6" s="18">
        <v>11.68</v>
      </c>
    </row>
    <row r="7" spans="1:121" x14ac:dyDescent="0.25">
      <c r="A7" s="17">
        <v>41455</v>
      </c>
      <c r="B7" s="18">
        <v>44.609520000000003</v>
      </c>
      <c r="C7" s="18">
        <v>19.376273999999999</v>
      </c>
      <c r="D7" s="18">
        <v>161.40399199999999</v>
      </c>
      <c r="E7" s="18">
        <v>59.032310000000003</v>
      </c>
      <c r="F7" s="18">
        <v>84.795981999999995</v>
      </c>
      <c r="G7" s="18">
        <v>65.795326000000003</v>
      </c>
      <c r="H7" s="18">
        <v>34.274684999999998</v>
      </c>
      <c r="I7" s="18">
        <v>112.489998</v>
      </c>
      <c r="J7" s="18">
        <v>49.189734999999999</v>
      </c>
      <c r="K7" s="18">
        <v>103.705299</v>
      </c>
      <c r="L7" s="18">
        <v>34.274684999999998</v>
      </c>
      <c r="M7" s="18">
        <v>70.986510999999993</v>
      </c>
      <c r="N7" s="18">
        <v>32.270736999999997</v>
      </c>
      <c r="O7" s="18">
        <v>107.360001</v>
      </c>
      <c r="P7" s="18">
        <v>76.624626000000006</v>
      </c>
      <c r="Q7" s="18">
        <v>98.018119999999996</v>
      </c>
      <c r="R7" s="18">
        <v>167.98670999999999</v>
      </c>
      <c r="S7" s="18">
        <v>45.485970000000002</v>
      </c>
      <c r="T7" s="18">
        <v>68.527321000000001</v>
      </c>
      <c r="U7" s="18">
        <v>57.422688000000001</v>
      </c>
      <c r="V7" s="18">
        <v>89.964172000000005</v>
      </c>
      <c r="W7" s="18">
        <v>47.590595</v>
      </c>
      <c r="X7" s="18">
        <v>40.913424999999997</v>
      </c>
      <c r="Y7" s="18">
        <v>75.323752999999996</v>
      </c>
      <c r="Z7" s="18">
        <v>23.673753999999999</v>
      </c>
      <c r="AA7" s="18">
        <v>39.553058999999998</v>
      </c>
      <c r="AB7" s="18">
        <v>60.180732999999996</v>
      </c>
      <c r="AC7" s="18">
        <v>35.93573</v>
      </c>
      <c r="AD7" s="18">
        <v>65.950194999999994</v>
      </c>
      <c r="AE7" s="18">
        <v>65.819999999999993</v>
      </c>
      <c r="AF7" s="18">
        <v>55.900002000000001</v>
      </c>
      <c r="AG7" s="18">
        <v>123.807716</v>
      </c>
      <c r="AH7" s="18">
        <v>69.684296000000003</v>
      </c>
      <c r="AI7" s="18">
        <v>37.881141999999997</v>
      </c>
      <c r="AJ7" s="18">
        <v>57.679423999999997</v>
      </c>
      <c r="AK7" s="18">
        <v>51.475113</v>
      </c>
      <c r="AL7" s="18">
        <v>29.868254</v>
      </c>
      <c r="AM7" s="18">
        <v>15.570765</v>
      </c>
      <c r="AN7" s="18">
        <v>40.284354999999998</v>
      </c>
      <c r="AO7" s="18">
        <v>68.433372000000006</v>
      </c>
      <c r="AP7" s="18">
        <v>54.960971999999998</v>
      </c>
      <c r="AQ7" s="18">
        <v>364.35000600000001</v>
      </c>
      <c r="AR7" s="18">
        <v>23.870321000000001</v>
      </c>
      <c r="AS7" s="18">
        <v>17.306459</v>
      </c>
      <c r="AT7" s="18">
        <v>22.241849999999999</v>
      </c>
      <c r="AU7" s="18">
        <v>36.758121000000003</v>
      </c>
      <c r="AV7" s="18">
        <v>25.35005</v>
      </c>
      <c r="AW7" s="18">
        <v>69.727080999999998</v>
      </c>
      <c r="AX7" s="18">
        <v>54.380870999999999</v>
      </c>
      <c r="AY7" s="18">
        <v>34.930892999999998</v>
      </c>
      <c r="AZ7" s="18">
        <v>70.902541999999997</v>
      </c>
      <c r="BA7" s="18">
        <v>55.391700999999998</v>
      </c>
      <c r="BB7" s="18">
        <v>46.102772000000002</v>
      </c>
      <c r="BC7" s="18">
        <v>12.154418</v>
      </c>
      <c r="BD7" s="18">
        <v>42.321399999999997</v>
      </c>
      <c r="BE7" s="18">
        <v>46.467773000000001</v>
      </c>
      <c r="BF7" s="18">
        <v>141.94986</v>
      </c>
      <c r="BG7" s="18">
        <v>32.160995</v>
      </c>
      <c r="BH7" s="18">
        <v>36.110252000000003</v>
      </c>
      <c r="BI7" s="18">
        <v>53.959125999999998</v>
      </c>
      <c r="BJ7" s="18">
        <v>4.8269130000000002</v>
      </c>
      <c r="BK7" s="18">
        <v>69.484641999999994</v>
      </c>
      <c r="BL7" s="18">
        <v>97.383842000000001</v>
      </c>
      <c r="BM7" s="18">
        <v>71.560471000000007</v>
      </c>
      <c r="BN7" s="18">
        <v>31.62961</v>
      </c>
      <c r="BO7" s="18">
        <v>62.222915999999998</v>
      </c>
      <c r="BP7" s="18">
        <v>120.471024</v>
      </c>
      <c r="BQ7" s="18">
        <v>95.683723000000001</v>
      </c>
      <c r="BR7" s="18">
        <v>50.098671000000003</v>
      </c>
      <c r="BS7" s="18">
        <v>65.521088000000006</v>
      </c>
      <c r="BT7" s="18">
        <v>43.439999</v>
      </c>
      <c r="BU7" s="18">
        <v>56.696666999999998</v>
      </c>
      <c r="BV7" s="18">
        <v>30.564122999999999</v>
      </c>
      <c r="BW7" s="18">
        <v>20.917484000000002</v>
      </c>
      <c r="BX7" s="18">
        <v>40.075329000000004</v>
      </c>
      <c r="BY7" s="18">
        <v>38.18</v>
      </c>
      <c r="BZ7" s="18">
        <v>57.789070000000002</v>
      </c>
      <c r="CA7" s="18">
        <v>47.82</v>
      </c>
      <c r="CB7" s="18">
        <v>73.099997999999999</v>
      </c>
      <c r="CC7" s="18">
        <v>13.240557000000001</v>
      </c>
      <c r="CD7" s="18">
        <v>24.879999000000002</v>
      </c>
      <c r="CE7" s="18">
        <v>9.1630129999999994</v>
      </c>
      <c r="CF7" s="18">
        <v>14.33</v>
      </c>
    </row>
    <row r="8" spans="1:121" x14ac:dyDescent="0.25">
      <c r="A8" s="17">
        <v>41486</v>
      </c>
      <c r="B8" s="18">
        <v>50.909495999999997</v>
      </c>
      <c r="C8" s="18">
        <v>20.524837000000002</v>
      </c>
      <c r="D8" s="18">
        <v>164.72309899999999</v>
      </c>
      <c r="E8" s="18">
        <v>60.434505000000001</v>
      </c>
      <c r="F8" s="18">
        <v>84.007957000000005</v>
      </c>
      <c r="G8" s="18">
        <v>68.842628000000005</v>
      </c>
      <c r="H8" s="18">
        <v>34.485779000000001</v>
      </c>
      <c r="I8" s="18">
        <v>118.989998</v>
      </c>
      <c r="J8" s="18">
        <v>49.537005999999998</v>
      </c>
      <c r="K8" s="18">
        <v>104.771057</v>
      </c>
      <c r="L8" s="18">
        <v>34.485779000000001</v>
      </c>
      <c r="M8" s="18">
        <v>73.012946999999997</v>
      </c>
      <c r="N8" s="18">
        <v>32.360664</v>
      </c>
      <c r="O8" s="18">
        <v>134.279999</v>
      </c>
      <c r="P8" s="18">
        <v>79.508125000000007</v>
      </c>
      <c r="Q8" s="18">
        <v>104.271591</v>
      </c>
      <c r="R8" s="18">
        <v>165.675217</v>
      </c>
      <c r="S8" s="18">
        <v>49.076340000000002</v>
      </c>
      <c r="T8" s="18">
        <v>73.895508000000007</v>
      </c>
      <c r="U8" s="18">
        <v>57.383724000000001</v>
      </c>
      <c r="V8" s="18">
        <v>89.945937999999998</v>
      </c>
      <c r="W8" s="18">
        <v>36.340778</v>
      </c>
      <c r="X8" s="18">
        <v>42.556404000000001</v>
      </c>
      <c r="Y8" s="18">
        <v>82.026206999999999</v>
      </c>
      <c r="Z8" s="18">
        <v>24.704885000000001</v>
      </c>
      <c r="AA8" s="18">
        <v>41.394374999999997</v>
      </c>
      <c r="AB8" s="18">
        <v>67.545081999999994</v>
      </c>
      <c r="AC8" s="18">
        <v>38.865597000000001</v>
      </c>
      <c r="AD8" s="18">
        <v>68.895103000000006</v>
      </c>
      <c r="AE8" s="18">
        <v>74.930000000000007</v>
      </c>
      <c r="AF8" s="18">
        <v>65.510002</v>
      </c>
      <c r="AG8" s="18">
        <v>131.703857</v>
      </c>
      <c r="AH8" s="18">
        <v>71.439826999999994</v>
      </c>
      <c r="AI8" s="18">
        <v>39.007159999999999</v>
      </c>
      <c r="AJ8" s="18">
        <v>45.194195000000001</v>
      </c>
      <c r="AK8" s="18">
        <v>56.035290000000003</v>
      </c>
      <c r="AL8" s="18">
        <v>31.433971</v>
      </c>
      <c r="AM8" s="18">
        <v>17.526844000000001</v>
      </c>
      <c r="AN8" s="18">
        <v>45.165188000000001</v>
      </c>
      <c r="AO8" s="18">
        <v>70.345153999999994</v>
      </c>
      <c r="AP8" s="18">
        <v>59.346504000000003</v>
      </c>
      <c r="AQ8" s="18">
        <v>412.26998900000001</v>
      </c>
      <c r="AR8" s="18">
        <v>28.562553000000001</v>
      </c>
      <c r="AS8" s="18">
        <v>19.337814000000002</v>
      </c>
      <c r="AT8" s="18">
        <v>24.068681999999999</v>
      </c>
      <c r="AU8" s="18">
        <v>38.050846</v>
      </c>
      <c r="AV8" s="18">
        <v>26.409983</v>
      </c>
      <c r="AW8" s="18">
        <v>74.117096000000004</v>
      </c>
      <c r="AX8" s="18">
        <v>57.200611000000002</v>
      </c>
      <c r="AY8" s="18">
        <v>35.492885999999999</v>
      </c>
      <c r="AZ8" s="18">
        <v>76.588798999999995</v>
      </c>
      <c r="BA8" s="18">
        <v>59.024590000000003</v>
      </c>
      <c r="BB8" s="18">
        <v>48.670333999999997</v>
      </c>
      <c r="BC8" s="18">
        <v>13.809286</v>
      </c>
      <c r="BD8" s="18">
        <v>40.992119000000002</v>
      </c>
      <c r="BE8" s="18">
        <v>50.507182999999998</v>
      </c>
      <c r="BF8" s="18">
        <v>153.94404599999999</v>
      </c>
      <c r="BG8" s="18">
        <v>33.415733000000003</v>
      </c>
      <c r="BH8" s="18">
        <v>38.061442999999997</v>
      </c>
      <c r="BI8" s="18">
        <v>57.350700000000003</v>
      </c>
      <c r="BJ8" s="18">
        <v>5.4610529999999997</v>
      </c>
      <c r="BK8" s="18">
        <v>68.564507000000006</v>
      </c>
      <c r="BL8" s="18">
        <v>104.579643</v>
      </c>
      <c r="BM8" s="18">
        <v>74.843552000000003</v>
      </c>
      <c r="BN8" s="18">
        <v>33.666130000000003</v>
      </c>
      <c r="BO8" s="18">
        <v>65.169799999999995</v>
      </c>
      <c r="BP8" s="18">
        <v>122.15851600000001</v>
      </c>
      <c r="BQ8" s="18">
        <v>106.914169</v>
      </c>
      <c r="BR8" s="18">
        <v>55.535873000000002</v>
      </c>
      <c r="BS8" s="18">
        <v>68.215294</v>
      </c>
      <c r="BT8" s="18">
        <v>46.169998</v>
      </c>
      <c r="BU8" s="18">
        <v>59.646667000000001</v>
      </c>
      <c r="BV8" s="18">
        <v>28.174917000000001</v>
      </c>
      <c r="BW8" s="18">
        <v>20.149158</v>
      </c>
      <c r="BX8" s="18">
        <v>39.390689999999999</v>
      </c>
      <c r="BY8" s="18">
        <v>43.75</v>
      </c>
      <c r="BZ8" s="18">
        <v>60.515681999999998</v>
      </c>
      <c r="CA8" s="18">
        <v>51.77</v>
      </c>
      <c r="CB8" s="18">
        <v>79.839995999999999</v>
      </c>
      <c r="CC8" s="18">
        <v>13.617779000000001</v>
      </c>
      <c r="CD8" s="18">
        <v>36.799999</v>
      </c>
      <c r="CE8" s="18">
        <v>9.6120249999999992</v>
      </c>
      <c r="CF8" s="18">
        <v>13.24</v>
      </c>
    </row>
    <row r="9" spans="1:121" x14ac:dyDescent="0.25">
      <c r="A9" s="17">
        <v>41517</v>
      </c>
      <c r="B9" s="18">
        <v>54.812119000000003</v>
      </c>
      <c r="C9" s="18">
        <v>19.488909</v>
      </c>
      <c r="D9" s="18">
        <v>153.93806499999999</v>
      </c>
      <c r="E9" s="18">
        <v>56.863585999999998</v>
      </c>
      <c r="F9" s="18">
        <v>80.821701000000004</v>
      </c>
      <c r="G9" s="18">
        <v>64.461578000000003</v>
      </c>
      <c r="H9" s="18">
        <v>32.850963999999998</v>
      </c>
      <c r="I9" s="18">
        <v>117.489998</v>
      </c>
      <c r="J9" s="18">
        <v>48.889400000000002</v>
      </c>
      <c r="K9" s="18">
        <v>103.817024</v>
      </c>
      <c r="L9" s="18">
        <v>32.850963999999998</v>
      </c>
      <c r="M9" s="18">
        <v>69.683052000000004</v>
      </c>
      <c r="N9" s="18">
        <v>31.315083999999999</v>
      </c>
      <c r="O9" s="18">
        <v>169</v>
      </c>
      <c r="P9" s="18">
        <v>73.919235</v>
      </c>
      <c r="Q9" s="18">
        <v>99.749190999999996</v>
      </c>
      <c r="R9" s="18">
        <v>163.991547</v>
      </c>
      <c r="S9" s="18">
        <v>47.736446000000001</v>
      </c>
      <c r="T9" s="18">
        <v>72.365936000000005</v>
      </c>
      <c r="U9" s="18">
        <v>57.716869000000003</v>
      </c>
      <c r="V9" s="18">
        <v>89.481575000000007</v>
      </c>
      <c r="W9" s="18">
        <v>37.009948999999999</v>
      </c>
      <c r="X9" s="18">
        <v>44.639763000000002</v>
      </c>
      <c r="Y9" s="18">
        <v>75.806258999999997</v>
      </c>
      <c r="Z9" s="18">
        <v>24.037230000000001</v>
      </c>
      <c r="AA9" s="18">
        <v>40.638165000000001</v>
      </c>
      <c r="AB9" s="18">
        <v>66.515929999999997</v>
      </c>
      <c r="AC9" s="18">
        <v>38.058388000000001</v>
      </c>
      <c r="AD9" s="18">
        <v>66.728263999999996</v>
      </c>
      <c r="AE9" s="18">
        <v>70.910004000000001</v>
      </c>
      <c r="AF9" s="18">
        <v>65.800003000000004</v>
      </c>
      <c r="AG9" s="18">
        <v>132.59646599999999</v>
      </c>
      <c r="AH9" s="18">
        <v>67.335883999999993</v>
      </c>
      <c r="AI9" s="18">
        <v>37.524566999999998</v>
      </c>
      <c r="AJ9" s="18">
        <v>44.839396999999998</v>
      </c>
      <c r="AK9" s="18">
        <v>53.390929999999997</v>
      </c>
      <c r="AL9" s="18">
        <v>30.542383000000001</v>
      </c>
      <c r="AM9" s="18">
        <v>18.636258999999999</v>
      </c>
      <c r="AN9" s="18">
        <v>43.318657000000002</v>
      </c>
      <c r="AO9" s="18">
        <v>68.105132999999995</v>
      </c>
      <c r="AP9" s="18">
        <v>58.265408000000001</v>
      </c>
      <c r="AQ9" s="18">
        <v>408.17001299999998</v>
      </c>
      <c r="AR9" s="18">
        <v>23.394424000000001</v>
      </c>
      <c r="AS9" s="18">
        <v>17.696760000000001</v>
      </c>
      <c r="AT9" s="18">
        <v>21.587885</v>
      </c>
      <c r="AU9" s="18">
        <v>36.321269999999998</v>
      </c>
      <c r="AV9" s="18">
        <v>26.904613000000001</v>
      </c>
      <c r="AW9" s="18">
        <v>68.768630999999999</v>
      </c>
      <c r="AX9" s="18">
        <v>52.850143000000003</v>
      </c>
      <c r="AY9" s="18">
        <v>32.944114999999996</v>
      </c>
      <c r="AZ9" s="18">
        <v>73.783257000000006</v>
      </c>
      <c r="BA9" s="18">
        <v>55.827080000000002</v>
      </c>
      <c r="BB9" s="18">
        <v>44.450859000000001</v>
      </c>
      <c r="BC9" s="18">
        <v>13.355283</v>
      </c>
      <c r="BD9" s="18">
        <v>40.392330000000001</v>
      </c>
      <c r="BE9" s="18">
        <v>46.816498000000003</v>
      </c>
      <c r="BF9" s="18">
        <v>142.77572599999999</v>
      </c>
      <c r="BG9" s="18">
        <v>32.350226999999997</v>
      </c>
      <c r="BH9" s="18">
        <v>35.944004</v>
      </c>
      <c r="BI9" s="18">
        <v>57.513930999999999</v>
      </c>
      <c r="BJ9" s="18">
        <v>5.4649010000000002</v>
      </c>
      <c r="BK9" s="18">
        <v>67.039597000000001</v>
      </c>
      <c r="BL9" s="18">
        <v>101.150948</v>
      </c>
      <c r="BM9" s="18">
        <v>71.767921000000001</v>
      </c>
      <c r="BN9" s="18">
        <v>32.756241000000003</v>
      </c>
      <c r="BO9" s="18">
        <v>64.654174999999995</v>
      </c>
      <c r="BP9" s="18">
        <v>120.12101</v>
      </c>
      <c r="BQ9" s="18">
        <v>108.687393</v>
      </c>
      <c r="BR9" s="18">
        <v>55.494377</v>
      </c>
      <c r="BS9" s="18">
        <v>63.006507999999997</v>
      </c>
      <c r="BT9" s="18">
        <v>45.599997999999999</v>
      </c>
      <c r="BU9" s="18">
        <v>61.98</v>
      </c>
      <c r="BV9" s="18">
        <v>29.555344000000002</v>
      </c>
      <c r="BW9" s="18">
        <v>18.975079999999998</v>
      </c>
      <c r="BX9" s="18">
        <v>38.101398000000003</v>
      </c>
      <c r="BY9" s="18">
        <v>49.130001</v>
      </c>
      <c r="BZ9" s="18">
        <v>60.310371000000004</v>
      </c>
      <c r="CA9" s="18">
        <v>50.52</v>
      </c>
      <c r="CB9" s="18">
        <v>83.980002999999996</v>
      </c>
      <c r="CC9" s="18">
        <v>13.910129</v>
      </c>
      <c r="CD9" s="18">
        <v>41.290000999999997</v>
      </c>
      <c r="CE9" s="18">
        <v>8.3618640000000006</v>
      </c>
      <c r="CF9" s="18">
        <v>13.57</v>
      </c>
    </row>
    <row r="10" spans="1:121" x14ac:dyDescent="0.25">
      <c r="A10" s="17">
        <v>41547</v>
      </c>
      <c r="B10" s="18">
        <v>56.215423999999999</v>
      </c>
      <c r="C10" s="18">
        <v>20.120573</v>
      </c>
      <c r="D10" s="18">
        <v>157.17752100000001</v>
      </c>
      <c r="E10" s="18">
        <v>60.284934999999997</v>
      </c>
      <c r="F10" s="18">
        <v>83.072006000000002</v>
      </c>
      <c r="G10" s="18">
        <v>65.723884999999996</v>
      </c>
      <c r="H10" s="18">
        <v>32.592846000000002</v>
      </c>
      <c r="I10" s="18">
        <v>130.25</v>
      </c>
      <c r="J10" s="18">
        <v>52.812275</v>
      </c>
      <c r="K10" s="18">
        <v>110.03969600000001</v>
      </c>
      <c r="L10" s="18">
        <v>32.592846000000002</v>
      </c>
      <c r="M10" s="18">
        <v>69.482039999999998</v>
      </c>
      <c r="N10" s="18">
        <v>33.668559999999999</v>
      </c>
      <c r="O10" s="18">
        <v>193.36999499999999</v>
      </c>
      <c r="P10" s="18">
        <v>73.473724000000004</v>
      </c>
      <c r="Q10" s="18">
        <v>101.46682</v>
      </c>
      <c r="R10" s="18">
        <v>173.788803</v>
      </c>
      <c r="S10" s="18">
        <v>49.378307</v>
      </c>
      <c r="T10" s="18">
        <v>75.379294999999999</v>
      </c>
      <c r="U10" s="18">
        <v>58.244346999999998</v>
      </c>
      <c r="V10" s="18">
        <v>95.404967999999997</v>
      </c>
      <c r="W10" s="18">
        <v>38.227317999999997</v>
      </c>
      <c r="X10" s="18">
        <v>46.979686999999998</v>
      </c>
      <c r="Y10" s="18">
        <v>76.624900999999994</v>
      </c>
      <c r="Z10" s="18">
        <v>24.480312000000001</v>
      </c>
      <c r="AA10" s="18">
        <v>40.913158000000003</v>
      </c>
      <c r="AB10" s="18">
        <v>66.395377999999994</v>
      </c>
      <c r="AC10" s="18">
        <v>42.602673000000003</v>
      </c>
      <c r="AD10" s="18">
        <v>73.912659000000005</v>
      </c>
      <c r="AE10" s="18">
        <v>78.849997999999999</v>
      </c>
      <c r="AF10" s="18">
        <v>76</v>
      </c>
      <c r="AG10" s="18">
        <v>141.30041499999999</v>
      </c>
      <c r="AH10" s="18">
        <v>68.565262000000004</v>
      </c>
      <c r="AI10" s="18">
        <v>39.634354000000002</v>
      </c>
      <c r="AJ10" s="18">
        <v>49.835030000000003</v>
      </c>
      <c r="AK10" s="18">
        <v>55.108863999999997</v>
      </c>
      <c r="AL10" s="18">
        <v>31.930246</v>
      </c>
      <c r="AM10" s="18">
        <v>18.480550999999998</v>
      </c>
      <c r="AN10" s="18">
        <v>42.879482000000003</v>
      </c>
      <c r="AO10" s="18">
        <v>69.619759000000002</v>
      </c>
      <c r="AP10" s="18">
        <v>64.439018000000004</v>
      </c>
      <c r="AQ10" s="18">
        <v>428.79998799999998</v>
      </c>
      <c r="AR10" s="18">
        <v>24.834987999999999</v>
      </c>
      <c r="AS10" s="18">
        <v>18.157876999999999</v>
      </c>
      <c r="AT10" s="18">
        <v>22.135973</v>
      </c>
      <c r="AU10" s="18">
        <v>37.049396999999999</v>
      </c>
      <c r="AV10" s="18">
        <v>28.636227000000002</v>
      </c>
      <c r="AW10" s="18">
        <v>69.160399999999996</v>
      </c>
      <c r="AX10" s="18">
        <v>54.39996</v>
      </c>
      <c r="AY10" s="18">
        <v>32.968978999999997</v>
      </c>
      <c r="AZ10" s="18">
        <v>74.814567999999994</v>
      </c>
      <c r="BA10" s="18">
        <v>55.084063999999998</v>
      </c>
      <c r="BB10" s="18">
        <v>45.471305999999998</v>
      </c>
      <c r="BC10" s="18">
        <v>13.052612</v>
      </c>
      <c r="BD10" s="18">
        <v>44.583443000000003</v>
      </c>
      <c r="BE10" s="18">
        <v>46.999878000000002</v>
      </c>
      <c r="BF10" s="18">
        <v>148.967972</v>
      </c>
      <c r="BG10" s="18">
        <v>32.753155</v>
      </c>
      <c r="BH10" s="18">
        <v>36.402034999999998</v>
      </c>
      <c r="BI10" s="18">
        <v>63.843437000000002</v>
      </c>
      <c r="BJ10" s="18">
        <v>6.2796409999999998</v>
      </c>
      <c r="BK10" s="18">
        <v>70.405090000000001</v>
      </c>
      <c r="BL10" s="18">
        <v>106.93126700000001</v>
      </c>
      <c r="BM10" s="18">
        <v>75.276024000000007</v>
      </c>
      <c r="BN10" s="18">
        <v>34.656010000000002</v>
      </c>
      <c r="BO10" s="18">
        <v>68.996414000000001</v>
      </c>
      <c r="BP10" s="18">
        <v>129.02569600000001</v>
      </c>
      <c r="BQ10" s="18">
        <v>117.812912</v>
      </c>
      <c r="BR10" s="18">
        <v>60.990540000000003</v>
      </c>
      <c r="BS10" s="18">
        <v>69.780936999999994</v>
      </c>
      <c r="BT10" s="18">
        <v>45.560001</v>
      </c>
      <c r="BU10" s="18">
        <v>69.636664999999994</v>
      </c>
      <c r="BV10" s="18">
        <v>29.656673000000001</v>
      </c>
      <c r="BW10" s="18">
        <v>19.980181000000002</v>
      </c>
      <c r="BX10" s="18">
        <v>37.530434</v>
      </c>
      <c r="BY10" s="18">
        <v>51.91</v>
      </c>
      <c r="BZ10" s="18">
        <v>62.949482000000003</v>
      </c>
      <c r="CA10" s="18">
        <v>46.139999000000003</v>
      </c>
      <c r="CB10" s="18">
        <v>86.519997000000004</v>
      </c>
      <c r="CC10" s="18">
        <v>14.747992999999999</v>
      </c>
      <c r="CD10" s="18">
        <v>50.23</v>
      </c>
      <c r="CE10" s="18">
        <v>7.8565589999999998</v>
      </c>
      <c r="CF10" s="18">
        <v>17.469999000000001</v>
      </c>
    </row>
    <row r="11" spans="1:121" x14ac:dyDescent="0.25">
      <c r="A11" s="17">
        <v>41578</v>
      </c>
      <c r="B11" s="18">
        <v>61.633567999999997</v>
      </c>
      <c r="C11" s="18">
        <v>22.185122</v>
      </c>
      <c r="D11" s="18">
        <v>152.11035200000001</v>
      </c>
      <c r="E11" s="18">
        <v>64.117583999999994</v>
      </c>
      <c r="F11" s="18">
        <v>83.339675999999997</v>
      </c>
      <c r="G11" s="18">
        <v>68.203177999999994</v>
      </c>
      <c r="H11" s="18">
        <v>34.294570999999998</v>
      </c>
      <c r="I11" s="18">
        <v>132.41999799999999</v>
      </c>
      <c r="J11" s="18">
        <v>51.220466999999999</v>
      </c>
      <c r="K11" s="18">
        <v>112.24717699999999</v>
      </c>
      <c r="L11" s="18">
        <v>34.294570999999998</v>
      </c>
      <c r="M11" s="18">
        <v>74.017394999999993</v>
      </c>
      <c r="N11" s="18">
        <v>35.452765999999997</v>
      </c>
      <c r="O11" s="18">
        <v>159.94000199999999</v>
      </c>
      <c r="P11" s="18">
        <v>76.530861000000002</v>
      </c>
      <c r="Q11" s="18">
        <v>100.180725</v>
      </c>
      <c r="R11" s="18">
        <v>179.34077500000001</v>
      </c>
      <c r="S11" s="18">
        <v>50.899197000000001</v>
      </c>
      <c r="T11" s="18">
        <v>76.059348999999997</v>
      </c>
      <c r="U11" s="18">
        <v>61.482109000000001</v>
      </c>
      <c r="V11" s="18">
        <v>95.871146999999993</v>
      </c>
      <c r="W11" s="18">
        <v>40.742046000000002</v>
      </c>
      <c r="X11" s="18">
        <v>50.129890000000003</v>
      </c>
      <c r="Y11" s="18">
        <v>81.857544000000004</v>
      </c>
      <c r="Z11" s="18">
        <v>26.150393000000001</v>
      </c>
      <c r="AA11" s="18">
        <v>39.096843999999997</v>
      </c>
      <c r="AB11" s="18">
        <v>63.527683000000003</v>
      </c>
      <c r="AC11" s="18">
        <v>46.977542999999997</v>
      </c>
      <c r="AD11" s="18">
        <v>79.402657000000005</v>
      </c>
      <c r="AE11" s="18">
        <v>88.519997000000004</v>
      </c>
      <c r="AF11" s="18">
        <v>78.349997999999999</v>
      </c>
      <c r="AG11" s="18">
        <v>151.68211400000001</v>
      </c>
      <c r="AH11" s="18">
        <v>70.779899999999998</v>
      </c>
      <c r="AI11" s="18">
        <v>42.480182999999997</v>
      </c>
      <c r="AJ11" s="18">
        <v>56.722099</v>
      </c>
      <c r="AK11" s="18">
        <v>60.016857000000002</v>
      </c>
      <c r="AL11" s="18">
        <v>32.083286000000001</v>
      </c>
      <c r="AM11" s="18">
        <v>21.390336999999999</v>
      </c>
      <c r="AN11" s="18">
        <v>47.510784000000001</v>
      </c>
      <c r="AO11" s="18">
        <v>67.853935000000007</v>
      </c>
      <c r="AP11" s="18">
        <v>63.792209999999997</v>
      </c>
      <c r="AQ11" s="18">
        <v>526.96997099999999</v>
      </c>
      <c r="AR11" s="18">
        <v>25.664021999999999</v>
      </c>
      <c r="AS11" s="18">
        <v>19.480399999999999</v>
      </c>
      <c r="AT11" s="18">
        <v>22.538768999999998</v>
      </c>
      <c r="AU11" s="18">
        <v>38.476447999999998</v>
      </c>
      <c r="AV11" s="18">
        <v>28.538277000000001</v>
      </c>
      <c r="AW11" s="18">
        <v>73.120536999999999</v>
      </c>
      <c r="AX11" s="18">
        <v>58.432312000000003</v>
      </c>
      <c r="AY11" s="18">
        <v>32.752819000000002</v>
      </c>
      <c r="AZ11" s="18">
        <v>80.232826000000003</v>
      </c>
      <c r="BA11" s="18">
        <v>58.293292999999998</v>
      </c>
      <c r="BB11" s="18">
        <v>45.339343999999997</v>
      </c>
      <c r="BC11" s="18">
        <v>13.222687000000001</v>
      </c>
      <c r="BD11" s="18">
        <v>45.882914999999997</v>
      </c>
      <c r="BE11" s="18">
        <v>47.261471</v>
      </c>
      <c r="BF11" s="18">
        <v>151.46318099999999</v>
      </c>
      <c r="BG11" s="18">
        <v>33.662170000000003</v>
      </c>
      <c r="BH11" s="18">
        <v>37.608974000000003</v>
      </c>
      <c r="BI11" s="18">
        <v>68.049171000000001</v>
      </c>
      <c r="BJ11" s="18">
        <v>6.84842</v>
      </c>
      <c r="BK11" s="18">
        <v>76.259772999999996</v>
      </c>
      <c r="BL11" s="18">
        <v>112.698257</v>
      </c>
      <c r="BM11" s="18">
        <v>78.621025000000003</v>
      </c>
      <c r="BN11" s="18">
        <v>36.058101999999998</v>
      </c>
      <c r="BO11" s="18">
        <v>71.665801999999999</v>
      </c>
      <c r="BP11" s="18">
        <v>123.141029</v>
      </c>
      <c r="BQ11" s="18">
        <v>112.62584699999999</v>
      </c>
      <c r="BR11" s="18">
        <v>64.635955999999993</v>
      </c>
      <c r="BS11" s="18">
        <v>68.321442000000005</v>
      </c>
      <c r="BT11" s="18">
        <v>48.310001</v>
      </c>
      <c r="BU11" s="18">
        <v>75.883330999999998</v>
      </c>
      <c r="BV11" s="18">
        <v>31.554774999999999</v>
      </c>
      <c r="BW11" s="18">
        <v>21.331371000000001</v>
      </c>
      <c r="BX11" s="18">
        <v>40.618434999999998</v>
      </c>
      <c r="BY11" s="18">
        <v>53.360000999999997</v>
      </c>
      <c r="BZ11" s="18">
        <v>67.791038999999998</v>
      </c>
      <c r="CA11" s="18">
        <v>43.27</v>
      </c>
      <c r="CB11" s="18">
        <v>87.449996999999996</v>
      </c>
      <c r="CC11" s="18">
        <v>14.397301000000001</v>
      </c>
      <c r="CD11" s="18">
        <v>50.209999000000003</v>
      </c>
      <c r="CE11" s="18">
        <v>9.2536570000000005</v>
      </c>
      <c r="CF11" s="18">
        <v>17.68</v>
      </c>
    </row>
    <row r="12" spans="1:121" x14ac:dyDescent="0.25">
      <c r="A12" s="17">
        <v>41608</v>
      </c>
      <c r="B12" s="18">
        <v>65.568352000000004</v>
      </c>
      <c r="C12" s="18">
        <v>22.626446000000001</v>
      </c>
      <c r="D12" s="18">
        <v>152.50926200000001</v>
      </c>
      <c r="E12" s="18">
        <v>65.940444999999997</v>
      </c>
      <c r="F12" s="18">
        <v>84.073607999999993</v>
      </c>
      <c r="G12" s="18">
        <v>71.988799999999998</v>
      </c>
      <c r="H12" s="18">
        <v>34.831913</v>
      </c>
      <c r="I12" s="18">
        <v>140.020004</v>
      </c>
      <c r="J12" s="18">
        <v>52.784027000000002</v>
      </c>
      <c r="K12" s="18">
        <v>108.45703899999999</v>
      </c>
      <c r="L12" s="18">
        <v>34.831913</v>
      </c>
      <c r="M12" s="18">
        <v>74.343070999999995</v>
      </c>
      <c r="N12" s="18">
        <v>37.582053999999999</v>
      </c>
      <c r="O12" s="18">
        <v>127.279999</v>
      </c>
      <c r="P12" s="18">
        <v>79.827095</v>
      </c>
      <c r="Q12" s="18">
        <v>102.251823</v>
      </c>
      <c r="R12" s="18">
        <v>174.599716</v>
      </c>
      <c r="S12" s="18">
        <v>53.344161999999997</v>
      </c>
      <c r="T12" s="18">
        <v>81.304839999999999</v>
      </c>
      <c r="U12" s="18">
        <v>63.822876000000001</v>
      </c>
      <c r="V12" s="18">
        <v>104.019379</v>
      </c>
      <c r="W12" s="18">
        <v>42.563656000000002</v>
      </c>
      <c r="X12" s="18">
        <v>50.010365</v>
      </c>
      <c r="Y12" s="18">
        <v>83.669533000000001</v>
      </c>
      <c r="Z12" s="18">
        <v>27.036560000000001</v>
      </c>
      <c r="AA12" s="18">
        <v>43.206828999999999</v>
      </c>
      <c r="AB12" s="18">
        <v>69.316467000000003</v>
      </c>
      <c r="AC12" s="18">
        <v>46.260024999999999</v>
      </c>
      <c r="AD12" s="18">
        <v>81.245780999999994</v>
      </c>
      <c r="AE12" s="18">
        <v>92.309997999999993</v>
      </c>
      <c r="AF12" s="18">
        <v>95</v>
      </c>
      <c r="AG12" s="18">
        <v>160.01290900000001</v>
      </c>
      <c r="AH12" s="18">
        <v>73.306128999999999</v>
      </c>
      <c r="AI12" s="18">
        <v>44.308300000000003</v>
      </c>
      <c r="AJ12" s="18">
        <v>61.262169</v>
      </c>
      <c r="AK12" s="18">
        <v>64.816399000000004</v>
      </c>
      <c r="AL12" s="18">
        <v>34.050915000000003</v>
      </c>
      <c r="AM12" s="18">
        <v>25.584714999999999</v>
      </c>
      <c r="AN12" s="18">
        <v>48.279339</v>
      </c>
      <c r="AO12" s="18">
        <v>72.622528000000003</v>
      </c>
      <c r="AP12" s="18">
        <v>65.761345000000006</v>
      </c>
      <c r="AQ12" s="18">
        <v>523.85998500000005</v>
      </c>
      <c r="AR12" s="18">
        <v>26.294813000000001</v>
      </c>
      <c r="AS12" s="18">
        <v>20.427612</v>
      </c>
      <c r="AT12" s="18">
        <v>21.545197999999999</v>
      </c>
      <c r="AU12" s="18">
        <v>38.009739000000003</v>
      </c>
      <c r="AV12" s="18">
        <v>30.942432</v>
      </c>
      <c r="AW12" s="18">
        <v>72.982498000000007</v>
      </c>
      <c r="AX12" s="18">
        <v>56.99044</v>
      </c>
      <c r="AY12" s="18">
        <v>32.927467</v>
      </c>
      <c r="AZ12" s="18">
        <v>77.855957000000004</v>
      </c>
      <c r="BA12" s="18">
        <v>56.26981</v>
      </c>
      <c r="BB12" s="18">
        <v>50.706833000000003</v>
      </c>
      <c r="BC12" s="18">
        <v>14.973718999999999</v>
      </c>
      <c r="BD12" s="18">
        <v>47.467010000000002</v>
      </c>
      <c r="BE12" s="18">
        <v>51.282887000000002</v>
      </c>
      <c r="BF12" s="18">
        <v>159.071213</v>
      </c>
      <c r="BG12" s="18">
        <v>35.338070000000002</v>
      </c>
      <c r="BH12" s="18">
        <v>38.780670000000001</v>
      </c>
      <c r="BI12" s="18">
        <v>72.846176</v>
      </c>
      <c r="BJ12" s="18">
        <v>7.040311</v>
      </c>
      <c r="BK12" s="18">
        <v>80.231887999999998</v>
      </c>
      <c r="BL12" s="18">
        <v>119.557732</v>
      </c>
      <c r="BM12" s="18">
        <v>80.234572999999997</v>
      </c>
      <c r="BN12" s="18">
        <v>37.413601</v>
      </c>
      <c r="BO12" s="18">
        <v>72.384354000000002</v>
      </c>
      <c r="BP12" s="18">
        <v>126.110016</v>
      </c>
      <c r="BQ12" s="18">
        <v>117.360703</v>
      </c>
      <c r="BR12" s="18">
        <v>66.916634000000002</v>
      </c>
      <c r="BS12" s="18">
        <v>68.349861000000004</v>
      </c>
      <c r="BT12" s="18">
        <v>51.84</v>
      </c>
      <c r="BU12" s="18">
        <v>73.613335000000006</v>
      </c>
      <c r="BV12" s="18">
        <v>33.978645</v>
      </c>
      <c r="BW12" s="18">
        <v>20.782178999999999</v>
      </c>
      <c r="BX12" s="18">
        <v>40.354996</v>
      </c>
      <c r="BY12" s="18">
        <v>52.09</v>
      </c>
      <c r="BZ12" s="18">
        <v>70.670829999999995</v>
      </c>
      <c r="CA12" s="18">
        <v>46.849997999999999</v>
      </c>
      <c r="CB12" s="18">
        <v>85.669998000000007</v>
      </c>
      <c r="CC12" s="18">
        <v>14.785907999999999</v>
      </c>
      <c r="CD12" s="18">
        <v>47.009998000000003</v>
      </c>
      <c r="CE12" s="18">
        <v>10.385206999999999</v>
      </c>
      <c r="CF12" s="18">
        <v>21.1</v>
      </c>
    </row>
    <row r="13" spans="1:121" x14ac:dyDescent="0.25">
      <c r="A13" s="17">
        <v>41639</v>
      </c>
      <c r="B13" s="18">
        <v>68.953743000000003</v>
      </c>
      <c r="C13" s="18">
        <v>23.789173000000002</v>
      </c>
      <c r="D13" s="18">
        <v>160.06115700000001</v>
      </c>
      <c r="E13" s="18">
        <v>71.418350000000004</v>
      </c>
      <c r="F13" s="18">
        <v>84.476844999999997</v>
      </c>
      <c r="G13" s="18">
        <v>69.927138999999997</v>
      </c>
      <c r="H13" s="18">
        <v>36.053406000000003</v>
      </c>
      <c r="I13" s="18">
        <v>148.89999399999999</v>
      </c>
      <c r="J13" s="18">
        <v>54.958694000000001</v>
      </c>
      <c r="K13" s="18">
        <v>105.74234800000001</v>
      </c>
      <c r="L13" s="18">
        <v>36.053406000000003</v>
      </c>
      <c r="M13" s="18">
        <v>73.005142000000006</v>
      </c>
      <c r="N13" s="18">
        <v>36.685974000000002</v>
      </c>
      <c r="O13" s="18">
        <v>150.429993</v>
      </c>
      <c r="P13" s="18">
        <v>87.007583999999994</v>
      </c>
      <c r="Q13" s="18">
        <v>105.190506</v>
      </c>
      <c r="R13" s="18">
        <v>175.523743</v>
      </c>
      <c r="S13" s="18">
        <v>57.840843</v>
      </c>
      <c r="T13" s="18">
        <v>79.123817000000003</v>
      </c>
      <c r="U13" s="18">
        <v>58.881259999999997</v>
      </c>
      <c r="V13" s="18">
        <v>106.974846</v>
      </c>
      <c r="W13" s="18">
        <v>42.003838000000002</v>
      </c>
      <c r="X13" s="18">
        <v>53.514423000000001</v>
      </c>
      <c r="Y13" s="18">
        <v>81.521148999999994</v>
      </c>
      <c r="Z13" s="18">
        <v>26.301328999999999</v>
      </c>
      <c r="AA13" s="18">
        <v>43.397590999999998</v>
      </c>
      <c r="AB13" s="18">
        <v>70.079620000000006</v>
      </c>
      <c r="AC13" s="18">
        <v>47.545577999999999</v>
      </c>
      <c r="AD13" s="18">
        <v>80.141402999999997</v>
      </c>
      <c r="AE13" s="18">
        <v>113.08000199999999</v>
      </c>
      <c r="AF13" s="18">
        <v>98.900002000000001</v>
      </c>
      <c r="AG13" s="18">
        <v>164.90036000000001</v>
      </c>
      <c r="AH13" s="18">
        <v>74.823691999999994</v>
      </c>
      <c r="AI13" s="18">
        <v>46.672812999999998</v>
      </c>
      <c r="AJ13" s="18">
        <v>67.169632000000007</v>
      </c>
      <c r="AK13" s="18">
        <v>66.882553000000001</v>
      </c>
      <c r="AL13" s="18">
        <v>36.543247000000001</v>
      </c>
      <c r="AM13" s="18">
        <v>29.642842999999999</v>
      </c>
      <c r="AN13" s="18">
        <v>49.367297999999998</v>
      </c>
      <c r="AO13" s="18">
        <v>76.031386999999995</v>
      </c>
      <c r="AP13" s="18">
        <v>66.256004000000004</v>
      </c>
      <c r="AQ13" s="18">
        <v>532.78002900000001</v>
      </c>
      <c r="AR13" s="18">
        <v>26.074835</v>
      </c>
      <c r="AS13" s="18">
        <v>20.762651000000002</v>
      </c>
      <c r="AT13" s="18">
        <v>21.244198000000001</v>
      </c>
      <c r="AU13" s="18">
        <v>38.179488999999997</v>
      </c>
      <c r="AV13" s="18">
        <v>31.847698000000001</v>
      </c>
      <c r="AW13" s="18">
        <v>74.441817999999998</v>
      </c>
      <c r="AX13" s="18">
        <v>56.834656000000003</v>
      </c>
      <c r="AY13" s="18">
        <v>33.316474999999997</v>
      </c>
      <c r="AZ13" s="18">
        <v>79.017989999999998</v>
      </c>
      <c r="BA13" s="18">
        <v>55.974727999999999</v>
      </c>
      <c r="BB13" s="18">
        <v>51.823410000000003</v>
      </c>
      <c r="BC13" s="18">
        <v>14.737095</v>
      </c>
      <c r="BD13" s="18">
        <v>52.373657000000001</v>
      </c>
      <c r="BE13" s="18">
        <v>50.497943999999997</v>
      </c>
      <c r="BF13" s="18">
        <v>167.453247</v>
      </c>
      <c r="BG13" s="18">
        <v>36.401271999999999</v>
      </c>
      <c r="BH13" s="18">
        <v>40.279876999999999</v>
      </c>
      <c r="BI13" s="18">
        <v>79.993752000000001</v>
      </c>
      <c r="BJ13" s="18">
        <v>7.1426860000000003</v>
      </c>
      <c r="BK13" s="18">
        <v>84.841949</v>
      </c>
      <c r="BL13" s="18">
        <v>126.209686</v>
      </c>
      <c r="BM13" s="18">
        <v>83.251900000000006</v>
      </c>
      <c r="BN13" s="18">
        <v>38.614040000000003</v>
      </c>
      <c r="BO13" s="18">
        <v>76.477469999999997</v>
      </c>
      <c r="BP13" s="18">
        <v>134.841431</v>
      </c>
      <c r="BQ13" s="18">
        <v>125.58699799999999</v>
      </c>
      <c r="BR13" s="18">
        <v>69.280715999999998</v>
      </c>
      <c r="BS13" s="18">
        <v>70.415901000000005</v>
      </c>
      <c r="BT13" s="18">
        <v>54.080002</v>
      </c>
      <c r="BU13" s="18">
        <v>79.906670000000005</v>
      </c>
      <c r="BV13" s="18">
        <v>33.589848000000003</v>
      </c>
      <c r="BW13" s="18">
        <v>22.842106000000001</v>
      </c>
      <c r="BX13" s="18">
        <v>39.964626000000003</v>
      </c>
      <c r="BY13" s="18">
        <v>55.189999</v>
      </c>
      <c r="BZ13" s="18">
        <v>72.660606000000001</v>
      </c>
      <c r="CA13" s="18">
        <v>56.040000999999997</v>
      </c>
      <c r="CB13" s="18">
        <v>87.199996999999996</v>
      </c>
      <c r="CC13" s="18">
        <v>15.266221</v>
      </c>
      <c r="CD13" s="18">
        <v>54.650002000000001</v>
      </c>
      <c r="CE13" s="18">
        <v>10.624431</v>
      </c>
      <c r="CF13" s="18">
        <v>21.75</v>
      </c>
    </row>
    <row r="14" spans="1:121" x14ac:dyDescent="0.25">
      <c r="A14" s="17">
        <v>41670</v>
      </c>
      <c r="B14" s="18">
        <v>61.527653000000001</v>
      </c>
      <c r="C14" s="18">
        <v>21.500498</v>
      </c>
      <c r="D14" s="18">
        <v>150.76821899999999</v>
      </c>
      <c r="E14" s="18">
        <v>68.713440000000006</v>
      </c>
      <c r="F14" s="18">
        <v>81.986855000000006</v>
      </c>
      <c r="G14" s="18">
        <v>66.75</v>
      </c>
      <c r="H14" s="18">
        <v>33.007496000000003</v>
      </c>
      <c r="I14" s="18">
        <v>142.179993</v>
      </c>
      <c r="J14" s="18">
        <v>51.21537</v>
      </c>
      <c r="K14" s="18">
        <v>99.532416999999995</v>
      </c>
      <c r="L14" s="18">
        <v>33.007496000000003</v>
      </c>
      <c r="M14" s="18">
        <v>71.216469000000004</v>
      </c>
      <c r="N14" s="18">
        <v>33.438789</v>
      </c>
      <c r="O14" s="18">
        <v>181.41000399999999</v>
      </c>
      <c r="P14" s="18">
        <v>79.235382000000001</v>
      </c>
      <c r="Q14" s="18">
        <v>94.007011000000006</v>
      </c>
      <c r="R14" s="18">
        <v>175.29418899999999</v>
      </c>
      <c r="S14" s="18">
        <v>57.816943999999999</v>
      </c>
      <c r="T14" s="18">
        <v>80.132469</v>
      </c>
      <c r="U14" s="18">
        <v>59.821682000000003</v>
      </c>
      <c r="V14" s="18">
        <v>97.796370999999994</v>
      </c>
      <c r="W14" s="18">
        <v>39.894711000000001</v>
      </c>
      <c r="X14" s="18">
        <v>51.080376000000001</v>
      </c>
      <c r="Y14" s="18">
        <v>78.744140999999999</v>
      </c>
      <c r="Z14" s="18">
        <v>26.103828</v>
      </c>
      <c r="AA14" s="18">
        <v>46.346069</v>
      </c>
      <c r="AB14" s="18">
        <v>67.525413999999998</v>
      </c>
      <c r="AC14" s="18">
        <v>50.096760000000003</v>
      </c>
      <c r="AD14" s="18">
        <v>80.890945000000002</v>
      </c>
      <c r="AE14" s="18">
        <v>102.620003</v>
      </c>
      <c r="AF14" s="18">
        <v>101.959999</v>
      </c>
      <c r="AG14" s="18">
        <v>185.49328600000001</v>
      </c>
      <c r="AH14" s="18">
        <v>70.177948000000001</v>
      </c>
      <c r="AI14" s="18">
        <v>46.625529999999998</v>
      </c>
      <c r="AJ14" s="18">
        <v>62.656948</v>
      </c>
      <c r="AK14" s="18">
        <v>64.386604000000005</v>
      </c>
      <c r="AL14" s="18">
        <v>35.461052000000002</v>
      </c>
      <c r="AM14" s="18">
        <v>26.421641999999999</v>
      </c>
      <c r="AN14" s="18">
        <v>47.700428000000002</v>
      </c>
      <c r="AO14" s="18">
        <v>78.855400000000003</v>
      </c>
      <c r="AP14" s="18">
        <v>67.362410999999994</v>
      </c>
      <c r="AQ14" s="18">
        <v>551.96002199999998</v>
      </c>
      <c r="AR14" s="18">
        <v>25.775333</v>
      </c>
      <c r="AS14" s="18">
        <v>20.960647999999999</v>
      </c>
      <c r="AT14" s="18">
        <v>21.568403</v>
      </c>
      <c r="AU14" s="18">
        <v>38.459560000000003</v>
      </c>
      <c r="AV14" s="18">
        <v>30.224374999999998</v>
      </c>
      <c r="AW14" s="18">
        <v>79.927986000000004</v>
      </c>
      <c r="AX14" s="18">
        <v>58.160609999999998</v>
      </c>
      <c r="AY14" s="18">
        <v>33.421821999999999</v>
      </c>
      <c r="AZ14" s="18">
        <v>82.193839999999994</v>
      </c>
      <c r="BA14" s="18">
        <v>58.094166000000001</v>
      </c>
      <c r="BB14" s="18">
        <v>49.058551999999999</v>
      </c>
      <c r="BC14" s="18">
        <v>15.864179</v>
      </c>
      <c r="BD14" s="18">
        <v>50.668495</v>
      </c>
      <c r="BE14" s="18">
        <v>45.962715000000003</v>
      </c>
      <c r="BF14" s="18">
        <v>155.040222</v>
      </c>
      <c r="BG14" s="18">
        <v>36.001949000000003</v>
      </c>
      <c r="BH14" s="18">
        <v>40.226646000000002</v>
      </c>
      <c r="BI14" s="18">
        <v>72.462219000000005</v>
      </c>
      <c r="BJ14" s="18">
        <v>6.8040570000000002</v>
      </c>
      <c r="BK14" s="18">
        <v>79.502494999999996</v>
      </c>
      <c r="BL14" s="18">
        <v>115.356987</v>
      </c>
      <c r="BM14" s="18">
        <v>83.124336</v>
      </c>
      <c r="BN14" s="18">
        <v>37.224510000000002</v>
      </c>
      <c r="BO14" s="18">
        <v>72.100303999999994</v>
      </c>
      <c r="BP14" s="18">
        <v>133.44129899999999</v>
      </c>
      <c r="BQ14" s="18">
        <v>113.12361900000001</v>
      </c>
      <c r="BR14" s="18">
        <v>67.554564999999997</v>
      </c>
      <c r="BS14" s="18">
        <v>65.860268000000005</v>
      </c>
      <c r="BT14" s="18">
        <v>54.959999000000003</v>
      </c>
      <c r="BU14" s="18">
        <v>82.193336000000002</v>
      </c>
      <c r="BV14" s="18">
        <v>33.975937000000002</v>
      </c>
      <c r="BW14" s="18">
        <v>21.592656999999999</v>
      </c>
      <c r="BX14" s="18">
        <v>39.053753</v>
      </c>
      <c r="BY14" s="18">
        <v>60.529998999999997</v>
      </c>
      <c r="BZ14" s="18">
        <v>69.737815999999995</v>
      </c>
      <c r="CA14" s="18">
        <v>56.5</v>
      </c>
      <c r="CB14" s="18">
        <v>78.529999000000004</v>
      </c>
      <c r="CC14" s="18">
        <v>14.961277000000001</v>
      </c>
      <c r="CD14" s="18">
        <v>62.57</v>
      </c>
      <c r="CE14" s="18">
        <v>11.140326</v>
      </c>
      <c r="CF14" s="18">
        <v>23.040001</v>
      </c>
    </row>
    <row r="15" spans="1:121" x14ac:dyDescent="0.25">
      <c r="A15" s="17">
        <v>41698</v>
      </c>
      <c r="B15" s="18">
        <v>64.679007999999996</v>
      </c>
      <c r="C15" s="18">
        <v>21.791392999999999</v>
      </c>
      <c r="D15" s="18">
        <v>158.01310699999999</v>
      </c>
      <c r="E15" s="18">
        <v>76.473395999999994</v>
      </c>
      <c r="F15" s="18">
        <v>82.840057000000002</v>
      </c>
      <c r="G15" s="18">
        <v>66.767876000000001</v>
      </c>
      <c r="H15" s="18">
        <v>33.339137999999998</v>
      </c>
      <c r="I15" s="18">
        <v>141.529999</v>
      </c>
      <c r="J15" s="18">
        <v>55.261189000000002</v>
      </c>
      <c r="K15" s="18">
        <v>100.00076300000001</v>
      </c>
      <c r="L15" s="18">
        <v>33.339137999999998</v>
      </c>
      <c r="M15" s="18">
        <v>70.959473000000003</v>
      </c>
      <c r="N15" s="18">
        <v>32.137245</v>
      </c>
      <c r="O15" s="18">
        <v>244.80999800000001</v>
      </c>
      <c r="P15" s="18">
        <v>82.768996999999999</v>
      </c>
      <c r="Q15" s="18">
        <v>97.122887000000006</v>
      </c>
      <c r="R15" s="18">
        <v>191.765671</v>
      </c>
      <c r="S15" s="18">
        <v>63.425476000000003</v>
      </c>
      <c r="T15" s="18">
        <v>86.705376000000001</v>
      </c>
      <c r="U15" s="18">
        <v>61.508769999999998</v>
      </c>
      <c r="V15" s="18">
        <v>101.36621100000001</v>
      </c>
      <c r="W15" s="18">
        <v>43.646571999999999</v>
      </c>
      <c r="X15" s="18">
        <v>49.119385000000001</v>
      </c>
      <c r="Y15" s="18">
        <v>81.992881999999994</v>
      </c>
      <c r="Z15" s="18">
        <v>27.57217</v>
      </c>
      <c r="AA15" s="18">
        <v>49.863365000000002</v>
      </c>
      <c r="AB15" s="18">
        <v>72.187186999999994</v>
      </c>
      <c r="AC15" s="18">
        <v>51.023555999999999</v>
      </c>
      <c r="AD15" s="18">
        <v>79.174888999999993</v>
      </c>
      <c r="AE15" s="18">
        <v>101.41999800000001</v>
      </c>
      <c r="AF15" s="18">
        <v>111.610001</v>
      </c>
      <c r="AG15" s="18">
        <v>216.74584999999999</v>
      </c>
      <c r="AH15" s="18">
        <v>74.908233999999993</v>
      </c>
      <c r="AI15" s="18">
        <v>51.288082000000003</v>
      </c>
      <c r="AJ15" s="18">
        <v>75.722519000000005</v>
      </c>
      <c r="AK15" s="18">
        <v>66.147385</v>
      </c>
      <c r="AL15" s="18">
        <v>35.723399999999998</v>
      </c>
      <c r="AM15" s="18">
        <v>27.404547000000001</v>
      </c>
      <c r="AN15" s="18">
        <v>52.062237000000003</v>
      </c>
      <c r="AO15" s="18">
        <v>81.634186</v>
      </c>
      <c r="AP15" s="18">
        <v>75.423743999999999</v>
      </c>
      <c r="AQ15" s="18">
        <v>565.21002199999998</v>
      </c>
      <c r="AR15" s="18">
        <v>27.25469</v>
      </c>
      <c r="AS15" s="18">
        <v>21.158647999999999</v>
      </c>
      <c r="AT15" s="18">
        <v>22.685099000000001</v>
      </c>
      <c r="AU15" s="18">
        <v>40.782524000000002</v>
      </c>
      <c r="AV15" s="18">
        <v>29.453071999999999</v>
      </c>
      <c r="AW15" s="18">
        <v>79.458488000000003</v>
      </c>
      <c r="AX15" s="18">
        <v>58.374737000000003</v>
      </c>
      <c r="AY15" s="18">
        <v>34.752724000000001</v>
      </c>
      <c r="AZ15" s="18">
        <v>83.754188999999997</v>
      </c>
      <c r="BA15" s="18">
        <v>61.108730000000001</v>
      </c>
      <c r="BB15" s="18">
        <v>50.681685999999999</v>
      </c>
      <c r="BC15" s="18">
        <v>15.655817000000001</v>
      </c>
      <c r="BD15" s="18">
        <v>53.140414999999997</v>
      </c>
      <c r="BE15" s="18">
        <v>47.135387000000001</v>
      </c>
      <c r="BF15" s="18">
        <v>157.241287</v>
      </c>
      <c r="BG15" s="18">
        <v>37.279636000000004</v>
      </c>
      <c r="BH15" s="18">
        <v>41.184852999999997</v>
      </c>
      <c r="BI15" s="18">
        <v>75.418991000000005</v>
      </c>
      <c r="BJ15" s="18">
        <v>7.2893660000000002</v>
      </c>
      <c r="BK15" s="18">
        <v>85.576508000000004</v>
      </c>
      <c r="BL15" s="18">
        <v>121.24224100000001</v>
      </c>
      <c r="BM15" s="18">
        <v>86.049141000000006</v>
      </c>
      <c r="BN15" s="18">
        <v>38.275340999999997</v>
      </c>
      <c r="BO15" s="18">
        <v>75.418716000000003</v>
      </c>
      <c r="BP15" s="18">
        <v>132.05758700000001</v>
      </c>
      <c r="BQ15" s="18">
        <v>129.996826</v>
      </c>
      <c r="BR15" s="18">
        <v>70.645270999999994</v>
      </c>
      <c r="BS15" s="18">
        <v>69.508628999999999</v>
      </c>
      <c r="BT15" s="18">
        <v>68.989998</v>
      </c>
      <c r="BU15" s="18">
        <v>98.853333000000006</v>
      </c>
      <c r="BV15" s="18">
        <v>34.397948999999997</v>
      </c>
      <c r="BW15" s="18">
        <v>21.78623</v>
      </c>
      <c r="BX15" s="18">
        <v>39.116432000000003</v>
      </c>
      <c r="BY15" s="18">
        <v>62.369999</v>
      </c>
      <c r="BZ15" s="18">
        <v>74.586760999999996</v>
      </c>
      <c r="CA15" s="18">
        <v>58.990001999999997</v>
      </c>
      <c r="CB15" s="18">
        <v>83.519997000000004</v>
      </c>
      <c r="CC15" s="18">
        <v>17.515173000000001</v>
      </c>
      <c r="CD15" s="18">
        <v>68.459998999999996</v>
      </c>
      <c r="CE15" s="18">
        <v>11.478379</v>
      </c>
      <c r="CF15" s="18">
        <v>24.190000999999999</v>
      </c>
    </row>
    <row r="16" spans="1:121" x14ac:dyDescent="0.25">
      <c r="A16" s="17">
        <v>41729</v>
      </c>
      <c r="B16" s="18">
        <v>68.836692999999997</v>
      </c>
      <c r="C16" s="18">
        <v>22.344263000000002</v>
      </c>
      <c r="D16" s="18">
        <v>165.160034</v>
      </c>
      <c r="E16" s="18">
        <v>75.773101999999994</v>
      </c>
      <c r="F16" s="18">
        <v>86.074546999999995</v>
      </c>
      <c r="G16" s="18">
        <v>68.314194000000001</v>
      </c>
      <c r="H16" s="18">
        <v>33.740608000000002</v>
      </c>
      <c r="I16" s="18">
        <v>135.979996</v>
      </c>
      <c r="J16" s="18">
        <v>57.964683999999998</v>
      </c>
      <c r="K16" s="18">
        <v>97.919219999999996</v>
      </c>
      <c r="L16" s="18">
        <v>33.740608000000002</v>
      </c>
      <c r="M16" s="18">
        <v>73.999184</v>
      </c>
      <c r="N16" s="18">
        <v>31.504304999999999</v>
      </c>
      <c r="O16" s="18">
        <v>208.449997</v>
      </c>
      <c r="P16" s="18">
        <v>84.576057000000006</v>
      </c>
      <c r="Q16" s="18">
        <v>101.02720600000001</v>
      </c>
      <c r="R16" s="18">
        <v>189.085037</v>
      </c>
      <c r="S16" s="18">
        <v>63.207881999999998</v>
      </c>
      <c r="T16" s="18">
        <v>88.443375000000003</v>
      </c>
      <c r="U16" s="18">
        <v>61.909554</v>
      </c>
      <c r="V16" s="18">
        <v>104.821274</v>
      </c>
      <c r="W16" s="18">
        <v>44.664924999999997</v>
      </c>
      <c r="X16" s="18">
        <v>53.117462000000003</v>
      </c>
      <c r="Y16" s="18">
        <v>88.060317999999995</v>
      </c>
      <c r="Z16" s="18">
        <v>27.810745000000001</v>
      </c>
      <c r="AA16" s="18">
        <v>49.670876</v>
      </c>
      <c r="AB16" s="18">
        <v>76.596680000000006</v>
      </c>
      <c r="AC16" s="18">
        <v>52.319073000000003</v>
      </c>
      <c r="AD16" s="18">
        <v>80.989379999999997</v>
      </c>
      <c r="AE16" s="18">
        <v>94.029999000000004</v>
      </c>
      <c r="AF16" s="18">
        <v>111</v>
      </c>
      <c r="AG16" s="18">
        <v>202.09693899999999</v>
      </c>
      <c r="AH16" s="18">
        <v>72.259995000000004</v>
      </c>
      <c r="AI16" s="18">
        <v>53.148735000000002</v>
      </c>
      <c r="AJ16" s="18">
        <v>69.908096</v>
      </c>
      <c r="AK16" s="18">
        <v>66.465041999999997</v>
      </c>
      <c r="AL16" s="18">
        <v>35.417316</v>
      </c>
      <c r="AM16" s="18">
        <v>23.910855999999999</v>
      </c>
      <c r="AN16" s="18">
        <v>53.709147999999999</v>
      </c>
      <c r="AO16" s="18">
        <v>85.802718999999996</v>
      </c>
      <c r="AP16" s="18">
        <v>73.429885999999996</v>
      </c>
      <c r="AQ16" s="18">
        <v>568.04998799999998</v>
      </c>
      <c r="AR16" s="18">
        <v>29.519463999999999</v>
      </c>
      <c r="AS16" s="18">
        <v>21.706478000000001</v>
      </c>
      <c r="AT16" s="18">
        <v>22.719733999999999</v>
      </c>
      <c r="AU16" s="18">
        <v>41.291846999999997</v>
      </c>
      <c r="AV16" s="18">
        <v>30.875868000000001</v>
      </c>
      <c r="AW16" s="18">
        <v>83.799225000000007</v>
      </c>
      <c r="AX16" s="18">
        <v>59.303516000000002</v>
      </c>
      <c r="AY16" s="18">
        <v>36.057487000000002</v>
      </c>
      <c r="AZ16" s="18">
        <v>85.784439000000006</v>
      </c>
      <c r="BA16" s="18">
        <v>63.263205999999997</v>
      </c>
      <c r="BB16" s="18">
        <v>54.151451000000002</v>
      </c>
      <c r="BC16" s="18">
        <v>16.290379999999999</v>
      </c>
      <c r="BD16" s="18">
        <v>51.137633999999998</v>
      </c>
      <c r="BE16" s="18">
        <v>46.137047000000003</v>
      </c>
      <c r="BF16" s="18">
        <v>155.307648</v>
      </c>
      <c r="BG16" s="18">
        <v>38.838237999999997</v>
      </c>
      <c r="BH16" s="18">
        <v>44.428139000000002</v>
      </c>
      <c r="BI16" s="18">
        <v>72.488418999999993</v>
      </c>
      <c r="BJ16" s="18">
        <v>7.7162559999999996</v>
      </c>
      <c r="BK16" s="18">
        <v>84.404601999999997</v>
      </c>
      <c r="BL16" s="18">
        <v>122.88131</v>
      </c>
      <c r="BM16" s="18">
        <v>84.928184999999999</v>
      </c>
      <c r="BN16" s="18">
        <v>37.529755000000002</v>
      </c>
      <c r="BO16" s="18">
        <v>74.349159</v>
      </c>
      <c r="BP16" s="18">
        <v>130.003052</v>
      </c>
      <c r="BQ16" s="18">
        <v>133.31410199999999</v>
      </c>
      <c r="BR16" s="18">
        <v>68.59375</v>
      </c>
      <c r="BS16" s="18">
        <v>67.143874999999994</v>
      </c>
      <c r="BT16" s="18">
        <v>69.410004000000001</v>
      </c>
      <c r="BU16" s="18">
        <v>88.07</v>
      </c>
      <c r="BV16" s="18">
        <v>37.080272999999998</v>
      </c>
      <c r="BW16" s="18">
        <v>22.926684999999999</v>
      </c>
      <c r="BX16" s="18">
        <v>39.108207999999998</v>
      </c>
      <c r="BY16" s="18">
        <v>57.09</v>
      </c>
      <c r="BZ16" s="18">
        <v>74.185935999999998</v>
      </c>
      <c r="CA16" s="18">
        <v>52.98</v>
      </c>
      <c r="CB16" s="18">
        <v>77.019997000000004</v>
      </c>
      <c r="CC16" s="18">
        <v>17.144354</v>
      </c>
      <c r="CD16" s="18">
        <v>60.240001999999997</v>
      </c>
      <c r="CE16" s="18">
        <v>12.431068</v>
      </c>
      <c r="CF16" s="18">
        <v>23.66</v>
      </c>
    </row>
    <row r="17" spans="1:84" x14ac:dyDescent="0.25">
      <c r="A17" s="17">
        <v>41759</v>
      </c>
      <c r="B17" s="18">
        <v>75.678802000000005</v>
      </c>
      <c r="C17" s="18">
        <v>23.207312000000002</v>
      </c>
      <c r="D17" s="18">
        <v>168.574951</v>
      </c>
      <c r="E17" s="18">
        <v>75.082267999999999</v>
      </c>
      <c r="F17" s="18">
        <v>89.016006000000004</v>
      </c>
      <c r="G17" s="18">
        <v>71.705558999999994</v>
      </c>
      <c r="H17" s="18">
        <v>35.881625999999997</v>
      </c>
      <c r="I17" s="18">
        <v>132.41000399999999</v>
      </c>
      <c r="J17" s="18">
        <v>55.967686</v>
      </c>
      <c r="K17" s="18">
        <v>95.760292000000007</v>
      </c>
      <c r="L17" s="18">
        <v>35.881625999999997</v>
      </c>
      <c r="M17" s="18">
        <v>76.655311999999995</v>
      </c>
      <c r="N17" s="18">
        <v>29.871835999999998</v>
      </c>
      <c r="O17" s="18">
        <v>207.88999899999999</v>
      </c>
      <c r="P17" s="18">
        <v>88.671515999999997</v>
      </c>
      <c r="Q17" s="18">
        <v>106.64312700000001</v>
      </c>
      <c r="R17" s="18">
        <v>191.684448</v>
      </c>
      <c r="S17" s="18">
        <v>68.002441000000005</v>
      </c>
      <c r="T17" s="18">
        <v>91.462440000000001</v>
      </c>
      <c r="U17" s="18">
        <v>62.750774</v>
      </c>
      <c r="V17" s="18">
        <v>101.99273700000001</v>
      </c>
      <c r="W17" s="18">
        <v>44.929988999999999</v>
      </c>
      <c r="X17" s="18">
        <v>53.056792999999999</v>
      </c>
      <c r="Y17" s="18">
        <v>90.803520000000006</v>
      </c>
      <c r="Z17" s="18">
        <v>27.083442999999999</v>
      </c>
      <c r="AA17" s="18">
        <v>51.636966999999999</v>
      </c>
      <c r="AB17" s="18">
        <v>70.357146999999998</v>
      </c>
      <c r="AC17" s="18">
        <v>51.820796999999999</v>
      </c>
      <c r="AD17" s="18">
        <v>80.713065999999998</v>
      </c>
      <c r="AE17" s="18">
        <v>100.010002</v>
      </c>
      <c r="AF17" s="18">
        <v>112.33000199999999</v>
      </c>
      <c r="AG17" s="18">
        <v>200.60466</v>
      </c>
      <c r="AH17" s="18">
        <v>73.024642999999998</v>
      </c>
      <c r="AI17" s="18">
        <v>54.960842</v>
      </c>
      <c r="AJ17" s="18">
        <v>68.587943999999993</v>
      </c>
      <c r="AK17" s="18">
        <v>65.053825000000003</v>
      </c>
      <c r="AL17" s="18">
        <v>38.037418000000002</v>
      </c>
      <c r="AM17" s="18">
        <v>21.594705999999999</v>
      </c>
      <c r="AN17" s="18">
        <v>56.174515</v>
      </c>
      <c r="AO17" s="18">
        <v>87.069243999999998</v>
      </c>
      <c r="AP17" s="18">
        <v>71.184128000000001</v>
      </c>
      <c r="AQ17" s="18">
        <v>498.5</v>
      </c>
      <c r="AR17" s="18">
        <v>27.755065999999999</v>
      </c>
      <c r="AS17" s="18">
        <v>20.400829000000002</v>
      </c>
      <c r="AT17" s="18">
        <v>22.737857999999999</v>
      </c>
      <c r="AU17" s="18">
        <v>41.410088000000002</v>
      </c>
      <c r="AV17" s="18">
        <v>29.366859000000002</v>
      </c>
      <c r="AW17" s="18">
        <v>87.506270999999998</v>
      </c>
      <c r="AX17" s="18">
        <v>62.026381999999998</v>
      </c>
      <c r="AY17" s="18">
        <v>37.608440000000002</v>
      </c>
      <c r="AZ17" s="18">
        <v>88.028908000000001</v>
      </c>
      <c r="BA17" s="18">
        <v>67.159828000000005</v>
      </c>
      <c r="BB17" s="18">
        <v>49.932426</v>
      </c>
      <c r="BC17" s="18">
        <v>14.347899</v>
      </c>
      <c r="BD17" s="18">
        <v>47.998688000000001</v>
      </c>
      <c r="BE17" s="18">
        <v>46.437514999999998</v>
      </c>
      <c r="BF17" s="18">
        <v>151.48773199999999</v>
      </c>
      <c r="BG17" s="18">
        <v>37.152512000000002</v>
      </c>
      <c r="BH17" s="18">
        <v>44.338818000000003</v>
      </c>
      <c r="BI17" s="18">
        <v>71.372459000000006</v>
      </c>
      <c r="BJ17" s="18">
        <v>8.0223300000000002</v>
      </c>
      <c r="BK17" s="18">
        <v>81.967055999999999</v>
      </c>
      <c r="BL17" s="18">
        <v>125.988197</v>
      </c>
      <c r="BM17" s="18">
        <v>85.056365999999997</v>
      </c>
      <c r="BN17" s="18">
        <v>36.784294000000003</v>
      </c>
      <c r="BO17" s="18">
        <v>78.322188999999995</v>
      </c>
      <c r="BP17" s="18">
        <v>135.30012500000001</v>
      </c>
      <c r="BQ17" s="18">
        <v>134.978409</v>
      </c>
      <c r="BR17" s="18">
        <v>70.174728000000002</v>
      </c>
      <c r="BS17" s="18">
        <v>70.820648000000006</v>
      </c>
      <c r="BT17" s="18">
        <v>69.440002000000007</v>
      </c>
      <c r="BU17" s="18">
        <v>84.160004000000001</v>
      </c>
      <c r="BV17" s="18">
        <v>36.546539000000003</v>
      </c>
      <c r="BW17" s="18">
        <v>23.708382</v>
      </c>
      <c r="BX17" s="18">
        <v>38.417625000000001</v>
      </c>
      <c r="BY17" s="18">
        <v>51.650002000000001</v>
      </c>
      <c r="BZ17" s="18">
        <v>72.296188000000001</v>
      </c>
      <c r="CA17" s="18">
        <v>48.650002000000001</v>
      </c>
      <c r="CB17" s="18">
        <v>76.309997999999993</v>
      </c>
      <c r="CC17" s="18">
        <v>17.680413999999999</v>
      </c>
      <c r="CD17" s="18">
        <v>59.779998999999997</v>
      </c>
      <c r="CE17" s="18">
        <v>12.835235000000001</v>
      </c>
      <c r="CF17" s="18">
        <v>26.120000999999998</v>
      </c>
    </row>
    <row r="18" spans="1:84" x14ac:dyDescent="0.25">
      <c r="A18" s="17">
        <v>41790</v>
      </c>
      <c r="B18" s="18">
        <v>81.181991999999994</v>
      </c>
      <c r="C18" s="18">
        <v>23.121008</v>
      </c>
      <c r="D18" s="18">
        <v>158.18438699999999</v>
      </c>
      <c r="E18" s="18">
        <v>79.501677999999998</v>
      </c>
      <c r="F18" s="18">
        <v>89.059898000000004</v>
      </c>
      <c r="G18" s="18">
        <v>69.060760000000002</v>
      </c>
      <c r="H18" s="18">
        <v>35.987189999999998</v>
      </c>
      <c r="I18" s="18">
        <v>135.66000399999999</v>
      </c>
      <c r="J18" s="18">
        <v>54.744396000000002</v>
      </c>
      <c r="K18" s="18">
        <v>99.902664000000001</v>
      </c>
      <c r="L18" s="18">
        <v>35.987189999999998</v>
      </c>
      <c r="M18" s="18">
        <v>78.832961999999995</v>
      </c>
      <c r="N18" s="18">
        <v>31.558298000000001</v>
      </c>
      <c r="O18" s="18">
        <v>207.770004</v>
      </c>
      <c r="P18" s="18">
        <v>87.043732000000006</v>
      </c>
      <c r="Q18" s="18">
        <v>104.323677</v>
      </c>
      <c r="R18" s="18">
        <v>196.25976600000001</v>
      </c>
      <c r="S18" s="18">
        <v>77.219048000000001</v>
      </c>
      <c r="T18" s="18">
        <v>92.149428999999998</v>
      </c>
      <c r="U18" s="18">
        <v>64.763221999999999</v>
      </c>
      <c r="V18" s="18">
        <v>112.690819</v>
      </c>
      <c r="W18" s="18">
        <v>44.885097999999999</v>
      </c>
      <c r="X18" s="18">
        <v>51.964626000000003</v>
      </c>
      <c r="Y18" s="18">
        <v>90.955924999999993</v>
      </c>
      <c r="Z18" s="18">
        <v>25.654802</v>
      </c>
      <c r="AA18" s="18">
        <v>51.019722000000002</v>
      </c>
      <c r="AB18" s="18">
        <v>74.660713000000001</v>
      </c>
      <c r="AC18" s="18">
        <v>52.807388000000003</v>
      </c>
      <c r="AD18" s="18">
        <v>88.390625</v>
      </c>
      <c r="AE18" s="18">
        <v>95.739998</v>
      </c>
      <c r="AF18" s="18">
        <v>106.540001</v>
      </c>
      <c r="AG18" s="18">
        <v>207.683167</v>
      </c>
      <c r="AH18" s="18">
        <v>73.685920999999993</v>
      </c>
      <c r="AI18" s="18">
        <v>58.461711999999999</v>
      </c>
      <c r="AJ18" s="18">
        <v>70.819771000000003</v>
      </c>
      <c r="AK18" s="18">
        <v>67.415604000000002</v>
      </c>
      <c r="AL18" s="18">
        <v>43.982826000000003</v>
      </c>
      <c r="AM18" s="18">
        <v>24.426639999999999</v>
      </c>
      <c r="AN18" s="18">
        <v>61.045368000000003</v>
      </c>
      <c r="AO18" s="18">
        <v>91.111114999999998</v>
      </c>
      <c r="AP18" s="18">
        <v>69.337074000000001</v>
      </c>
      <c r="AQ18" s="18">
        <v>547.09002699999996</v>
      </c>
      <c r="AR18" s="18">
        <v>27.681932</v>
      </c>
      <c r="AS18" s="18">
        <v>20.001877</v>
      </c>
      <c r="AT18" s="18">
        <v>23.000671000000001</v>
      </c>
      <c r="AU18" s="18">
        <v>44.211387999999999</v>
      </c>
      <c r="AV18" s="18">
        <v>28.978317000000001</v>
      </c>
      <c r="AW18" s="18">
        <v>85.324096999999995</v>
      </c>
      <c r="AX18" s="18">
        <v>59.186939000000002</v>
      </c>
      <c r="AY18" s="18">
        <v>35.926186000000001</v>
      </c>
      <c r="AZ18" s="18">
        <v>89.582206999999997</v>
      </c>
      <c r="BA18" s="18">
        <v>65.423705999999996</v>
      </c>
      <c r="BB18" s="18">
        <v>49.879142999999999</v>
      </c>
      <c r="BC18" s="18">
        <v>14.347899</v>
      </c>
      <c r="BD18" s="18">
        <v>50.893630999999999</v>
      </c>
      <c r="BE18" s="18">
        <v>46.107979</v>
      </c>
      <c r="BF18" s="18">
        <v>151.47827100000001</v>
      </c>
      <c r="BG18" s="18">
        <v>38.437083999999999</v>
      </c>
      <c r="BH18" s="18">
        <v>45.357067000000001</v>
      </c>
      <c r="BI18" s="18">
        <v>74.299835000000002</v>
      </c>
      <c r="BJ18" s="18">
        <v>8.4069040000000008</v>
      </c>
      <c r="BK18" s="18">
        <v>85.999695000000003</v>
      </c>
      <c r="BL18" s="18">
        <v>129.122299</v>
      </c>
      <c r="BM18" s="18">
        <v>85.285247999999996</v>
      </c>
      <c r="BN18" s="18">
        <v>39.315787999999998</v>
      </c>
      <c r="BO18" s="18">
        <v>79.535201999999998</v>
      </c>
      <c r="BP18" s="18">
        <v>138.16554300000001</v>
      </c>
      <c r="BQ18" s="18">
        <v>136.839539</v>
      </c>
      <c r="BR18" s="18">
        <v>72.449196000000001</v>
      </c>
      <c r="BS18" s="18">
        <v>77.669342</v>
      </c>
      <c r="BT18" s="18">
        <v>74.300003000000004</v>
      </c>
      <c r="BU18" s="18">
        <v>79.606667000000002</v>
      </c>
      <c r="BV18" s="18">
        <v>37.035026999999999</v>
      </c>
      <c r="BW18" s="18">
        <v>24.267997999999999</v>
      </c>
      <c r="BX18" s="18">
        <v>41.530498999999999</v>
      </c>
      <c r="BY18" s="18">
        <v>52.630001</v>
      </c>
      <c r="BZ18" s="18">
        <v>75.867531</v>
      </c>
      <c r="CA18" s="18">
        <v>50.119999</v>
      </c>
      <c r="CB18" s="18">
        <v>73.449996999999996</v>
      </c>
      <c r="CC18" s="18">
        <v>18.187757000000001</v>
      </c>
      <c r="CD18" s="18">
        <v>63.299999</v>
      </c>
      <c r="CE18" s="18">
        <v>13.006059</v>
      </c>
      <c r="CF18" s="18">
        <v>28.59</v>
      </c>
    </row>
    <row r="19" spans="1:84" x14ac:dyDescent="0.25">
      <c r="A19" s="17">
        <v>41820</v>
      </c>
      <c r="B19" s="18">
        <v>86.802566999999996</v>
      </c>
      <c r="C19" s="18">
        <v>22.680852999999999</v>
      </c>
      <c r="D19" s="18">
        <v>156.43866</v>
      </c>
      <c r="E19" s="18">
        <v>81.138824</v>
      </c>
      <c r="F19" s="18">
        <v>89.167029999999997</v>
      </c>
      <c r="G19" s="18">
        <v>67.949592999999993</v>
      </c>
      <c r="H19" s="18">
        <v>37.262714000000003</v>
      </c>
      <c r="I19" s="18">
        <v>138.33999600000001</v>
      </c>
      <c r="J19" s="18">
        <v>53.837029000000001</v>
      </c>
      <c r="K19" s="18">
        <v>105.687866</v>
      </c>
      <c r="L19" s="18">
        <v>37.262714000000003</v>
      </c>
      <c r="M19" s="18">
        <v>79.734359999999995</v>
      </c>
      <c r="N19" s="18">
        <v>31.387857</v>
      </c>
      <c r="O19" s="18">
        <v>240.05999800000001</v>
      </c>
      <c r="P19" s="18">
        <v>87.765450000000001</v>
      </c>
      <c r="Q19" s="18">
        <v>111.86346399999999</v>
      </c>
      <c r="R19" s="18">
        <v>199.012451</v>
      </c>
      <c r="S19" s="18">
        <v>80.129456000000005</v>
      </c>
      <c r="T19" s="18">
        <v>96.809821999999997</v>
      </c>
      <c r="U19" s="18">
        <v>66.925422999999995</v>
      </c>
      <c r="V19" s="18">
        <v>115.36357099999999</v>
      </c>
      <c r="W19" s="18">
        <v>44.400249000000002</v>
      </c>
      <c r="X19" s="18">
        <v>49.652473000000001</v>
      </c>
      <c r="Y19" s="18">
        <v>94.442429000000004</v>
      </c>
      <c r="Z19" s="18">
        <v>25.927153000000001</v>
      </c>
      <c r="AA19" s="18">
        <v>51.010899000000002</v>
      </c>
      <c r="AB19" s="18">
        <v>76.648437999999999</v>
      </c>
      <c r="AC19" s="18">
        <v>56.185702999999997</v>
      </c>
      <c r="AD19" s="18">
        <v>94.552040000000005</v>
      </c>
      <c r="AE19" s="18">
        <v>88.489998</v>
      </c>
      <c r="AF19" s="18">
        <v>140.240005</v>
      </c>
      <c r="AG19" s="18">
        <v>219.03649899999999</v>
      </c>
      <c r="AH19" s="18">
        <v>74.356384000000006</v>
      </c>
      <c r="AI19" s="18">
        <v>61.021839</v>
      </c>
      <c r="AJ19" s="18">
        <v>76.250518999999997</v>
      </c>
      <c r="AK19" s="18">
        <v>69.383499</v>
      </c>
      <c r="AL19" s="18">
        <v>45.872546999999997</v>
      </c>
      <c r="AM19" s="18">
        <v>24.426639999999999</v>
      </c>
      <c r="AN19" s="18">
        <v>60.865707</v>
      </c>
      <c r="AO19" s="18">
        <v>91.216269999999994</v>
      </c>
      <c r="AP19" s="18">
        <v>69.949562</v>
      </c>
      <c r="AQ19" s="18">
        <v>592.51000999999997</v>
      </c>
      <c r="AR19" s="18">
        <v>30.592286999999999</v>
      </c>
      <c r="AS19" s="18">
        <v>22.108318000000001</v>
      </c>
      <c r="AT19" s="18">
        <v>23.907633000000001</v>
      </c>
      <c r="AU19" s="18">
        <v>45.274501999999998</v>
      </c>
      <c r="AV19" s="18">
        <v>30.840004</v>
      </c>
      <c r="AW19" s="18">
        <v>90.484954999999999</v>
      </c>
      <c r="AX19" s="18">
        <v>62.455826000000002</v>
      </c>
      <c r="AY19" s="18">
        <v>37.670692000000003</v>
      </c>
      <c r="AZ19" s="18">
        <v>93.474379999999996</v>
      </c>
      <c r="BA19" s="18">
        <v>66.927779999999998</v>
      </c>
      <c r="BB19" s="18">
        <v>51.719195999999997</v>
      </c>
      <c r="BC19" s="18">
        <v>14.565866</v>
      </c>
      <c r="BD19" s="18">
        <v>50.297085000000003</v>
      </c>
      <c r="BE19" s="18">
        <v>45.661952999999997</v>
      </c>
      <c r="BF19" s="18">
        <v>159.25190699999999</v>
      </c>
      <c r="BG19" s="18">
        <v>39.466576000000003</v>
      </c>
      <c r="BH19" s="18">
        <v>47.284106999999999</v>
      </c>
      <c r="BI19" s="18">
        <v>71.403655999999998</v>
      </c>
      <c r="BJ19" s="18">
        <v>8.5714210000000008</v>
      </c>
      <c r="BK19" s="18">
        <v>89.16713</v>
      </c>
      <c r="BL19" s="18">
        <v>130.54325900000001</v>
      </c>
      <c r="BM19" s="18">
        <v>85.523201</v>
      </c>
      <c r="BN19" s="18">
        <v>39.466163999999999</v>
      </c>
      <c r="BO19" s="18">
        <v>80.463318000000001</v>
      </c>
      <c r="BP19" s="18">
        <v>142.38816800000001</v>
      </c>
      <c r="BQ19" s="18">
        <v>138.64373800000001</v>
      </c>
      <c r="BR19" s="18">
        <v>76.285178999999999</v>
      </c>
      <c r="BS19" s="18">
        <v>76.751816000000005</v>
      </c>
      <c r="BT19" s="18">
        <v>82.32</v>
      </c>
      <c r="BU19" s="18">
        <v>82.720000999999996</v>
      </c>
      <c r="BV19" s="18">
        <v>37.988663000000003</v>
      </c>
      <c r="BW19" s="18">
        <v>27.683920000000001</v>
      </c>
      <c r="BX19" s="18">
        <v>40.674278000000001</v>
      </c>
      <c r="BY19" s="18">
        <v>58.080002</v>
      </c>
      <c r="BZ19" s="18">
        <v>77.053993000000006</v>
      </c>
      <c r="CA19" s="18">
        <v>55.27</v>
      </c>
      <c r="CB19" s="18">
        <v>75.819999999999993</v>
      </c>
      <c r="CC19" s="18">
        <v>17.829163000000001</v>
      </c>
      <c r="CD19" s="18">
        <v>67.290001000000004</v>
      </c>
      <c r="CE19" s="18">
        <v>13.075943000000001</v>
      </c>
      <c r="CF19" s="18">
        <v>32.950001</v>
      </c>
    </row>
    <row r="20" spans="1:84" x14ac:dyDescent="0.25">
      <c r="A20" s="17">
        <v>41851</v>
      </c>
      <c r="B20" s="18">
        <v>89.296493999999996</v>
      </c>
      <c r="C20" s="18">
        <v>21.884657000000001</v>
      </c>
      <c r="D20" s="18">
        <v>165.41400100000001</v>
      </c>
      <c r="E20" s="18">
        <v>81.271309000000002</v>
      </c>
      <c r="F20" s="18">
        <v>83.696999000000005</v>
      </c>
      <c r="G20" s="18">
        <v>66.600928999999994</v>
      </c>
      <c r="H20" s="18">
        <v>34.822066999999997</v>
      </c>
      <c r="I20" s="18">
        <v>124.769997</v>
      </c>
      <c r="J20" s="18">
        <v>52.123683999999997</v>
      </c>
      <c r="K20" s="18">
        <v>104.212852</v>
      </c>
      <c r="L20" s="18">
        <v>34.822066999999997</v>
      </c>
      <c r="M20" s="18">
        <v>79.215828000000002</v>
      </c>
      <c r="N20" s="18">
        <v>31.480034</v>
      </c>
      <c r="O20" s="18">
        <v>223.300003</v>
      </c>
      <c r="P20" s="18">
        <v>86.248649999999998</v>
      </c>
      <c r="Q20" s="18">
        <v>110.740982</v>
      </c>
      <c r="R20" s="18">
        <v>198.35844399999999</v>
      </c>
      <c r="S20" s="18">
        <v>83.602126999999996</v>
      </c>
      <c r="T20" s="18">
        <v>94.108024999999998</v>
      </c>
      <c r="U20" s="18">
        <v>57.634911000000002</v>
      </c>
      <c r="V20" s="18">
        <v>104.58927199999999</v>
      </c>
      <c r="W20" s="18">
        <v>41.610035000000003</v>
      </c>
      <c r="X20" s="18">
        <v>46.456409000000001</v>
      </c>
      <c r="Y20" s="18">
        <v>90.353104000000002</v>
      </c>
      <c r="Z20" s="18">
        <v>25.071072000000001</v>
      </c>
      <c r="AA20" s="18">
        <v>50.409278999999998</v>
      </c>
      <c r="AB20" s="18">
        <v>76.349227999999997</v>
      </c>
      <c r="AC20" s="18">
        <v>65.084923000000003</v>
      </c>
      <c r="AD20" s="18">
        <v>105.255302</v>
      </c>
      <c r="AE20" s="18">
        <v>90.940002000000007</v>
      </c>
      <c r="AF20" s="18">
        <v>141.259995</v>
      </c>
      <c r="AG20" s="18">
        <v>210.40464800000001</v>
      </c>
      <c r="AH20" s="18">
        <v>74.689575000000005</v>
      </c>
      <c r="AI20" s="18">
        <v>61.602547000000001</v>
      </c>
      <c r="AJ20" s="18">
        <v>76.889472999999995</v>
      </c>
      <c r="AK20" s="18">
        <v>69.227715000000003</v>
      </c>
      <c r="AL20" s="18">
        <v>41.197955999999998</v>
      </c>
      <c r="AM20" s="18">
        <v>24.280663000000001</v>
      </c>
      <c r="AN20" s="18">
        <v>58.719738</v>
      </c>
      <c r="AO20" s="18">
        <v>90.301581999999996</v>
      </c>
      <c r="AP20" s="18">
        <v>69.142998000000006</v>
      </c>
      <c r="AQ20" s="18">
        <v>672.5</v>
      </c>
      <c r="AR20" s="18">
        <v>28.125017</v>
      </c>
      <c r="AS20" s="18">
        <v>20.801918000000001</v>
      </c>
      <c r="AT20" s="18">
        <v>21.682815999999999</v>
      </c>
      <c r="AU20" s="18">
        <v>43.736362</v>
      </c>
      <c r="AV20" s="18">
        <v>29.037137999999999</v>
      </c>
      <c r="AW20" s="18">
        <v>82.900383000000005</v>
      </c>
      <c r="AX20" s="18">
        <v>60.721645000000002</v>
      </c>
      <c r="AY20" s="18">
        <v>35.935752999999998</v>
      </c>
      <c r="AZ20" s="18">
        <v>89.576522999999995</v>
      </c>
      <c r="BA20" s="18">
        <v>64.011878999999993</v>
      </c>
      <c r="BB20" s="18">
        <v>51.764076000000003</v>
      </c>
      <c r="BC20" s="18">
        <v>14.461444999999999</v>
      </c>
      <c r="BD20" s="18">
        <v>50.368690000000001</v>
      </c>
      <c r="BE20" s="18">
        <v>47.416691</v>
      </c>
      <c r="BF20" s="18">
        <v>164.41636700000001</v>
      </c>
      <c r="BG20" s="18">
        <v>38.508910999999998</v>
      </c>
      <c r="BH20" s="18">
        <v>45.790730000000003</v>
      </c>
      <c r="BI20" s="18">
        <v>72.064521999999997</v>
      </c>
      <c r="BJ20" s="18">
        <v>8.2012540000000005</v>
      </c>
      <c r="BK20" s="18">
        <v>82.710114000000004</v>
      </c>
      <c r="BL20" s="18">
        <v>128.40152</v>
      </c>
      <c r="BM20" s="18">
        <v>84.492683</v>
      </c>
      <c r="BN20" s="18">
        <v>37.096676000000002</v>
      </c>
      <c r="BO20" s="18">
        <v>76.054428000000001</v>
      </c>
      <c r="BP20" s="18">
        <v>140.496262</v>
      </c>
      <c r="BQ20" s="18">
        <v>125.254723</v>
      </c>
      <c r="BR20" s="18">
        <v>71.636650000000003</v>
      </c>
      <c r="BS20" s="18">
        <v>71.947044000000005</v>
      </c>
      <c r="BT20" s="18">
        <v>80.069999999999993</v>
      </c>
      <c r="BU20" s="18">
        <v>72.860000999999997</v>
      </c>
      <c r="BV20" s="18">
        <v>39.318728999999998</v>
      </c>
      <c r="BW20" s="18">
        <v>30.362719999999999</v>
      </c>
      <c r="BX20" s="18">
        <v>41.912875999999997</v>
      </c>
      <c r="BY20" s="18">
        <v>54.25</v>
      </c>
      <c r="BZ20" s="18">
        <v>78.431854000000001</v>
      </c>
      <c r="CA20" s="18">
        <v>58.119999</v>
      </c>
      <c r="CB20" s="18">
        <v>76.940002000000007</v>
      </c>
      <c r="CC20" s="18">
        <v>16.829037</v>
      </c>
      <c r="CD20" s="18">
        <v>72.650002000000001</v>
      </c>
      <c r="CE20" s="18">
        <v>13.970701</v>
      </c>
      <c r="CF20" s="18">
        <v>30.549999</v>
      </c>
    </row>
    <row r="21" spans="1:84" x14ac:dyDescent="0.25">
      <c r="A21" s="17">
        <v>41882</v>
      </c>
      <c r="B21" s="18">
        <v>95.741530999999995</v>
      </c>
      <c r="C21" s="18">
        <v>22.60689</v>
      </c>
      <c r="D21" s="18">
        <v>165.957672</v>
      </c>
      <c r="E21" s="18">
        <v>85.056647999999996</v>
      </c>
      <c r="F21" s="18">
        <v>82.953475999999995</v>
      </c>
      <c r="G21" s="18">
        <v>68.338791000000001</v>
      </c>
      <c r="H21" s="18">
        <v>36.975735</v>
      </c>
      <c r="I21" s="18">
        <v>146.020004</v>
      </c>
      <c r="J21" s="18">
        <v>53.932212999999997</v>
      </c>
      <c r="K21" s="18">
        <v>100.97138200000001</v>
      </c>
      <c r="L21" s="18">
        <v>36.975735</v>
      </c>
      <c r="M21" s="18">
        <v>83.163132000000004</v>
      </c>
      <c r="N21" s="18">
        <v>30.730947</v>
      </c>
      <c r="O21" s="18">
        <v>269.70001200000002</v>
      </c>
      <c r="P21" s="18">
        <v>86.701942000000003</v>
      </c>
      <c r="Q21" s="18">
        <v>110.920906</v>
      </c>
      <c r="R21" s="18">
        <v>209.78501900000001</v>
      </c>
      <c r="S21" s="18">
        <v>92.919937000000004</v>
      </c>
      <c r="T21" s="18">
        <v>94.667136999999997</v>
      </c>
      <c r="U21" s="18">
        <v>59.739609000000002</v>
      </c>
      <c r="V21" s="18">
        <v>107.326836</v>
      </c>
      <c r="W21" s="18">
        <v>43.099003000000003</v>
      </c>
      <c r="X21" s="18">
        <v>50.412196999999999</v>
      </c>
      <c r="Y21" s="18">
        <v>93.639008000000004</v>
      </c>
      <c r="Z21" s="18">
        <v>25.900327999999998</v>
      </c>
      <c r="AA21" s="18">
        <v>53.403263000000003</v>
      </c>
      <c r="AB21" s="18">
        <v>81.652694999999994</v>
      </c>
      <c r="AC21" s="18">
        <v>69.579384000000005</v>
      </c>
      <c r="AD21" s="18">
        <v>112.996399</v>
      </c>
      <c r="AE21" s="18">
        <v>117.83000199999999</v>
      </c>
      <c r="AF21" s="18">
        <v>161.16000399999999</v>
      </c>
      <c r="AG21" s="18">
        <v>222.89575199999999</v>
      </c>
      <c r="AH21" s="18">
        <v>86.375725000000003</v>
      </c>
      <c r="AI21" s="18">
        <v>66.067322000000004</v>
      </c>
      <c r="AJ21" s="18">
        <v>83.163032999999999</v>
      </c>
      <c r="AK21" s="18">
        <v>74.166686999999996</v>
      </c>
      <c r="AL21" s="18">
        <v>39.076343999999999</v>
      </c>
      <c r="AM21" s="18">
        <v>25.312225000000002</v>
      </c>
      <c r="AN21" s="18">
        <v>60.975501999999999</v>
      </c>
      <c r="AO21" s="18">
        <v>96.694618000000006</v>
      </c>
      <c r="AP21" s="18">
        <v>72.456078000000005</v>
      </c>
      <c r="AQ21" s="18">
        <v>678.65002400000003</v>
      </c>
      <c r="AR21" s="18">
        <v>29.736104999999998</v>
      </c>
      <c r="AS21" s="18">
        <v>22.254487999999998</v>
      </c>
      <c r="AT21" s="18">
        <v>22.80434</v>
      </c>
      <c r="AU21" s="18">
        <v>46.336551999999998</v>
      </c>
      <c r="AV21" s="18">
        <v>30.002313999999998</v>
      </c>
      <c r="AW21" s="18">
        <v>86.926651000000007</v>
      </c>
      <c r="AX21" s="18">
        <v>62.287457000000003</v>
      </c>
      <c r="AY21" s="18">
        <v>37.298408999999999</v>
      </c>
      <c r="AZ21" s="18">
        <v>95.200325000000007</v>
      </c>
      <c r="BA21" s="18">
        <v>67.853286999999995</v>
      </c>
      <c r="BB21" s="18">
        <v>53.734820999999997</v>
      </c>
      <c r="BC21" s="18">
        <v>15.258010000000001</v>
      </c>
      <c r="BD21" s="18">
        <v>50.729137000000001</v>
      </c>
      <c r="BE21" s="18">
        <v>50.083046000000003</v>
      </c>
      <c r="BF21" s="18">
        <v>170.35124200000001</v>
      </c>
      <c r="BG21" s="18">
        <v>38.737965000000003</v>
      </c>
      <c r="BH21" s="18">
        <v>46.276530999999999</v>
      </c>
      <c r="BI21" s="18">
        <v>73.783614999999998</v>
      </c>
      <c r="BJ21" s="18">
        <v>8.3231450000000002</v>
      </c>
      <c r="BK21" s="18">
        <v>84.398964000000007</v>
      </c>
      <c r="BL21" s="18">
        <v>131.23584</v>
      </c>
      <c r="BM21" s="18">
        <v>87.621016999999995</v>
      </c>
      <c r="BN21" s="18">
        <v>38.467467999999997</v>
      </c>
      <c r="BO21" s="18">
        <v>81.446663000000001</v>
      </c>
      <c r="BP21" s="18">
        <v>147.02771000000001</v>
      </c>
      <c r="BQ21" s="18">
        <v>130.39466899999999</v>
      </c>
      <c r="BR21" s="18">
        <v>72.953277999999997</v>
      </c>
      <c r="BS21" s="18">
        <v>77.584518000000003</v>
      </c>
      <c r="BT21" s="18">
        <v>78.029999000000004</v>
      </c>
      <c r="BU21" s="18">
        <v>86.230002999999996</v>
      </c>
      <c r="BV21" s="18">
        <v>41.386684000000002</v>
      </c>
      <c r="BW21" s="18">
        <v>31.285516999999999</v>
      </c>
      <c r="BX21" s="18">
        <v>41.860064999999999</v>
      </c>
      <c r="BY21" s="18">
        <v>59.09</v>
      </c>
      <c r="BZ21" s="18">
        <v>79.776245000000003</v>
      </c>
      <c r="CA21" s="18">
        <v>60.919998</v>
      </c>
      <c r="CB21" s="18">
        <v>81.300003000000004</v>
      </c>
      <c r="CC21" s="18">
        <v>18.704270999999999</v>
      </c>
      <c r="CD21" s="18">
        <v>74.819999999999993</v>
      </c>
      <c r="CE21" s="18">
        <v>14.908355999999999</v>
      </c>
      <c r="CF21" s="18">
        <v>32.599997999999999</v>
      </c>
    </row>
    <row r="22" spans="1:84" x14ac:dyDescent="0.25">
      <c r="A22" s="17">
        <v>41912</v>
      </c>
      <c r="B22" s="18">
        <v>94.575012000000001</v>
      </c>
      <c r="C22" s="18">
        <v>22.29364</v>
      </c>
      <c r="D22" s="18">
        <v>164.79490699999999</v>
      </c>
      <c r="E22" s="18">
        <v>84.252274</v>
      </c>
      <c r="F22" s="18">
        <v>85.377228000000002</v>
      </c>
      <c r="G22" s="18">
        <v>69.672798</v>
      </c>
      <c r="H22" s="18">
        <v>37.80883</v>
      </c>
      <c r="I22" s="18">
        <v>134.820007</v>
      </c>
      <c r="J22" s="18">
        <v>51.525390999999999</v>
      </c>
      <c r="K22" s="18">
        <v>103.80656399999999</v>
      </c>
      <c r="L22" s="18">
        <v>37.80883</v>
      </c>
      <c r="M22" s="18">
        <v>83.702644000000006</v>
      </c>
      <c r="N22" s="18">
        <v>30.93853</v>
      </c>
      <c r="O22" s="18">
        <v>242.679993</v>
      </c>
      <c r="P22" s="18">
        <v>82.557029999999997</v>
      </c>
      <c r="Q22" s="18">
        <v>103.109886</v>
      </c>
      <c r="R22" s="18">
        <v>211.18289200000001</v>
      </c>
      <c r="S22" s="18">
        <v>82.836783999999994</v>
      </c>
      <c r="T22" s="18">
        <v>89.346230000000006</v>
      </c>
      <c r="U22" s="18">
        <v>55.342292999999998</v>
      </c>
      <c r="V22" s="18">
        <v>104.412811</v>
      </c>
      <c r="W22" s="18">
        <v>40.075943000000002</v>
      </c>
      <c r="X22" s="18">
        <v>50.03051</v>
      </c>
      <c r="Y22" s="18">
        <v>96.871605000000002</v>
      </c>
      <c r="Z22" s="18">
        <v>26.058954</v>
      </c>
      <c r="AA22" s="18">
        <v>52.665874000000002</v>
      </c>
      <c r="AB22" s="18">
        <v>81.247635000000002</v>
      </c>
      <c r="AC22" s="18">
        <v>70.276970000000006</v>
      </c>
      <c r="AD22" s="18">
        <v>103.272842</v>
      </c>
      <c r="AE22" s="18">
        <v>128.64999399999999</v>
      </c>
      <c r="AF22" s="18">
        <v>153.86000100000001</v>
      </c>
      <c r="AG22" s="18">
        <v>236.99678</v>
      </c>
      <c r="AH22" s="18">
        <v>84.749816999999993</v>
      </c>
      <c r="AI22" s="18">
        <v>66.740616000000003</v>
      </c>
      <c r="AJ22" s="18">
        <v>85.003608999999997</v>
      </c>
      <c r="AK22" s="18">
        <v>74.788414000000003</v>
      </c>
      <c r="AL22" s="18">
        <v>39.643028000000001</v>
      </c>
      <c r="AM22" s="18">
        <v>25.078665000000001</v>
      </c>
      <c r="AN22" s="18">
        <v>60.406570000000002</v>
      </c>
      <c r="AO22" s="18">
        <v>100.061958</v>
      </c>
      <c r="AP22" s="18">
        <v>73.906188999999998</v>
      </c>
      <c r="AQ22" s="18">
        <v>666.59002699999996</v>
      </c>
      <c r="AR22" s="18">
        <v>28.200298</v>
      </c>
      <c r="AS22" s="18">
        <v>20.643550999999999</v>
      </c>
      <c r="AT22" s="18">
        <v>21.603200999999999</v>
      </c>
      <c r="AU22" s="18">
        <v>44.454448999999997</v>
      </c>
      <c r="AV22" s="18">
        <v>29.822420000000001</v>
      </c>
      <c r="AW22" s="18">
        <v>83.517608999999993</v>
      </c>
      <c r="AX22" s="18">
        <v>63.653027000000002</v>
      </c>
      <c r="AY22" s="18">
        <v>36.668365000000001</v>
      </c>
      <c r="AZ22" s="18">
        <v>94.670280000000005</v>
      </c>
      <c r="BA22" s="18">
        <v>65.971610999999996</v>
      </c>
      <c r="BB22" s="18">
        <v>54.448878999999998</v>
      </c>
      <c r="BC22" s="18">
        <v>16.168367</v>
      </c>
      <c r="BD22" s="18">
        <v>51.322502</v>
      </c>
      <c r="BE22" s="18">
        <v>50.247883000000002</v>
      </c>
      <c r="BF22" s="18">
        <v>175.13458299999999</v>
      </c>
      <c r="BG22" s="18">
        <v>38.325657</v>
      </c>
      <c r="BH22" s="18">
        <v>46.989685000000001</v>
      </c>
      <c r="BI22" s="18">
        <v>71.944107000000002</v>
      </c>
      <c r="BJ22" s="18">
        <v>7.9707549999999996</v>
      </c>
      <c r="BK22" s="18">
        <v>82.504593</v>
      </c>
      <c r="BL22" s="18">
        <v>129.89141799999999</v>
      </c>
      <c r="BM22" s="18">
        <v>86.088440000000006</v>
      </c>
      <c r="BN22" s="18">
        <v>38.151130999999999</v>
      </c>
      <c r="BO22" s="18">
        <v>77.947258000000005</v>
      </c>
      <c r="BP22" s="18">
        <v>142.85786400000001</v>
      </c>
      <c r="BQ22" s="18">
        <v>119.24025</v>
      </c>
      <c r="BR22" s="18">
        <v>68.620070999999996</v>
      </c>
      <c r="BS22" s="18">
        <v>73.009726999999998</v>
      </c>
      <c r="BT22" s="18">
        <v>70.970000999999996</v>
      </c>
      <c r="BU22" s="18">
        <v>88.129997000000003</v>
      </c>
      <c r="BV22" s="18">
        <v>42.497700000000002</v>
      </c>
      <c r="BW22" s="18">
        <v>31.40344</v>
      </c>
      <c r="BX22" s="18">
        <v>42.002898999999999</v>
      </c>
      <c r="BY22" s="18">
        <v>57.529998999999997</v>
      </c>
      <c r="BZ22" s="18">
        <v>84.063323999999994</v>
      </c>
      <c r="CA22" s="18">
        <v>56.150002000000001</v>
      </c>
      <c r="CB22" s="18">
        <v>75.669998000000007</v>
      </c>
      <c r="CC22" s="18">
        <v>17.821103999999998</v>
      </c>
      <c r="CD22" s="18">
        <v>79.040001000000004</v>
      </c>
      <c r="CE22" s="18">
        <v>13.915775999999999</v>
      </c>
      <c r="CF22" s="18">
        <v>34.259998000000003</v>
      </c>
    </row>
    <row r="23" spans="1:84" x14ac:dyDescent="0.25">
      <c r="A23" s="17">
        <v>41943</v>
      </c>
      <c r="B23" s="18">
        <v>101.380669</v>
      </c>
      <c r="C23" s="18">
        <v>22.648636</v>
      </c>
      <c r="D23" s="18">
        <v>142.718628</v>
      </c>
      <c r="E23" s="18">
        <v>86.476157999999998</v>
      </c>
      <c r="F23" s="18">
        <v>84.404678000000004</v>
      </c>
      <c r="G23" s="18">
        <v>69.490561999999997</v>
      </c>
      <c r="H23" s="18">
        <v>37.387943</v>
      </c>
      <c r="I23" s="18">
        <v>142.03999300000001</v>
      </c>
      <c r="J23" s="18">
        <v>57.048701999999999</v>
      </c>
      <c r="K23" s="18">
        <v>108.331879</v>
      </c>
      <c r="L23" s="18">
        <v>37.387943</v>
      </c>
      <c r="M23" s="18">
        <v>87.088852000000003</v>
      </c>
      <c r="N23" s="18">
        <v>29.144379000000001</v>
      </c>
      <c r="O23" s="18">
        <v>241.699997</v>
      </c>
      <c r="P23" s="18">
        <v>84.891975000000002</v>
      </c>
      <c r="Q23" s="18">
        <v>103.65428900000001</v>
      </c>
      <c r="R23" s="18">
        <v>221.37603799999999</v>
      </c>
      <c r="S23" s="18">
        <v>67.605919</v>
      </c>
      <c r="T23" s="18">
        <v>92.832130000000006</v>
      </c>
      <c r="U23" s="18">
        <v>55.087848999999999</v>
      </c>
      <c r="V23" s="18">
        <v>106.760727</v>
      </c>
      <c r="W23" s="18">
        <v>40.196097999999999</v>
      </c>
      <c r="X23" s="18">
        <v>53.887408999999998</v>
      </c>
      <c r="Y23" s="18">
        <v>97.953093999999993</v>
      </c>
      <c r="Z23" s="18">
        <v>26.393837000000001</v>
      </c>
      <c r="AA23" s="18">
        <v>51.850864000000001</v>
      </c>
      <c r="AB23" s="18">
        <v>89.880165000000005</v>
      </c>
      <c r="AC23" s="18">
        <v>69.808593999999999</v>
      </c>
      <c r="AD23" s="18">
        <v>102.49213399999999</v>
      </c>
      <c r="AE23" s="18">
        <v>130.970001</v>
      </c>
      <c r="AF23" s="18">
        <v>161.94000199999999</v>
      </c>
      <c r="AG23" s="18">
        <v>238.43087800000001</v>
      </c>
      <c r="AH23" s="18">
        <v>90.544562999999997</v>
      </c>
      <c r="AI23" s="18">
        <v>72.326172</v>
      </c>
      <c r="AJ23" s="18">
        <v>82.432723999999993</v>
      </c>
      <c r="AK23" s="18">
        <v>71.484313999999998</v>
      </c>
      <c r="AL23" s="18">
        <v>38.976497999999999</v>
      </c>
      <c r="AM23" s="18">
        <v>26.752520000000001</v>
      </c>
      <c r="AN23" s="18">
        <v>59.109009</v>
      </c>
      <c r="AO23" s="18">
        <v>107.47292299999999</v>
      </c>
      <c r="AP23" s="18">
        <v>85.547355999999994</v>
      </c>
      <c r="AQ23" s="18">
        <v>638</v>
      </c>
      <c r="AR23" s="18">
        <v>33.169186000000003</v>
      </c>
      <c r="AS23" s="18">
        <v>23.946155999999998</v>
      </c>
      <c r="AT23" s="18">
        <v>24.054563999999999</v>
      </c>
      <c r="AU23" s="18">
        <v>49.192093</v>
      </c>
      <c r="AV23" s="18">
        <v>34.107666000000002</v>
      </c>
      <c r="AW23" s="18">
        <v>89.157805999999994</v>
      </c>
      <c r="AX23" s="18">
        <v>69.935753000000005</v>
      </c>
      <c r="AY23" s="18">
        <v>38.944920000000003</v>
      </c>
      <c r="AZ23" s="18">
        <v>99.443916000000002</v>
      </c>
      <c r="BA23" s="18">
        <v>71.885283999999999</v>
      </c>
      <c r="BB23" s="18">
        <v>54.665798000000002</v>
      </c>
      <c r="BC23" s="18">
        <v>16.322844</v>
      </c>
      <c r="BD23" s="18">
        <v>58.071854000000002</v>
      </c>
      <c r="BE23" s="18">
        <v>51.906013000000002</v>
      </c>
      <c r="BF23" s="18">
        <v>181.259567</v>
      </c>
      <c r="BG23" s="18">
        <v>39.260886999999997</v>
      </c>
      <c r="BH23" s="18">
        <v>48.094893999999996</v>
      </c>
      <c r="BI23" s="18">
        <v>81.511359999999996</v>
      </c>
      <c r="BJ23" s="18">
        <v>7.3582650000000003</v>
      </c>
      <c r="BK23" s="18">
        <v>84.775954999999996</v>
      </c>
      <c r="BL23" s="18">
        <v>140.97547900000001</v>
      </c>
      <c r="BM23" s="18">
        <v>88.861915999999994</v>
      </c>
      <c r="BN23" s="18">
        <v>40.439399999999999</v>
      </c>
      <c r="BO23" s="18">
        <v>84.551567000000006</v>
      </c>
      <c r="BP23" s="18">
        <v>154.58609000000001</v>
      </c>
      <c r="BQ23" s="18">
        <v>132.069534</v>
      </c>
      <c r="BR23" s="18">
        <v>71.028473000000005</v>
      </c>
      <c r="BS23" s="18">
        <v>73.470412999999994</v>
      </c>
      <c r="BT23" s="18">
        <v>73.75</v>
      </c>
      <c r="BU23" s="18">
        <v>88.5</v>
      </c>
      <c r="BV23" s="18">
        <v>43.038539999999998</v>
      </c>
      <c r="BW23" s="18">
        <v>30.672915</v>
      </c>
      <c r="BX23" s="18">
        <v>42.221362999999997</v>
      </c>
      <c r="BY23" s="18">
        <v>63.990001999999997</v>
      </c>
      <c r="BZ23" s="18">
        <v>84.408585000000002</v>
      </c>
      <c r="CA23" s="18">
        <v>58.919998</v>
      </c>
      <c r="CB23" s="18">
        <v>78.559997999999993</v>
      </c>
      <c r="CC23" s="18">
        <v>18.873947000000001</v>
      </c>
      <c r="CD23" s="18">
        <v>74.989998</v>
      </c>
      <c r="CE23" s="18">
        <v>14.209847999999999</v>
      </c>
      <c r="CF23" s="18">
        <v>33.090000000000003</v>
      </c>
    </row>
    <row r="24" spans="1:84" x14ac:dyDescent="0.25">
      <c r="A24" s="17">
        <v>41973</v>
      </c>
      <c r="B24" s="18">
        <v>111.64077</v>
      </c>
      <c r="C24" s="18">
        <v>23.245346000000001</v>
      </c>
      <c r="D24" s="18">
        <v>140.78274500000001</v>
      </c>
      <c r="E24" s="18">
        <v>87.545531999999994</v>
      </c>
      <c r="F24" s="18">
        <v>87.178237999999993</v>
      </c>
      <c r="G24" s="18">
        <v>79.758826999999997</v>
      </c>
      <c r="H24" s="18">
        <v>40.021534000000003</v>
      </c>
      <c r="I24" s="18">
        <v>153.58999600000001</v>
      </c>
      <c r="J24" s="18">
        <v>56.77158</v>
      </c>
      <c r="K24" s="18">
        <v>109.920937</v>
      </c>
      <c r="L24" s="18">
        <v>40.021534000000003</v>
      </c>
      <c r="M24" s="18">
        <v>90.647757999999996</v>
      </c>
      <c r="N24" s="18">
        <v>27.511130999999999</v>
      </c>
      <c r="O24" s="18">
        <v>244.520004</v>
      </c>
      <c r="P24" s="18">
        <v>79.475952000000007</v>
      </c>
      <c r="Q24" s="18">
        <v>94.079559000000003</v>
      </c>
      <c r="R24" s="18">
        <v>236.13056900000001</v>
      </c>
      <c r="S24" s="18">
        <v>60.945934000000001</v>
      </c>
      <c r="T24" s="18">
        <v>94.723427000000001</v>
      </c>
      <c r="U24" s="18">
        <v>55.710636000000001</v>
      </c>
      <c r="V24" s="18">
        <v>111.786339</v>
      </c>
      <c r="W24" s="18">
        <v>41.520553999999997</v>
      </c>
      <c r="X24" s="18">
        <v>55.515675000000002</v>
      </c>
      <c r="Y24" s="18">
        <v>98.380257</v>
      </c>
      <c r="Z24" s="18">
        <v>27.451355</v>
      </c>
      <c r="AA24" s="18">
        <v>54.052337999999999</v>
      </c>
      <c r="AB24" s="18">
        <v>93.304703000000003</v>
      </c>
      <c r="AC24" s="18">
        <v>69.449837000000002</v>
      </c>
      <c r="AD24" s="18">
        <v>103.391464</v>
      </c>
      <c r="AE24" s="18">
        <v>132.570007</v>
      </c>
      <c r="AF24" s="18">
        <v>143.490005</v>
      </c>
      <c r="AG24" s="18">
        <v>265.806061</v>
      </c>
      <c r="AH24" s="18">
        <v>92.290092000000001</v>
      </c>
      <c r="AI24" s="18">
        <v>75.228774999999999</v>
      </c>
      <c r="AJ24" s="18">
        <v>84.50882</v>
      </c>
      <c r="AK24" s="18">
        <v>76.721169000000003</v>
      </c>
      <c r="AL24" s="18">
        <v>43.457622999999998</v>
      </c>
      <c r="AM24" s="18">
        <v>24.300122999999999</v>
      </c>
      <c r="AN24" s="18">
        <v>58.81955</v>
      </c>
      <c r="AO24" s="18">
        <v>107.768272</v>
      </c>
      <c r="AP24" s="18">
        <v>90.422554000000005</v>
      </c>
      <c r="AQ24" s="18">
        <v>663.61999500000002</v>
      </c>
      <c r="AR24" s="18">
        <v>32.344119999999997</v>
      </c>
      <c r="AS24" s="18">
        <v>23.063005</v>
      </c>
      <c r="AT24" s="18">
        <v>24.403444</v>
      </c>
      <c r="AU24" s="18">
        <v>48.897132999999997</v>
      </c>
      <c r="AV24" s="18">
        <v>31.978807</v>
      </c>
      <c r="AW24" s="18">
        <v>92.867523000000006</v>
      </c>
      <c r="AX24" s="18">
        <v>68.871619999999993</v>
      </c>
      <c r="AY24" s="18">
        <v>40.299553000000003</v>
      </c>
      <c r="AZ24" s="18">
        <v>101.007919</v>
      </c>
      <c r="BA24" s="18">
        <v>71.272812000000002</v>
      </c>
      <c r="BB24" s="18">
        <v>54.742924000000002</v>
      </c>
      <c r="BC24" s="18">
        <v>16.208696</v>
      </c>
      <c r="BD24" s="18">
        <v>62.103194999999999</v>
      </c>
      <c r="BE24" s="18">
        <v>52.342606000000004</v>
      </c>
      <c r="BF24" s="18">
        <v>179.752151</v>
      </c>
      <c r="BG24" s="18">
        <v>40.735474000000004</v>
      </c>
      <c r="BH24" s="18">
        <v>49.354111000000003</v>
      </c>
      <c r="BI24" s="18">
        <v>85.082329000000001</v>
      </c>
      <c r="BJ24" s="18">
        <v>7.6257720000000004</v>
      </c>
      <c r="BK24" s="18">
        <v>87.363349999999997</v>
      </c>
      <c r="BL24" s="18">
        <v>146.769577</v>
      </c>
      <c r="BM24" s="18">
        <v>91.589157</v>
      </c>
      <c r="BN24" s="18">
        <v>42.028812000000002</v>
      </c>
      <c r="BO24" s="18">
        <v>88.154647999999995</v>
      </c>
      <c r="BP24" s="18">
        <v>154.332367</v>
      </c>
      <c r="BQ24" s="18">
        <v>131.56359900000001</v>
      </c>
      <c r="BR24" s="18">
        <v>73.138267999999997</v>
      </c>
      <c r="BS24" s="18">
        <v>75.006050000000002</v>
      </c>
      <c r="BT24" s="18">
        <v>73.150002000000001</v>
      </c>
      <c r="BU24" s="18">
        <v>95.639999000000003</v>
      </c>
      <c r="BV24" s="18">
        <v>43.826903999999999</v>
      </c>
      <c r="BW24" s="18">
        <v>33.595008999999997</v>
      </c>
      <c r="BX24" s="18">
        <v>42.982894999999999</v>
      </c>
      <c r="BY24" s="18">
        <v>59.869999</v>
      </c>
      <c r="BZ24" s="18">
        <v>90.302543999999997</v>
      </c>
      <c r="CA24" s="18">
        <v>62.150002000000001</v>
      </c>
      <c r="CB24" s="18">
        <v>83.519997000000004</v>
      </c>
      <c r="CC24" s="18">
        <v>20.255201</v>
      </c>
      <c r="CD24" s="18">
        <v>77.699996999999996</v>
      </c>
      <c r="CE24" s="18">
        <v>15.469251</v>
      </c>
      <c r="CF24" s="18">
        <v>35.950001</v>
      </c>
    </row>
    <row r="25" spans="1:84" x14ac:dyDescent="0.25">
      <c r="A25" s="17">
        <v>42004</v>
      </c>
      <c r="B25" s="18">
        <v>104.06409499999999</v>
      </c>
      <c r="C25" s="18">
        <v>22.174783999999999</v>
      </c>
      <c r="D25" s="18">
        <v>140.23417699999999</v>
      </c>
      <c r="E25" s="18">
        <v>89.135375999999994</v>
      </c>
      <c r="F25" s="18">
        <v>85.123581000000001</v>
      </c>
      <c r="G25" s="18">
        <v>78.246352999999999</v>
      </c>
      <c r="H25" s="18">
        <v>37.952010999999999</v>
      </c>
      <c r="I25" s="18">
        <v>155.36000100000001</v>
      </c>
      <c r="J25" s="18">
        <v>60.845630999999997</v>
      </c>
      <c r="K25" s="18">
        <v>112.018852</v>
      </c>
      <c r="L25" s="18">
        <v>37.952010999999999</v>
      </c>
      <c r="M25" s="18">
        <v>85.630889999999994</v>
      </c>
      <c r="N25" s="18">
        <v>26.785243999999999</v>
      </c>
      <c r="O25" s="18">
        <v>222.41000399999999</v>
      </c>
      <c r="P25" s="18">
        <v>82.326553000000004</v>
      </c>
      <c r="Q25" s="18">
        <v>97.838866999999993</v>
      </c>
      <c r="R25" s="18">
        <v>254.250946</v>
      </c>
      <c r="S25" s="18">
        <v>58.540680000000002</v>
      </c>
      <c r="T25" s="18">
        <v>94.901313999999999</v>
      </c>
      <c r="U25" s="18">
        <v>56.739159000000001</v>
      </c>
      <c r="V25" s="18">
        <v>111.376144</v>
      </c>
      <c r="W25" s="18">
        <v>41.411701000000001</v>
      </c>
      <c r="X25" s="18">
        <v>57.113219999999998</v>
      </c>
      <c r="Y25" s="18">
        <v>95.654731999999996</v>
      </c>
      <c r="Z25" s="18">
        <v>27.689105999999999</v>
      </c>
      <c r="AA25" s="18">
        <v>50.821728</v>
      </c>
      <c r="AB25" s="18">
        <v>95.631873999999996</v>
      </c>
      <c r="AC25" s="18">
        <v>73.137084999999999</v>
      </c>
      <c r="AD25" s="18">
        <v>110.059296</v>
      </c>
      <c r="AE25" s="18">
        <v>129.490005</v>
      </c>
      <c r="AF25" s="18">
        <v>148.19000199999999</v>
      </c>
      <c r="AG25" s="18">
        <v>252.891434</v>
      </c>
      <c r="AH25" s="18">
        <v>97.461685000000003</v>
      </c>
      <c r="AI25" s="18">
        <v>74.696715999999995</v>
      </c>
      <c r="AJ25" s="18">
        <v>82.982894999999999</v>
      </c>
      <c r="AK25" s="18">
        <v>79.267128</v>
      </c>
      <c r="AL25" s="18">
        <v>41.068370999999999</v>
      </c>
      <c r="AM25" s="18">
        <v>25.574981999999999</v>
      </c>
      <c r="AN25" s="18">
        <v>60.097149000000002</v>
      </c>
      <c r="AO25" s="18">
        <v>110.393974</v>
      </c>
      <c r="AP25" s="18">
        <v>90.730864999999994</v>
      </c>
      <c r="AQ25" s="18">
        <v>684.51000999999997</v>
      </c>
      <c r="AR25" s="18">
        <v>35.125641000000002</v>
      </c>
      <c r="AS25" s="18">
        <v>22.782440000000001</v>
      </c>
      <c r="AT25" s="18">
        <v>24.666568999999999</v>
      </c>
      <c r="AU25" s="18">
        <v>49.417316</v>
      </c>
      <c r="AV25" s="18">
        <v>33.544384000000001</v>
      </c>
      <c r="AW25" s="18">
        <v>95.226646000000002</v>
      </c>
      <c r="AX25" s="18">
        <v>71.809723000000005</v>
      </c>
      <c r="AY25" s="18">
        <v>41.726990000000001</v>
      </c>
      <c r="AZ25" s="18">
        <v>100.673424</v>
      </c>
      <c r="BA25" s="18">
        <v>75.568779000000006</v>
      </c>
      <c r="BB25" s="18">
        <v>56.945019000000002</v>
      </c>
      <c r="BC25" s="18">
        <v>17.017230999999999</v>
      </c>
      <c r="BD25" s="18">
        <v>63.556373999999998</v>
      </c>
      <c r="BE25" s="18">
        <v>52.478382000000003</v>
      </c>
      <c r="BF25" s="18">
        <v>185.513565</v>
      </c>
      <c r="BG25" s="18">
        <v>41.426696999999997</v>
      </c>
      <c r="BH25" s="18">
        <v>49.990574000000002</v>
      </c>
      <c r="BI25" s="18">
        <v>83.980934000000005</v>
      </c>
      <c r="BJ25" s="18">
        <v>7.1373800000000003</v>
      </c>
      <c r="BK25" s="18">
        <v>87.949432000000002</v>
      </c>
      <c r="BL25" s="18">
        <v>151.45622299999999</v>
      </c>
      <c r="BM25" s="18">
        <v>92.875534000000002</v>
      </c>
      <c r="BN25" s="18">
        <v>43.110210000000002</v>
      </c>
      <c r="BO25" s="18">
        <v>87.941063</v>
      </c>
      <c r="BP25" s="18">
        <v>152.894882</v>
      </c>
      <c r="BQ25" s="18">
        <v>130.95912200000001</v>
      </c>
      <c r="BR25" s="18">
        <v>74.119049000000004</v>
      </c>
      <c r="BS25" s="18">
        <v>74.823691999999994</v>
      </c>
      <c r="BT25" s="18">
        <v>77.410004000000001</v>
      </c>
      <c r="BU25" s="18">
        <v>99.099997999999999</v>
      </c>
      <c r="BV25" s="18">
        <v>42.848759000000001</v>
      </c>
      <c r="BW25" s="18">
        <v>32.943806000000002</v>
      </c>
      <c r="BX25" s="18">
        <v>39.745795999999999</v>
      </c>
      <c r="BY25" s="18">
        <v>59.310001</v>
      </c>
      <c r="BZ25" s="18">
        <v>88.686401000000004</v>
      </c>
      <c r="CA25" s="18">
        <v>69.139999000000003</v>
      </c>
      <c r="CB25" s="18">
        <v>82</v>
      </c>
      <c r="CC25" s="18">
        <v>19.448521</v>
      </c>
      <c r="CD25" s="18">
        <v>78.019997000000004</v>
      </c>
      <c r="CE25" s="18">
        <v>15.893012000000001</v>
      </c>
      <c r="CF25" s="18">
        <v>35.009998000000003</v>
      </c>
    </row>
    <row r="26" spans="1:84" x14ac:dyDescent="0.25">
      <c r="A26" s="17">
        <v>42035</v>
      </c>
      <c r="B26" s="18">
        <v>110.45616099999999</v>
      </c>
      <c r="C26" s="18">
        <v>21.161179000000001</v>
      </c>
      <c r="D26" s="18">
        <v>134.00213600000001</v>
      </c>
      <c r="E26" s="18">
        <v>87.172759999999997</v>
      </c>
      <c r="F26" s="18">
        <v>83.978920000000002</v>
      </c>
      <c r="G26" s="18">
        <v>77.858924999999999</v>
      </c>
      <c r="H26" s="18">
        <v>37.008152000000003</v>
      </c>
      <c r="I26" s="18">
        <v>165.03999300000001</v>
      </c>
      <c r="J26" s="18">
        <v>59.665931999999998</v>
      </c>
      <c r="K26" s="18">
        <v>115.02731300000001</v>
      </c>
      <c r="L26" s="18">
        <v>37.008152000000003</v>
      </c>
      <c r="M26" s="18">
        <v>85.482285000000005</v>
      </c>
      <c r="N26" s="18">
        <v>27.587630999999998</v>
      </c>
      <c r="O26" s="18">
        <v>203.60000600000001</v>
      </c>
      <c r="P26" s="18">
        <v>77.847374000000002</v>
      </c>
      <c r="Q26" s="18">
        <v>89.422522999999998</v>
      </c>
      <c r="R26" s="18">
        <v>262.20590199999998</v>
      </c>
      <c r="S26" s="18">
        <v>55.064098000000001</v>
      </c>
      <c r="T26" s="18">
        <v>99.800835000000006</v>
      </c>
      <c r="U26" s="18">
        <v>45.751781000000001</v>
      </c>
      <c r="V26" s="18">
        <v>109.987106</v>
      </c>
      <c r="W26" s="18">
        <v>44.417758999999997</v>
      </c>
      <c r="X26" s="18">
        <v>58.130485999999998</v>
      </c>
      <c r="Y26" s="18">
        <v>91.602431999999993</v>
      </c>
      <c r="Z26" s="18">
        <v>27.777999999999999</v>
      </c>
      <c r="AA26" s="18">
        <v>54.352730000000001</v>
      </c>
      <c r="AB26" s="18">
        <v>100.89228799999999</v>
      </c>
      <c r="AC26" s="18">
        <v>70.556006999999994</v>
      </c>
      <c r="AD26" s="18">
        <v>101.423508</v>
      </c>
      <c r="AE26" s="18">
        <v>141.13000500000001</v>
      </c>
      <c r="AF26" s="18">
        <v>166.5</v>
      </c>
      <c r="AG26" s="18">
        <v>261.861176</v>
      </c>
      <c r="AH26" s="18">
        <v>97.414046999999997</v>
      </c>
      <c r="AI26" s="18">
        <v>71.317520000000002</v>
      </c>
      <c r="AJ26" s="18">
        <v>83.537018000000003</v>
      </c>
      <c r="AK26" s="18">
        <v>77.446280999999999</v>
      </c>
      <c r="AL26" s="18">
        <v>40.771000000000001</v>
      </c>
      <c r="AM26" s="18">
        <v>21.117851000000002</v>
      </c>
      <c r="AN26" s="18">
        <v>56.154552000000002</v>
      </c>
      <c r="AO26" s="18">
        <v>108.614754</v>
      </c>
      <c r="AP26" s="18">
        <v>95.689010999999994</v>
      </c>
      <c r="AQ26" s="18">
        <v>709.84002699999996</v>
      </c>
      <c r="AR26" s="18">
        <v>36.972400999999998</v>
      </c>
      <c r="AS26" s="18">
        <v>22.717639999999999</v>
      </c>
      <c r="AT26" s="18">
        <v>24.989912</v>
      </c>
      <c r="AU26" s="18">
        <v>52.050434000000003</v>
      </c>
      <c r="AV26" s="18">
        <v>33.239348999999997</v>
      </c>
      <c r="AW26" s="18">
        <v>97.869583000000006</v>
      </c>
      <c r="AX26" s="18">
        <v>74.904235999999997</v>
      </c>
      <c r="AY26" s="18">
        <v>43.094948000000002</v>
      </c>
      <c r="AZ26" s="18">
        <v>101.808487</v>
      </c>
      <c r="BA26" s="18">
        <v>79.113235000000003</v>
      </c>
      <c r="BB26" s="18">
        <v>49.483387</v>
      </c>
      <c r="BC26" s="18">
        <v>14.453041000000001</v>
      </c>
      <c r="BD26" s="18">
        <v>61.789299</v>
      </c>
      <c r="BE26" s="18">
        <v>45.534278999999998</v>
      </c>
      <c r="BF26" s="18">
        <v>165.01260400000001</v>
      </c>
      <c r="BG26" s="18">
        <v>38.832977</v>
      </c>
      <c r="BH26" s="18">
        <v>47.346054000000002</v>
      </c>
      <c r="BI26" s="18">
        <v>79.955368000000007</v>
      </c>
      <c r="BJ26" s="18">
        <v>5.7321809999999997</v>
      </c>
      <c r="BK26" s="18">
        <v>76.275154000000001</v>
      </c>
      <c r="BL26" s="18">
        <v>149.59435999999999</v>
      </c>
      <c r="BM26" s="18">
        <v>90.867630000000005</v>
      </c>
      <c r="BN26" s="18">
        <v>41.498161000000003</v>
      </c>
      <c r="BO26" s="18">
        <v>86.880249000000006</v>
      </c>
      <c r="BP26" s="18">
        <v>150.92926</v>
      </c>
      <c r="BQ26" s="18">
        <v>126.680725</v>
      </c>
      <c r="BR26" s="18">
        <v>68.891486999999998</v>
      </c>
      <c r="BS26" s="18">
        <v>70.135750000000002</v>
      </c>
      <c r="BT26" s="18">
        <v>83.459998999999996</v>
      </c>
      <c r="BU26" s="18">
        <v>95.019997000000004</v>
      </c>
      <c r="BV26" s="18">
        <v>37.267822000000002</v>
      </c>
      <c r="BW26" s="18">
        <v>29.993473000000002</v>
      </c>
      <c r="BX26" s="18">
        <v>38.836685000000003</v>
      </c>
      <c r="BY26" s="18">
        <v>56.450001</v>
      </c>
      <c r="BZ26" s="18">
        <v>83.520470000000003</v>
      </c>
      <c r="CA26" s="18">
        <v>63.790000999999997</v>
      </c>
      <c r="CB26" s="18">
        <v>80.669998000000007</v>
      </c>
      <c r="CC26" s="18">
        <v>18.624018</v>
      </c>
      <c r="CD26" s="18">
        <v>75.910004000000001</v>
      </c>
      <c r="CE26" s="18">
        <v>14.437469999999999</v>
      </c>
      <c r="CF26" s="18">
        <v>29.27</v>
      </c>
    </row>
    <row r="27" spans="1:84" x14ac:dyDescent="0.25">
      <c r="A27" s="17">
        <v>42063</v>
      </c>
      <c r="B27" s="18">
        <v>121.109573</v>
      </c>
      <c r="C27" s="18">
        <v>23.021307</v>
      </c>
      <c r="D27" s="18">
        <v>141.54527300000001</v>
      </c>
      <c r="E27" s="18">
        <v>99.746489999999994</v>
      </c>
      <c r="F27" s="18">
        <v>89.847633000000002</v>
      </c>
      <c r="G27" s="18">
        <v>76.896904000000006</v>
      </c>
      <c r="H27" s="18">
        <v>38.922829</v>
      </c>
      <c r="I27" s="18">
        <v>184.35000600000001</v>
      </c>
      <c r="J27" s="18">
        <v>66.341292999999993</v>
      </c>
      <c r="K27" s="18">
        <v>120.84786200000001</v>
      </c>
      <c r="L27" s="18">
        <v>38.922829</v>
      </c>
      <c r="M27" s="18">
        <v>90.222176000000005</v>
      </c>
      <c r="N27" s="18">
        <v>30.253277000000001</v>
      </c>
      <c r="O27" s="18">
        <v>203.33999600000001</v>
      </c>
      <c r="P27" s="18">
        <v>78.844718999999998</v>
      </c>
      <c r="Q27" s="18">
        <v>93.041977000000003</v>
      </c>
      <c r="R27" s="18">
        <v>275.67053199999998</v>
      </c>
      <c r="S27" s="18">
        <v>64.143767999999994</v>
      </c>
      <c r="T27" s="18">
        <v>114.680206</v>
      </c>
      <c r="U27" s="18">
        <v>53.629890000000003</v>
      </c>
      <c r="V27" s="18">
        <v>112.746346</v>
      </c>
      <c r="W27" s="18">
        <v>48.586765</v>
      </c>
      <c r="X27" s="18">
        <v>60.036701000000001</v>
      </c>
      <c r="Y27" s="18">
        <v>93.770363000000003</v>
      </c>
      <c r="Z27" s="18">
        <v>30.506905</v>
      </c>
      <c r="AA27" s="18">
        <v>52.783825</v>
      </c>
      <c r="AB27" s="18">
        <v>107.900131</v>
      </c>
      <c r="AC27" s="18">
        <v>71.293457000000004</v>
      </c>
      <c r="AD27" s="18">
        <v>112.12674699999999</v>
      </c>
      <c r="AE27" s="18">
        <v>155.050003</v>
      </c>
      <c r="AF27" s="18">
        <v>151.05999800000001</v>
      </c>
      <c r="AG27" s="18">
        <v>286.24548299999998</v>
      </c>
      <c r="AH27" s="18">
        <v>107.05096399999999</v>
      </c>
      <c r="AI27" s="18">
        <v>79.550133000000002</v>
      </c>
      <c r="AJ27" s="18">
        <v>89.194930999999997</v>
      </c>
      <c r="AK27" s="18">
        <v>84.554069999999996</v>
      </c>
      <c r="AL27" s="18">
        <v>41.939987000000002</v>
      </c>
      <c r="AM27" s="18">
        <v>20.631264000000002</v>
      </c>
      <c r="AN27" s="18">
        <v>60.426532999999999</v>
      </c>
      <c r="AO27" s="18">
        <v>111.441109</v>
      </c>
      <c r="AP27" s="18">
        <v>98.084854000000007</v>
      </c>
      <c r="AQ27" s="18">
        <v>664.96997099999999</v>
      </c>
      <c r="AR27" s="18">
        <v>37.429431999999998</v>
      </c>
      <c r="AS27" s="18">
        <v>23.541550000000001</v>
      </c>
      <c r="AT27" s="18">
        <v>24.426369000000001</v>
      </c>
      <c r="AU27" s="18">
        <v>50.140503000000002</v>
      </c>
      <c r="AV27" s="18">
        <v>34.293095000000001</v>
      </c>
      <c r="AW27" s="18">
        <v>92.691208000000003</v>
      </c>
      <c r="AX27" s="18">
        <v>67.520409000000001</v>
      </c>
      <c r="AY27" s="18">
        <v>38.906101</v>
      </c>
      <c r="AZ27" s="18">
        <v>98.424560999999997</v>
      </c>
      <c r="BA27" s="18">
        <v>72.380752999999999</v>
      </c>
      <c r="BB27" s="18">
        <v>56.120789000000002</v>
      </c>
      <c r="BC27" s="18">
        <v>15.082677</v>
      </c>
      <c r="BD27" s="18">
        <v>65.764595</v>
      </c>
      <c r="BE27" s="18">
        <v>50.850132000000002</v>
      </c>
      <c r="BF27" s="18">
        <v>181.646896</v>
      </c>
      <c r="BG27" s="18">
        <v>41.334743000000003</v>
      </c>
      <c r="BH27" s="18">
        <v>49.963222999999999</v>
      </c>
      <c r="BI27" s="18">
        <v>88.019997000000004</v>
      </c>
      <c r="BJ27" s="18">
        <v>6.3497760000000003</v>
      </c>
      <c r="BK27" s="18">
        <v>77.352813999999995</v>
      </c>
      <c r="BL27" s="18">
        <v>155.44723500000001</v>
      </c>
      <c r="BM27" s="18">
        <v>95.533730000000006</v>
      </c>
      <c r="BN27" s="18">
        <v>43.966498999999999</v>
      </c>
      <c r="BO27" s="18">
        <v>92.265343000000001</v>
      </c>
      <c r="BP27" s="18">
        <v>164.14063999999999</v>
      </c>
      <c r="BQ27" s="18">
        <v>129.19688400000001</v>
      </c>
      <c r="BR27" s="18">
        <v>73.846915999999993</v>
      </c>
      <c r="BS27" s="18">
        <v>74.053589000000002</v>
      </c>
      <c r="BT27" s="18">
        <v>91.050003000000004</v>
      </c>
      <c r="BU27" s="18">
        <v>106.610001</v>
      </c>
      <c r="BV27" s="18">
        <v>40.450333000000001</v>
      </c>
      <c r="BW27" s="18">
        <v>30.184114000000001</v>
      </c>
      <c r="BX27" s="18">
        <v>42.511364</v>
      </c>
      <c r="BY27" s="18">
        <v>69.379997000000003</v>
      </c>
      <c r="BZ27" s="18">
        <v>94.187042000000005</v>
      </c>
      <c r="CA27" s="18">
        <v>69.120002999999997</v>
      </c>
      <c r="CB27" s="18">
        <v>85.970000999999996</v>
      </c>
      <c r="CC27" s="18">
        <v>21.398223999999999</v>
      </c>
      <c r="CD27" s="18">
        <v>78.970000999999996</v>
      </c>
      <c r="CE27" s="18">
        <v>13.921989999999999</v>
      </c>
      <c r="CF27" s="18">
        <v>30.67</v>
      </c>
    </row>
    <row r="28" spans="1:84" x14ac:dyDescent="0.25">
      <c r="A28" s="17">
        <v>42094</v>
      </c>
      <c r="B28" s="18">
        <v>117.773132</v>
      </c>
      <c r="C28" s="18">
        <v>22.17811</v>
      </c>
      <c r="D28" s="18">
        <v>141.27070599999999</v>
      </c>
      <c r="E28" s="18">
        <v>100.522766</v>
      </c>
      <c r="F28" s="18">
        <v>89.290549999999996</v>
      </c>
      <c r="G28" s="18">
        <v>75.357697000000002</v>
      </c>
      <c r="H28" s="18">
        <v>36.450828999999999</v>
      </c>
      <c r="I28" s="18">
        <v>185.75</v>
      </c>
      <c r="J28" s="18">
        <v>66.907188000000005</v>
      </c>
      <c r="K28" s="18">
        <v>124.882965</v>
      </c>
      <c r="L28" s="18">
        <v>36.450828999999999</v>
      </c>
      <c r="M28" s="18">
        <v>87.159476999999995</v>
      </c>
      <c r="N28" s="18">
        <v>29.906379999999999</v>
      </c>
      <c r="O28" s="18">
        <v>188.770004</v>
      </c>
      <c r="P28" s="18">
        <v>76.262100000000004</v>
      </c>
      <c r="Q28" s="18">
        <v>92.458870000000005</v>
      </c>
      <c r="R28" s="18">
        <v>275.63571200000001</v>
      </c>
      <c r="S28" s="18">
        <v>69.120789000000002</v>
      </c>
      <c r="T28" s="18">
        <v>110.419556</v>
      </c>
      <c r="U28" s="18">
        <v>50.093746000000003</v>
      </c>
      <c r="V28" s="18">
        <v>105.359741</v>
      </c>
      <c r="W28" s="18">
        <v>42.018523999999999</v>
      </c>
      <c r="X28" s="18">
        <v>61.979767000000002</v>
      </c>
      <c r="Y28" s="18">
        <v>92.667366000000001</v>
      </c>
      <c r="Z28" s="18">
        <v>31.197493000000001</v>
      </c>
      <c r="AA28" s="18">
        <v>51.828052999999997</v>
      </c>
      <c r="AB28" s="18">
        <v>112.325157</v>
      </c>
      <c r="AC28" s="18">
        <v>74.970741000000004</v>
      </c>
      <c r="AD28" s="18">
        <v>116.54641700000001</v>
      </c>
      <c r="AE28" s="18">
        <v>172.44000199999999</v>
      </c>
      <c r="AF28" s="18">
        <v>141.029999</v>
      </c>
      <c r="AG28" s="18">
        <v>292.50109900000001</v>
      </c>
      <c r="AH28" s="18">
        <v>105.987442</v>
      </c>
      <c r="AI28" s="18">
        <v>77.076324</v>
      </c>
      <c r="AJ28" s="18">
        <v>91.508651999999998</v>
      </c>
      <c r="AK28" s="18">
        <v>83.620529000000005</v>
      </c>
      <c r="AL28" s="18">
        <v>40.155738999999997</v>
      </c>
      <c r="AM28" s="18">
        <v>19.171506999999998</v>
      </c>
      <c r="AN28" s="18">
        <v>59.109009</v>
      </c>
      <c r="AO28" s="18">
        <v>100.819366</v>
      </c>
      <c r="AP28" s="18">
        <v>97.138099999999994</v>
      </c>
      <c r="AQ28" s="18">
        <v>650.53997800000002</v>
      </c>
      <c r="AR28" s="18">
        <v>37.409579999999998</v>
      </c>
      <c r="AS28" s="18">
        <v>22.842976</v>
      </c>
      <c r="AT28" s="18">
        <v>24.494823</v>
      </c>
      <c r="AU28" s="18">
        <v>50.82217</v>
      </c>
      <c r="AV28" s="18">
        <v>33.811870999999996</v>
      </c>
      <c r="AW28" s="18">
        <v>93.901404999999997</v>
      </c>
      <c r="AX28" s="18">
        <v>66.628180999999998</v>
      </c>
      <c r="AY28" s="18">
        <v>38.473415000000003</v>
      </c>
      <c r="AZ28" s="18">
        <v>99.170471000000006</v>
      </c>
      <c r="BA28" s="18">
        <v>71.198372000000006</v>
      </c>
      <c r="BB28" s="18">
        <v>55.479720999999998</v>
      </c>
      <c r="BC28" s="18">
        <v>14.681998999999999</v>
      </c>
      <c r="BD28" s="18">
        <v>63.884276999999997</v>
      </c>
      <c r="BE28" s="18">
        <v>49.977093000000004</v>
      </c>
      <c r="BF28" s="18">
        <v>180.46975699999999</v>
      </c>
      <c r="BG28" s="18">
        <v>40.463757000000001</v>
      </c>
      <c r="BH28" s="18">
        <v>49.934559</v>
      </c>
      <c r="BI28" s="18">
        <v>84.367546000000004</v>
      </c>
      <c r="BJ28" s="18">
        <v>6.4980529999999996</v>
      </c>
      <c r="BK28" s="18">
        <v>74.063041999999996</v>
      </c>
      <c r="BL28" s="18">
        <v>152.982529</v>
      </c>
      <c r="BM28" s="18">
        <v>97.441543999999993</v>
      </c>
      <c r="BN28" s="18">
        <v>42.767589999999998</v>
      </c>
      <c r="BO28" s="18">
        <v>90.660072</v>
      </c>
      <c r="BP28" s="18">
        <v>168.47996499999999</v>
      </c>
      <c r="BQ28" s="18">
        <v>126.65891999999999</v>
      </c>
      <c r="BR28" s="18">
        <v>72.480086999999997</v>
      </c>
      <c r="BS28" s="18">
        <v>75.623360000000005</v>
      </c>
      <c r="BT28" s="18">
        <v>90.720000999999996</v>
      </c>
      <c r="BU28" s="18">
        <v>102.650002</v>
      </c>
      <c r="BV28" s="18">
        <v>37.774585999999999</v>
      </c>
      <c r="BW28" s="18">
        <v>28.590294</v>
      </c>
      <c r="BX28" s="18">
        <v>41.806423000000002</v>
      </c>
      <c r="BY28" s="18">
        <v>66.809997999999993</v>
      </c>
      <c r="BZ28" s="18">
        <v>93.540665000000004</v>
      </c>
      <c r="CA28" s="18">
        <v>75.75</v>
      </c>
      <c r="CB28" s="18">
        <v>88.190002000000007</v>
      </c>
      <c r="CC28" s="18">
        <v>20.380296999999999</v>
      </c>
      <c r="CD28" s="18">
        <v>82.220000999999996</v>
      </c>
      <c r="CE28" s="18">
        <v>12.451472000000001</v>
      </c>
      <c r="CF28" s="18">
        <v>27.129999000000002</v>
      </c>
    </row>
    <row r="29" spans="1:84" x14ac:dyDescent="0.25">
      <c r="A29" s="17">
        <v>42124</v>
      </c>
      <c r="B29" s="18">
        <v>118.45462000000001</v>
      </c>
      <c r="C29" s="18">
        <v>24.207308000000001</v>
      </c>
      <c r="D29" s="18">
        <v>150.76799</v>
      </c>
      <c r="E29" s="18">
        <v>104.193298</v>
      </c>
      <c r="F29" s="18">
        <v>88.474991000000003</v>
      </c>
      <c r="G29" s="18">
        <v>71.939139999999995</v>
      </c>
      <c r="H29" s="18">
        <v>36.762352</v>
      </c>
      <c r="I29" s="18">
        <v>173.5</v>
      </c>
      <c r="J29" s="18">
        <v>62.438037999999999</v>
      </c>
      <c r="K29" s="18">
        <v>125.875923</v>
      </c>
      <c r="L29" s="18">
        <v>36.762352</v>
      </c>
      <c r="M29" s="18">
        <v>87.284737000000007</v>
      </c>
      <c r="N29" s="18">
        <v>30.7714</v>
      </c>
      <c r="O29" s="18">
        <v>226.050003</v>
      </c>
      <c r="P29" s="18">
        <v>78.388458</v>
      </c>
      <c r="Q29" s="18">
        <v>97.813682999999997</v>
      </c>
      <c r="R29" s="18">
        <v>269.338257</v>
      </c>
      <c r="S29" s="18">
        <v>75.107985999999997</v>
      </c>
      <c r="T29" s="18">
        <v>108.35324900000001</v>
      </c>
      <c r="U29" s="18">
        <v>56.905441000000003</v>
      </c>
      <c r="V29" s="18">
        <v>107.15222900000001</v>
      </c>
      <c r="W29" s="18">
        <v>40.327613999999997</v>
      </c>
      <c r="X29" s="18">
        <v>59.525314000000002</v>
      </c>
      <c r="Y29" s="18">
        <v>91.377739000000005</v>
      </c>
      <c r="Z29" s="18">
        <v>30.426302</v>
      </c>
      <c r="AA29" s="18">
        <v>54.138100000000001</v>
      </c>
      <c r="AB29" s="18">
        <v>106.13649700000001</v>
      </c>
      <c r="AC29" s="18">
        <v>73.754943999999995</v>
      </c>
      <c r="AD29" s="18">
        <v>115.793938</v>
      </c>
      <c r="AE29" s="18">
        <v>159.69000199999999</v>
      </c>
      <c r="AF29" s="18">
        <v>140.61000100000001</v>
      </c>
      <c r="AG29" s="18">
        <v>277.99496499999998</v>
      </c>
      <c r="AH29" s="18">
        <v>100.315849</v>
      </c>
      <c r="AI29" s="18">
        <v>76.817238000000003</v>
      </c>
      <c r="AJ29" s="18">
        <v>91.786697000000004</v>
      </c>
      <c r="AK29" s="18">
        <v>79.307602000000003</v>
      </c>
      <c r="AL29" s="18">
        <v>43.693461999999997</v>
      </c>
      <c r="AM29" s="18">
        <v>21.915852000000001</v>
      </c>
      <c r="AN29" s="18">
        <v>57.941195999999998</v>
      </c>
      <c r="AO29" s="18">
        <v>98.883232000000007</v>
      </c>
      <c r="AP29" s="18">
        <v>104.517563</v>
      </c>
      <c r="AQ29" s="18">
        <v>621.34002699999996</v>
      </c>
      <c r="AR29" s="18">
        <v>36.002850000000002</v>
      </c>
      <c r="AS29" s="18">
        <v>22.246506</v>
      </c>
      <c r="AT29" s="18">
        <v>24.931732</v>
      </c>
      <c r="AU29" s="18">
        <v>51.112800999999997</v>
      </c>
      <c r="AV29" s="18">
        <v>33.504745</v>
      </c>
      <c r="AW29" s="18">
        <v>91.085716000000005</v>
      </c>
      <c r="AX29" s="18">
        <v>67.313736000000006</v>
      </c>
      <c r="AY29" s="18">
        <v>38.490791000000002</v>
      </c>
      <c r="AZ29" s="18">
        <v>97.190987000000007</v>
      </c>
      <c r="BA29" s="18">
        <v>70.888947000000002</v>
      </c>
      <c r="BB29" s="18">
        <v>57.934081999999997</v>
      </c>
      <c r="BC29" s="18">
        <v>15.244679</v>
      </c>
      <c r="BD29" s="18">
        <v>64.509331000000003</v>
      </c>
      <c r="BE29" s="18">
        <v>51.723182999999999</v>
      </c>
      <c r="BF29" s="18">
        <v>188.582581</v>
      </c>
      <c r="BG29" s="18">
        <v>39.948788</v>
      </c>
      <c r="BH29" s="18">
        <v>50.577091000000003</v>
      </c>
      <c r="BI29" s="18">
        <v>88.098136999999994</v>
      </c>
      <c r="BJ29" s="18">
        <v>6.5591090000000003</v>
      </c>
      <c r="BK29" s="18">
        <v>73.673248000000001</v>
      </c>
      <c r="BL29" s="18">
        <v>145.043564</v>
      </c>
      <c r="BM29" s="18">
        <v>94.274756999999994</v>
      </c>
      <c r="BN29" s="18">
        <v>41.331950999999997</v>
      </c>
      <c r="BO29" s="18">
        <v>87.778594999999996</v>
      </c>
      <c r="BP29" s="18">
        <v>164.72833299999999</v>
      </c>
      <c r="BQ29" s="18">
        <v>126.311775</v>
      </c>
      <c r="BR29" s="18">
        <v>71.696312000000006</v>
      </c>
      <c r="BS29" s="18">
        <v>76.887939000000003</v>
      </c>
      <c r="BT29" s="18">
        <v>92.080001999999993</v>
      </c>
      <c r="BU29" s="18">
        <v>101.339996</v>
      </c>
      <c r="BV29" s="18">
        <v>45.188290000000002</v>
      </c>
      <c r="BW29" s="18">
        <v>29.760607</v>
      </c>
      <c r="BX29" s="18">
        <v>43.362450000000003</v>
      </c>
      <c r="BY29" s="18">
        <v>72.819999999999993</v>
      </c>
      <c r="BZ29" s="18">
        <v>96.791831999999999</v>
      </c>
      <c r="CA29" s="18">
        <v>75.260002</v>
      </c>
      <c r="CB29" s="18">
        <v>85.839995999999999</v>
      </c>
      <c r="CC29" s="18">
        <v>21.61694</v>
      </c>
      <c r="CD29" s="18">
        <v>78.769997000000004</v>
      </c>
      <c r="CE29" s="18">
        <v>13.316138</v>
      </c>
      <c r="CF29" s="18">
        <v>28.129999000000002</v>
      </c>
    </row>
    <row r="30" spans="1:84" x14ac:dyDescent="0.25">
      <c r="A30" s="17">
        <v>42155</v>
      </c>
      <c r="B30" s="18">
        <v>123.31017300000001</v>
      </c>
      <c r="C30" s="18">
        <v>24.37715</v>
      </c>
      <c r="D30" s="18">
        <v>149.32446300000001</v>
      </c>
      <c r="E30" s="18">
        <v>105.774597</v>
      </c>
      <c r="F30" s="18">
        <v>87.906822000000005</v>
      </c>
      <c r="G30" s="18">
        <v>68.455093000000005</v>
      </c>
      <c r="H30" s="18">
        <v>37.124896999999997</v>
      </c>
      <c r="I30" s="18">
        <v>186.63999899999999</v>
      </c>
      <c r="J30" s="18">
        <v>63.775523999999997</v>
      </c>
      <c r="K30" s="18">
        <v>124.852768</v>
      </c>
      <c r="L30" s="18">
        <v>37.124896999999997</v>
      </c>
      <c r="M30" s="18">
        <v>88.486823999999999</v>
      </c>
      <c r="N30" s="18">
        <v>31.404637999999998</v>
      </c>
      <c r="O30" s="18">
        <v>250.800003</v>
      </c>
      <c r="P30" s="18">
        <v>76.441528000000005</v>
      </c>
      <c r="Q30" s="18">
        <v>90.715012000000002</v>
      </c>
      <c r="R30" s="18">
        <v>279.20105000000001</v>
      </c>
      <c r="S30" s="18">
        <v>67.913109000000006</v>
      </c>
      <c r="T30" s="18">
        <v>112.404099</v>
      </c>
      <c r="U30" s="18">
        <v>57.33437</v>
      </c>
      <c r="V30" s="18">
        <v>109.99181400000001</v>
      </c>
      <c r="W30" s="18">
        <v>42.023212000000001</v>
      </c>
      <c r="X30" s="18">
        <v>56.526435999999997</v>
      </c>
      <c r="Y30" s="18">
        <v>92.243628999999999</v>
      </c>
      <c r="Z30" s="18">
        <v>31.161622999999999</v>
      </c>
      <c r="AA30" s="18">
        <v>55.347026999999997</v>
      </c>
      <c r="AB30" s="18">
        <v>114.53022799999999</v>
      </c>
      <c r="AC30" s="18">
        <v>81.547996999999995</v>
      </c>
      <c r="AD30" s="18">
        <v>128.29908800000001</v>
      </c>
      <c r="AE30" s="18">
        <v>183.720001</v>
      </c>
      <c r="AF30" s="18">
        <v>148.699997</v>
      </c>
      <c r="AG30" s="18">
        <v>301.533051</v>
      </c>
      <c r="AH30" s="18">
        <v>104.479248</v>
      </c>
      <c r="AI30" s="18">
        <v>74.840416000000005</v>
      </c>
      <c r="AJ30" s="18">
        <v>104.47882799999999</v>
      </c>
      <c r="AK30" s="18">
        <v>78.852547000000001</v>
      </c>
      <c r="AL30" s="18">
        <v>43.360202999999998</v>
      </c>
      <c r="AM30" s="18">
        <v>24.115223</v>
      </c>
      <c r="AN30" s="18">
        <v>57.352302999999999</v>
      </c>
      <c r="AO30" s="18">
        <v>93.931160000000006</v>
      </c>
      <c r="AP30" s="18">
        <v>105.302544</v>
      </c>
      <c r="AQ30" s="18">
        <v>615.52002000000005</v>
      </c>
      <c r="AR30" s="18">
        <v>36.040362999999999</v>
      </c>
      <c r="AS30" s="18">
        <v>22.265143999999999</v>
      </c>
      <c r="AT30" s="18">
        <v>24.466933999999998</v>
      </c>
      <c r="AU30" s="18">
        <v>49.565913999999999</v>
      </c>
      <c r="AV30" s="18">
        <v>32.806725</v>
      </c>
      <c r="AW30" s="18">
        <v>92.358192000000003</v>
      </c>
      <c r="AX30" s="18">
        <v>65.717003000000005</v>
      </c>
      <c r="AY30" s="18">
        <v>37.960793000000002</v>
      </c>
      <c r="AZ30" s="18">
        <v>98.381050000000002</v>
      </c>
      <c r="BA30" s="18">
        <v>70.532852000000005</v>
      </c>
      <c r="BB30" s="18">
        <v>60.642338000000002</v>
      </c>
      <c r="BC30" s="18">
        <v>15.790155</v>
      </c>
      <c r="BD30" s="18">
        <v>67.078011000000004</v>
      </c>
      <c r="BE30" s="18">
        <v>52.460430000000002</v>
      </c>
      <c r="BF30" s="18">
        <v>197.96276900000001</v>
      </c>
      <c r="BG30" s="18">
        <v>40.172440000000002</v>
      </c>
      <c r="BH30" s="18">
        <v>51.366504999999997</v>
      </c>
      <c r="BI30" s="18">
        <v>90.265511000000004</v>
      </c>
      <c r="BJ30" s="18">
        <v>6.333107</v>
      </c>
      <c r="BK30" s="18">
        <v>75.832549999999998</v>
      </c>
      <c r="BL30" s="18">
        <v>147.53840600000001</v>
      </c>
      <c r="BM30" s="18">
        <v>97.338775999999996</v>
      </c>
      <c r="BN30" s="18">
        <v>43.573203999999997</v>
      </c>
      <c r="BO30" s="18">
        <v>88.013092</v>
      </c>
      <c r="BP30" s="18">
        <v>171.63041699999999</v>
      </c>
      <c r="BQ30" s="18">
        <v>123.835976</v>
      </c>
      <c r="BR30" s="18">
        <v>74.155968000000001</v>
      </c>
      <c r="BS30" s="18">
        <v>78.104240000000004</v>
      </c>
      <c r="BT30" s="18">
        <v>109.639999</v>
      </c>
      <c r="BU30" s="18">
        <v>108.699997</v>
      </c>
      <c r="BV30" s="18">
        <v>43.534610999999998</v>
      </c>
      <c r="BW30" s="18">
        <v>31.506917999999999</v>
      </c>
      <c r="BX30" s="18">
        <v>42.982582000000001</v>
      </c>
      <c r="BY30" s="18">
        <v>72.75</v>
      </c>
      <c r="BZ30" s="18">
        <v>100.73582500000001</v>
      </c>
      <c r="CA30" s="18">
        <v>77.269997000000004</v>
      </c>
      <c r="CB30" s="18">
        <v>89</v>
      </c>
      <c r="CC30" s="18">
        <v>21.548781999999999</v>
      </c>
      <c r="CD30" s="18">
        <v>79.190002000000007</v>
      </c>
      <c r="CE30" s="18">
        <v>13.489807000000001</v>
      </c>
      <c r="CF30" s="18">
        <v>27.93</v>
      </c>
    </row>
    <row r="31" spans="1:84" x14ac:dyDescent="0.25">
      <c r="A31" s="17">
        <v>42185</v>
      </c>
      <c r="B31" s="18">
        <v>119.215553</v>
      </c>
      <c r="C31" s="18">
        <v>23.751408000000001</v>
      </c>
      <c r="D31" s="18">
        <v>145.36672999999999</v>
      </c>
      <c r="E31" s="18">
        <v>109.38763400000001</v>
      </c>
      <c r="F31" s="18">
        <v>87.875854000000004</v>
      </c>
      <c r="G31" s="18">
        <v>65.789207000000005</v>
      </c>
      <c r="H31" s="18">
        <v>35.556873000000003</v>
      </c>
      <c r="I31" s="18">
        <v>190.89999399999999</v>
      </c>
      <c r="J31" s="18">
        <v>67.785377999999994</v>
      </c>
      <c r="K31" s="18">
        <v>121.104179</v>
      </c>
      <c r="L31" s="18">
        <v>35.556873000000003</v>
      </c>
      <c r="M31" s="18">
        <v>85.651352000000003</v>
      </c>
      <c r="N31" s="18">
        <v>29.734375</v>
      </c>
      <c r="O31" s="18">
        <v>268.26001000000002</v>
      </c>
      <c r="P31" s="18">
        <v>75.264533999999998</v>
      </c>
      <c r="Q31" s="18">
        <v>85.810485999999997</v>
      </c>
      <c r="R31" s="18">
        <v>267.070831</v>
      </c>
      <c r="S31" s="18">
        <v>66.219627000000003</v>
      </c>
      <c r="T31" s="18">
        <v>103.197609</v>
      </c>
      <c r="U31" s="18">
        <v>52.682816000000003</v>
      </c>
      <c r="V31" s="18">
        <v>100.22249600000001</v>
      </c>
      <c r="W31" s="18">
        <v>42.939751000000001</v>
      </c>
      <c r="X31" s="18">
        <v>55.015895999999998</v>
      </c>
      <c r="Y31" s="18">
        <v>90.429610999999994</v>
      </c>
      <c r="Z31" s="18">
        <v>30.316389000000001</v>
      </c>
      <c r="AA31" s="18">
        <v>51.747520000000002</v>
      </c>
      <c r="AB31" s="18">
        <v>116.235657</v>
      </c>
      <c r="AC31" s="18">
        <v>90.407355999999993</v>
      </c>
      <c r="AD31" s="18">
        <v>140.80223100000001</v>
      </c>
      <c r="AE31" s="18">
        <v>173.949997</v>
      </c>
      <c r="AF31" s="18">
        <v>143.69000199999999</v>
      </c>
      <c r="AG31" s="18">
        <v>298.24066199999999</v>
      </c>
      <c r="AH31" s="18">
        <v>104.20732099999999</v>
      </c>
      <c r="AI31" s="18">
        <v>71.607085999999995</v>
      </c>
      <c r="AJ31" s="18">
        <v>106.68456999999999</v>
      </c>
      <c r="AK31" s="18">
        <v>76.444220999999999</v>
      </c>
      <c r="AL31" s="18">
        <v>41.930061000000002</v>
      </c>
      <c r="AM31" s="18">
        <v>23.764880999999999</v>
      </c>
      <c r="AN31" s="18">
        <v>56.583748</v>
      </c>
      <c r="AO31" s="18">
        <v>89.251334999999997</v>
      </c>
      <c r="AP31" s="18">
        <v>109.89608</v>
      </c>
      <c r="AQ31" s="18">
        <v>604.98999000000003</v>
      </c>
      <c r="AR31" s="18">
        <v>35.261906000000003</v>
      </c>
      <c r="AS31" s="18">
        <v>21.446121000000002</v>
      </c>
      <c r="AT31" s="18">
        <v>22.908902999999999</v>
      </c>
      <c r="AU31" s="18">
        <v>45.884914000000002</v>
      </c>
      <c r="AV31" s="18">
        <v>32.025630999999997</v>
      </c>
      <c r="AW31" s="18">
        <v>89.148009999999999</v>
      </c>
      <c r="AX31" s="18">
        <v>61.927902000000003</v>
      </c>
      <c r="AY31" s="18">
        <v>36.866562000000002</v>
      </c>
      <c r="AZ31" s="18">
        <v>90.572440999999998</v>
      </c>
      <c r="BA31" s="18">
        <v>66.446708999999998</v>
      </c>
      <c r="BB31" s="18">
        <v>62.467689999999997</v>
      </c>
      <c r="BC31" s="18">
        <v>16.287786000000001</v>
      </c>
      <c r="BD31" s="18">
        <v>65.698455999999993</v>
      </c>
      <c r="BE31" s="18">
        <v>53.636462999999999</v>
      </c>
      <c r="BF31" s="18">
        <v>201.08422899999999</v>
      </c>
      <c r="BG31" s="18">
        <v>40.442687999999997</v>
      </c>
      <c r="BH31" s="18">
        <v>51.973300999999999</v>
      </c>
      <c r="BI31" s="18">
        <v>91.459136999999998</v>
      </c>
      <c r="BJ31" s="18">
        <v>6.2528300000000003</v>
      </c>
      <c r="BK31" s="18">
        <v>73.930076999999997</v>
      </c>
      <c r="BL31" s="18">
        <v>144.01011700000001</v>
      </c>
      <c r="BM31" s="18">
        <v>95.722031000000001</v>
      </c>
      <c r="BN31" s="18">
        <v>43.204707999999997</v>
      </c>
      <c r="BO31" s="18">
        <v>86.099556000000007</v>
      </c>
      <c r="BP31" s="18">
        <v>169.17797899999999</v>
      </c>
      <c r="BQ31" s="18">
        <v>120.509102</v>
      </c>
      <c r="BR31" s="18">
        <v>75.422934999999995</v>
      </c>
      <c r="BS31" s="18">
        <v>75.389304999999993</v>
      </c>
      <c r="BT31" s="18">
        <v>111.050003</v>
      </c>
      <c r="BU31" s="18">
        <v>112.230003</v>
      </c>
      <c r="BV31" s="18">
        <v>41.283484999999999</v>
      </c>
      <c r="BW31" s="18">
        <v>28.014258999999999</v>
      </c>
      <c r="BX31" s="18">
        <v>40.522208999999997</v>
      </c>
      <c r="BY31" s="18">
        <v>69.629997000000003</v>
      </c>
      <c r="BZ31" s="18">
        <v>97.466605999999999</v>
      </c>
      <c r="CA31" s="18">
        <v>75.930000000000007</v>
      </c>
      <c r="CB31" s="18">
        <v>91.239998</v>
      </c>
      <c r="CC31" s="18">
        <v>19.671543</v>
      </c>
      <c r="CD31" s="18">
        <v>85.769997000000004</v>
      </c>
      <c r="CE31" s="18">
        <v>12.120635</v>
      </c>
      <c r="CF31" s="18">
        <v>18.84</v>
      </c>
    </row>
    <row r="32" spans="1:84" x14ac:dyDescent="0.25">
      <c r="A32" s="17">
        <v>42216</v>
      </c>
      <c r="B32" s="18">
        <v>115.290161</v>
      </c>
      <c r="C32" s="18">
        <v>23.529720000000001</v>
      </c>
      <c r="D32" s="18">
        <v>144.767944</v>
      </c>
      <c r="E32" s="18">
        <v>115.00363900000001</v>
      </c>
      <c r="F32" s="18">
        <v>92.303398000000001</v>
      </c>
      <c r="G32" s="18">
        <v>66.763114999999999</v>
      </c>
      <c r="H32" s="18">
        <v>37.540829000000002</v>
      </c>
      <c r="I32" s="18">
        <v>201.58999600000001</v>
      </c>
      <c r="J32" s="18">
        <v>68.017180999999994</v>
      </c>
      <c r="K32" s="18">
        <v>120.841621</v>
      </c>
      <c r="L32" s="18">
        <v>37.540829000000002</v>
      </c>
      <c r="M32" s="18">
        <v>89.064819</v>
      </c>
      <c r="N32" s="18">
        <v>31.166027</v>
      </c>
      <c r="O32" s="18">
        <v>266.14999399999999</v>
      </c>
      <c r="P32" s="18">
        <v>71.655113</v>
      </c>
      <c r="Q32" s="18">
        <v>78.703361999999998</v>
      </c>
      <c r="R32" s="18">
        <v>269.73168900000002</v>
      </c>
      <c r="S32" s="18">
        <v>60.311123000000002</v>
      </c>
      <c r="T32" s="18">
        <v>109.601418</v>
      </c>
      <c r="U32" s="18">
        <v>51.907829</v>
      </c>
      <c r="V32" s="18">
        <v>96.259963999999997</v>
      </c>
      <c r="W32" s="18">
        <v>39.596145999999997</v>
      </c>
      <c r="X32" s="18">
        <v>56.112309000000003</v>
      </c>
      <c r="Y32" s="18">
        <v>92.981239000000002</v>
      </c>
      <c r="Z32" s="18">
        <v>32.603909000000002</v>
      </c>
      <c r="AA32" s="18">
        <v>54.000366</v>
      </c>
      <c r="AB32" s="18">
        <v>116.15389999999999</v>
      </c>
      <c r="AC32" s="18">
        <v>92.689468000000005</v>
      </c>
      <c r="AD32" s="18">
        <v>143.903671</v>
      </c>
      <c r="AE32" s="18">
        <v>169.36000100000001</v>
      </c>
      <c r="AF32" s="18">
        <v>139.35000600000001</v>
      </c>
      <c r="AG32" s="18">
        <v>325.454407</v>
      </c>
      <c r="AH32" s="18">
        <v>110.32266199999999</v>
      </c>
      <c r="AI32" s="18">
        <v>69.893669000000003</v>
      </c>
      <c r="AJ32" s="18">
        <v>118.479874</v>
      </c>
      <c r="AK32" s="18">
        <v>77.013489000000007</v>
      </c>
      <c r="AL32" s="18">
        <v>43.349842000000002</v>
      </c>
      <c r="AM32" s="18">
        <v>22.538682999999999</v>
      </c>
      <c r="AN32" s="18">
        <v>55.725360999999999</v>
      </c>
      <c r="AO32" s="18">
        <v>91.328918000000002</v>
      </c>
      <c r="AP32" s="18">
        <v>110.62763200000001</v>
      </c>
      <c r="AQ32" s="18">
        <v>742.22997999999995</v>
      </c>
      <c r="AR32" s="18">
        <v>36.355888</v>
      </c>
      <c r="AS32" s="18">
        <v>20.207215999999999</v>
      </c>
      <c r="AT32" s="18">
        <v>23.797567000000001</v>
      </c>
      <c r="AU32" s="18">
        <v>48.979762999999998</v>
      </c>
      <c r="AV32" s="18">
        <v>31.913132000000001</v>
      </c>
      <c r="AW32" s="18">
        <v>95.668396000000001</v>
      </c>
      <c r="AX32" s="18">
        <v>65.084807999999995</v>
      </c>
      <c r="AY32" s="18">
        <v>39.356589999999997</v>
      </c>
      <c r="AZ32" s="18">
        <v>93.822563000000002</v>
      </c>
      <c r="BA32" s="18">
        <v>72.292664000000002</v>
      </c>
      <c r="BB32" s="18">
        <v>63.177562999999999</v>
      </c>
      <c r="BC32" s="18">
        <v>17.162106999999999</v>
      </c>
      <c r="BD32" s="18">
        <v>73.711410999999998</v>
      </c>
      <c r="BE32" s="18">
        <v>56.762985</v>
      </c>
      <c r="BF32" s="18">
        <v>197.50151099999999</v>
      </c>
      <c r="BG32" s="18">
        <v>42.371822000000002</v>
      </c>
      <c r="BH32" s="18">
        <v>53.479641000000001</v>
      </c>
      <c r="BI32" s="18">
        <v>95.294394999999994</v>
      </c>
      <c r="BJ32" s="18">
        <v>6.0744309999999997</v>
      </c>
      <c r="BK32" s="18">
        <v>72.621727000000007</v>
      </c>
      <c r="BL32" s="18">
        <v>141.24754300000001</v>
      </c>
      <c r="BM32" s="18">
        <v>98.613311999999993</v>
      </c>
      <c r="BN32" s="18">
        <v>46.314484</v>
      </c>
      <c r="BO32" s="18">
        <v>84.363776999999999</v>
      </c>
      <c r="BP32" s="18">
        <v>164.08673099999999</v>
      </c>
      <c r="BQ32" s="18">
        <v>118.984253</v>
      </c>
      <c r="BR32" s="18">
        <v>72.975409999999997</v>
      </c>
      <c r="BS32" s="18">
        <v>71.730666999999997</v>
      </c>
      <c r="BT32" s="18">
        <v>107.629997</v>
      </c>
      <c r="BU32" s="18">
        <v>122.699997</v>
      </c>
      <c r="BV32" s="18">
        <v>43.667918999999998</v>
      </c>
      <c r="BW32" s="18">
        <v>26.660509000000001</v>
      </c>
      <c r="BX32" s="18">
        <v>40.678707000000003</v>
      </c>
      <c r="BY32" s="18">
        <v>73.300003000000004</v>
      </c>
      <c r="BZ32" s="18">
        <v>102.30270400000001</v>
      </c>
      <c r="CA32" s="18">
        <v>79.080001999999993</v>
      </c>
      <c r="CB32" s="18">
        <v>94.150002000000001</v>
      </c>
      <c r="CC32" s="18">
        <v>19.515029999999999</v>
      </c>
      <c r="CD32" s="18">
        <v>94.010002</v>
      </c>
      <c r="CE32" s="18">
        <v>12.473459999999999</v>
      </c>
      <c r="CF32" s="18">
        <v>18.510000000000002</v>
      </c>
    </row>
    <row r="33" spans="1:84" x14ac:dyDescent="0.25">
      <c r="A33" s="17">
        <v>42247</v>
      </c>
      <c r="B33" s="18">
        <v>107.325356</v>
      </c>
      <c r="C33" s="18">
        <v>22.547059999999998</v>
      </c>
      <c r="D33" s="18">
        <v>132.16699199999999</v>
      </c>
      <c r="E33" s="18">
        <v>98.205956</v>
      </c>
      <c r="F33" s="18">
        <v>89.964836000000005</v>
      </c>
      <c r="G33" s="18">
        <v>60.038563000000003</v>
      </c>
      <c r="H33" s="18">
        <v>35.932461000000004</v>
      </c>
      <c r="I33" s="18">
        <v>196.970001</v>
      </c>
      <c r="J33" s="18">
        <v>67.302422000000007</v>
      </c>
      <c r="K33" s="18">
        <v>107.187386</v>
      </c>
      <c r="L33" s="18">
        <v>35.932461000000004</v>
      </c>
      <c r="M33" s="18">
        <v>86.522757999999996</v>
      </c>
      <c r="N33" s="18">
        <v>29.057017999999999</v>
      </c>
      <c r="O33" s="18">
        <v>249.05999800000001</v>
      </c>
      <c r="P33" s="18">
        <v>68.063736000000006</v>
      </c>
      <c r="Q33" s="18">
        <v>72.040970000000002</v>
      </c>
      <c r="R33" s="18">
        <v>251.87318400000001</v>
      </c>
      <c r="S33" s="18">
        <v>53.321331000000001</v>
      </c>
      <c r="T33" s="18">
        <v>103.874359</v>
      </c>
      <c r="U33" s="18">
        <v>43.298018999999996</v>
      </c>
      <c r="V33" s="18">
        <v>92.962822000000003</v>
      </c>
      <c r="W33" s="18">
        <v>37.650463000000002</v>
      </c>
      <c r="X33" s="18">
        <v>58.565300000000001</v>
      </c>
      <c r="Y33" s="18">
        <v>87.200653000000003</v>
      </c>
      <c r="Z33" s="18">
        <v>30.072265999999999</v>
      </c>
      <c r="AA33" s="18">
        <v>49.320213000000003</v>
      </c>
      <c r="AB33" s="18">
        <v>110.70021800000001</v>
      </c>
      <c r="AC33" s="18">
        <v>86.321487000000005</v>
      </c>
      <c r="AD33" s="18">
        <v>139.68255600000001</v>
      </c>
      <c r="AE33" s="18">
        <v>150.61999499999999</v>
      </c>
      <c r="AF33" s="18">
        <v>134.61000100000001</v>
      </c>
      <c r="AG33" s="18">
        <v>298.51583900000003</v>
      </c>
      <c r="AH33" s="18">
        <v>109.785324</v>
      </c>
      <c r="AI33" s="18">
        <v>68.016632000000001</v>
      </c>
      <c r="AJ33" s="18">
        <v>112.187088</v>
      </c>
      <c r="AK33" s="18">
        <v>72.085830999999999</v>
      </c>
      <c r="AL33" s="18">
        <v>38.769241000000001</v>
      </c>
      <c r="AM33" s="18">
        <v>24.961881999999999</v>
      </c>
      <c r="AN33" s="18">
        <v>51.812705999999999</v>
      </c>
      <c r="AO33" s="18">
        <v>80.239174000000006</v>
      </c>
      <c r="AP33" s="18">
        <v>104.75808000000001</v>
      </c>
      <c r="AQ33" s="18">
        <v>727.169983</v>
      </c>
      <c r="AR33" s="18">
        <v>35.601413999999998</v>
      </c>
      <c r="AS33" s="18">
        <v>19.362513</v>
      </c>
      <c r="AT33" s="18">
        <v>23.937887</v>
      </c>
      <c r="AU33" s="18">
        <v>49.008071999999999</v>
      </c>
      <c r="AV33" s="18">
        <v>32.400638999999998</v>
      </c>
      <c r="AW33" s="18">
        <v>89.493583999999998</v>
      </c>
      <c r="AX33" s="18">
        <v>62.182212999999997</v>
      </c>
      <c r="AY33" s="18">
        <v>38.195168000000002</v>
      </c>
      <c r="AZ33" s="18">
        <v>90.190619999999996</v>
      </c>
      <c r="BA33" s="18">
        <v>70.136284000000003</v>
      </c>
      <c r="BB33" s="18">
        <v>59.479796999999998</v>
      </c>
      <c r="BC33" s="18">
        <v>15.779925</v>
      </c>
      <c r="BD33" s="18">
        <v>69.758742999999996</v>
      </c>
      <c r="BE33" s="18">
        <v>51.971653000000003</v>
      </c>
      <c r="BF33" s="18">
        <v>182.22685200000001</v>
      </c>
      <c r="BG33" s="18">
        <v>39.691364</v>
      </c>
      <c r="BH33" s="18">
        <v>49.930962000000001</v>
      </c>
      <c r="BI33" s="18">
        <v>92.172843999999998</v>
      </c>
      <c r="BJ33" s="18">
        <v>5.4744149999999996</v>
      </c>
      <c r="BK33" s="18">
        <v>73.251891999999998</v>
      </c>
      <c r="BL33" s="18">
        <v>132.661057</v>
      </c>
      <c r="BM33" s="18">
        <v>94.269295</v>
      </c>
      <c r="BN33" s="18">
        <v>44.017982000000003</v>
      </c>
      <c r="BO33" s="18">
        <v>79.979163999999997</v>
      </c>
      <c r="BP33" s="18">
        <v>159.23275799999999</v>
      </c>
      <c r="BQ33" s="18">
        <v>112.618477</v>
      </c>
      <c r="BR33" s="18">
        <v>69.227356</v>
      </c>
      <c r="BS33" s="18">
        <v>64.384338</v>
      </c>
      <c r="BT33" s="18">
        <v>82.879997000000003</v>
      </c>
      <c r="BU33" s="18">
        <v>109.349998</v>
      </c>
      <c r="BV33" s="18">
        <v>40.694386000000002</v>
      </c>
      <c r="BW33" s="18">
        <v>26.282935999999999</v>
      </c>
      <c r="BX33" s="18">
        <v>40.471676000000002</v>
      </c>
      <c r="BY33" s="18">
        <v>69.360000999999997</v>
      </c>
      <c r="BZ33" s="18">
        <v>83.139647999999994</v>
      </c>
      <c r="CA33" s="18">
        <v>72.209998999999996</v>
      </c>
      <c r="CB33" s="18">
        <v>89.790001000000004</v>
      </c>
      <c r="CC33" s="18">
        <v>21.989868000000001</v>
      </c>
      <c r="CD33" s="18">
        <v>89.730002999999996</v>
      </c>
      <c r="CE33" s="18">
        <v>11.468064</v>
      </c>
      <c r="CF33" s="18">
        <v>16.41</v>
      </c>
    </row>
    <row r="34" spans="1:84" x14ac:dyDescent="0.25">
      <c r="A34" s="17">
        <v>42277</v>
      </c>
      <c r="B34" s="18">
        <v>105.309692</v>
      </c>
      <c r="C34" s="18">
        <v>22.73638</v>
      </c>
      <c r="D34" s="18">
        <v>130.63298</v>
      </c>
      <c r="E34" s="18">
        <v>98.514411999999993</v>
      </c>
      <c r="F34" s="18">
        <v>91.876403999999994</v>
      </c>
      <c r="G34" s="18">
        <v>60.551234999999998</v>
      </c>
      <c r="H34" s="18">
        <v>36.663544000000002</v>
      </c>
      <c r="I34" s="18">
        <v>181.78999300000001</v>
      </c>
      <c r="J34" s="18">
        <v>70.093765000000005</v>
      </c>
      <c r="K34" s="18">
        <v>107.585808</v>
      </c>
      <c r="L34" s="18">
        <v>36.663544000000002</v>
      </c>
      <c r="M34" s="18">
        <v>87.169822999999994</v>
      </c>
      <c r="N34" s="18">
        <v>27.598631000000001</v>
      </c>
      <c r="O34" s="18">
        <v>248.39999399999999</v>
      </c>
      <c r="P34" s="18">
        <v>67.887946999999997</v>
      </c>
      <c r="Q34" s="18">
        <v>71.048180000000002</v>
      </c>
      <c r="R34" s="18">
        <v>216.87692300000001</v>
      </c>
      <c r="S34" s="18">
        <v>50.096752000000002</v>
      </c>
      <c r="T34" s="18">
        <v>97.910240000000002</v>
      </c>
      <c r="U34" s="18">
        <v>42.234959000000003</v>
      </c>
      <c r="V34" s="18">
        <v>80.624435000000005</v>
      </c>
      <c r="W34" s="18">
        <v>28.687381999999999</v>
      </c>
      <c r="X34" s="18">
        <v>56.947989999999997</v>
      </c>
      <c r="Y34" s="18">
        <v>87.278694000000002</v>
      </c>
      <c r="Z34" s="18">
        <v>28.621510000000001</v>
      </c>
      <c r="AA34" s="18">
        <v>45.235382000000001</v>
      </c>
      <c r="AB34" s="18">
        <v>110.99683400000001</v>
      </c>
      <c r="AC34" s="18">
        <v>77.093399000000005</v>
      </c>
      <c r="AD34" s="18">
        <v>123.757912</v>
      </c>
      <c r="AE34" s="18">
        <v>131.240005</v>
      </c>
      <c r="AF34" s="18">
        <v>150.699997</v>
      </c>
      <c r="AG34" s="18">
        <v>267.13504</v>
      </c>
      <c r="AH34" s="18">
        <v>108.870926</v>
      </c>
      <c r="AI34" s="18">
        <v>65.874442999999999</v>
      </c>
      <c r="AJ34" s="18">
        <v>115.06643699999999</v>
      </c>
      <c r="AK34" s="18">
        <v>67.484001000000006</v>
      </c>
      <c r="AL34" s="18">
        <v>30.079564999999999</v>
      </c>
      <c r="AM34" s="18">
        <v>23.677295999999998</v>
      </c>
      <c r="AN34" s="18">
        <v>47.011718999999999</v>
      </c>
      <c r="AO34" s="18">
        <v>83.286156000000005</v>
      </c>
      <c r="AP34" s="18">
        <v>104.86496699999999</v>
      </c>
      <c r="AQ34" s="18">
        <v>720.25</v>
      </c>
      <c r="AR34" s="18">
        <v>39.271393000000003</v>
      </c>
      <c r="AS34" s="18">
        <v>20.923223</v>
      </c>
      <c r="AT34" s="18">
        <v>24.931099</v>
      </c>
      <c r="AU34" s="18">
        <v>52.315539999999999</v>
      </c>
      <c r="AV34" s="18">
        <v>34.505248999999999</v>
      </c>
      <c r="AW34" s="18">
        <v>89.396370000000005</v>
      </c>
      <c r="AX34" s="18">
        <v>63.784370000000003</v>
      </c>
      <c r="AY34" s="18">
        <v>39.793765999999998</v>
      </c>
      <c r="AZ34" s="18">
        <v>89.158180000000002</v>
      </c>
      <c r="BA34" s="18">
        <v>72.211799999999997</v>
      </c>
      <c r="BB34" s="18">
        <v>56.575389999999999</v>
      </c>
      <c r="BC34" s="18">
        <v>14.954454</v>
      </c>
      <c r="BD34" s="18">
        <v>68.265861999999998</v>
      </c>
      <c r="BE34" s="18">
        <v>48.210796000000002</v>
      </c>
      <c r="BF34" s="18">
        <v>167.92392000000001</v>
      </c>
      <c r="BG34" s="18">
        <v>38.435493000000001</v>
      </c>
      <c r="BH34" s="18">
        <v>47.764071999999999</v>
      </c>
      <c r="BI34" s="18">
        <v>88.321265999999994</v>
      </c>
      <c r="BJ34" s="18">
        <v>4.7462910000000003</v>
      </c>
      <c r="BK34" s="18">
        <v>70.778953999999999</v>
      </c>
      <c r="BL34" s="18">
        <v>133.236526</v>
      </c>
      <c r="BM34" s="18">
        <v>89.325362999999996</v>
      </c>
      <c r="BN34" s="18">
        <v>43.102421</v>
      </c>
      <c r="BO34" s="18">
        <v>77.612410999999994</v>
      </c>
      <c r="BP34" s="18">
        <v>153.93777499999999</v>
      </c>
      <c r="BQ34" s="18">
        <v>100.505234</v>
      </c>
      <c r="BR34" s="18">
        <v>68.716537000000002</v>
      </c>
      <c r="BS34" s="18">
        <v>61.125461999999999</v>
      </c>
      <c r="BT34" s="18">
        <v>76.550003000000004</v>
      </c>
      <c r="BU34" s="18">
        <v>105.19000200000001</v>
      </c>
      <c r="BV34" s="18">
        <v>41.659264</v>
      </c>
      <c r="BW34" s="18">
        <v>27.986982000000001</v>
      </c>
      <c r="BX34" s="18">
        <v>38.272601999999999</v>
      </c>
      <c r="BY34" s="18">
        <v>69.430000000000007</v>
      </c>
      <c r="BZ34" s="18">
        <v>86.048339999999996</v>
      </c>
      <c r="CA34" s="18">
        <v>71.879997000000003</v>
      </c>
      <c r="CB34" s="18">
        <v>88.139999000000003</v>
      </c>
      <c r="CC34" s="18">
        <v>24.21349</v>
      </c>
      <c r="CD34" s="18">
        <v>89.900002000000001</v>
      </c>
      <c r="CE34" s="18">
        <v>10.466753000000001</v>
      </c>
      <c r="CF34" s="18">
        <v>14.98</v>
      </c>
    </row>
    <row r="35" spans="1:84" x14ac:dyDescent="0.25">
      <c r="A35" s="17">
        <v>42308</v>
      </c>
      <c r="B35" s="18">
        <v>114.093452</v>
      </c>
      <c r="C35" s="18">
        <v>26.305337999999999</v>
      </c>
      <c r="D35" s="18">
        <v>126.226563</v>
      </c>
      <c r="E35" s="18">
        <v>109.638245</v>
      </c>
      <c r="F35" s="18">
        <v>104.66991400000001</v>
      </c>
      <c r="G35" s="18">
        <v>53.453941</v>
      </c>
      <c r="H35" s="18">
        <v>39.036715999999998</v>
      </c>
      <c r="I35" s="18">
        <v>195.5</v>
      </c>
      <c r="J35" s="18">
        <v>79.051795999999996</v>
      </c>
      <c r="K35" s="18">
        <v>112.57295999999999</v>
      </c>
      <c r="L35" s="18">
        <v>39.036715999999998</v>
      </c>
      <c r="M35" s="18">
        <v>95.195480000000003</v>
      </c>
      <c r="N35" s="18">
        <v>30.758731999999998</v>
      </c>
      <c r="O35" s="18">
        <v>206.929993</v>
      </c>
      <c r="P35" s="18">
        <v>75.548743999999999</v>
      </c>
      <c r="Q35" s="18">
        <v>81.856728000000004</v>
      </c>
      <c r="R35" s="18">
        <v>259.759705</v>
      </c>
      <c r="S35" s="18">
        <v>58.391078999999998</v>
      </c>
      <c r="T35" s="18">
        <v>110.63674899999999</v>
      </c>
      <c r="U35" s="18">
        <v>51.612960999999999</v>
      </c>
      <c r="V35" s="18">
        <v>88.069030999999995</v>
      </c>
      <c r="W35" s="18">
        <v>31.369968</v>
      </c>
      <c r="X35" s="18">
        <v>61.948031999999998</v>
      </c>
      <c r="Y35" s="18">
        <v>94.459220999999999</v>
      </c>
      <c r="Z35" s="18">
        <v>30.817557999999998</v>
      </c>
      <c r="AA35" s="18">
        <v>50.493073000000003</v>
      </c>
      <c r="AB35" s="18">
        <v>113.177803</v>
      </c>
      <c r="AC35" s="18">
        <v>68.552932999999996</v>
      </c>
      <c r="AD35" s="18">
        <v>121.06083700000001</v>
      </c>
      <c r="AE35" s="18">
        <v>146.63000500000001</v>
      </c>
      <c r="AF35" s="18">
        <v>145.220001</v>
      </c>
      <c r="AG35" s="18">
        <v>303.16451999999998</v>
      </c>
      <c r="AH35" s="18">
        <v>117.147308</v>
      </c>
      <c r="AI35" s="18">
        <v>74.161857999999995</v>
      </c>
      <c r="AJ35" s="18">
        <v>133.272873</v>
      </c>
      <c r="AK35" s="18">
        <v>76.353583999999998</v>
      </c>
      <c r="AL35" s="18">
        <v>41.579684999999998</v>
      </c>
      <c r="AM35" s="18">
        <v>28.533425999999999</v>
      </c>
      <c r="AN35" s="18">
        <v>50.305537999999999</v>
      </c>
      <c r="AO35" s="18">
        <v>84.171654000000004</v>
      </c>
      <c r="AP35" s="18">
        <v>103.95854199999999</v>
      </c>
      <c r="AQ35" s="18">
        <v>640.22997999999995</v>
      </c>
      <c r="AR35" s="18">
        <v>38.654812</v>
      </c>
      <c r="AS35" s="18">
        <v>21.150236</v>
      </c>
      <c r="AT35" s="18">
        <v>26.937266999999999</v>
      </c>
      <c r="AU35" s="18">
        <v>54.481105999999997</v>
      </c>
      <c r="AV35" s="18">
        <v>34.779259000000003</v>
      </c>
      <c r="AW35" s="18">
        <v>94.079246999999995</v>
      </c>
      <c r="AX35" s="18">
        <v>63.367645000000003</v>
      </c>
      <c r="AY35" s="18">
        <v>40.149856999999997</v>
      </c>
      <c r="AZ35" s="18">
        <v>95.119286000000002</v>
      </c>
      <c r="BA35" s="18">
        <v>74.003860000000003</v>
      </c>
      <c r="BB35" s="18">
        <v>59.618969</v>
      </c>
      <c r="BC35" s="18">
        <v>16.158132999999999</v>
      </c>
      <c r="BD35" s="18">
        <v>76.027350999999996</v>
      </c>
      <c r="BE35" s="18">
        <v>51.670391000000002</v>
      </c>
      <c r="BF35" s="18">
        <v>181.20246900000001</v>
      </c>
      <c r="BG35" s="18">
        <v>39.775444</v>
      </c>
      <c r="BH35" s="18">
        <v>50.359234000000001</v>
      </c>
      <c r="BI35" s="18">
        <v>97.014235999999997</v>
      </c>
      <c r="BJ35" s="18">
        <v>4.98001</v>
      </c>
      <c r="BK35" s="18">
        <v>69.948288000000005</v>
      </c>
      <c r="BL35" s="18">
        <v>147.74719200000001</v>
      </c>
      <c r="BM35" s="18">
        <v>97.428878999999995</v>
      </c>
      <c r="BN35" s="18">
        <v>47.399569999999997</v>
      </c>
      <c r="BO35" s="18">
        <v>87.275138999999996</v>
      </c>
      <c r="BP35" s="18">
        <v>183.06509399999999</v>
      </c>
      <c r="BQ35" s="18">
        <v>95.812279000000004</v>
      </c>
      <c r="BR35" s="18">
        <v>73.978722000000005</v>
      </c>
      <c r="BS35" s="18">
        <v>69.186188000000001</v>
      </c>
      <c r="BT35" s="18">
        <v>76.900002000000001</v>
      </c>
      <c r="BU35" s="18">
        <v>116.94000200000001</v>
      </c>
      <c r="BV35" s="18">
        <v>49.546847999999997</v>
      </c>
      <c r="BW35" s="18">
        <v>31.441248000000002</v>
      </c>
      <c r="BX35" s="18">
        <v>41.236953999999997</v>
      </c>
      <c r="BY35" s="18">
        <v>77.709998999999996</v>
      </c>
      <c r="BZ35" s="18">
        <v>94.464111000000003</v>
      </c>
      <c r="CA35" s="18">
        <v>79.110000999999997</v>
      </c>
      <c r="CB35" s="18">
        <v>95.309997999999993</v>
      </c>
      <c r="CC35" s="18">
        <v>27.867615000000001</v>
      </c>
      <c r="CD35" s="18">
        <v>101.970001</v>
      </c>
      <c r="CE35" s="18">
        <v>11.172420000000001</v>
      </c>
      <c r="CF35" s="18">
        <v>16.559999000000001</v>
      </c>
    </row>
    <row r="36" spans="1:84" x14ac:dyDescent="0.25">
      <c r="A36" s="17">
        <v>42338</v>
      </c>
      <c r="B36" s="18">
        <v>112.947754</v>
      </c>
      <c r="C36" s="18">
        <v>27.233122000000002</v>
      </c>
      <c r="D36" s="18">
        <v>125.631828</v>
      </c>
      <c r="E36" s="18">
        <v>109.37799099999999</v>
      </c>
      <c r="F36" s="18">
        <v>106.450928</v>
      </c>
      <c r="G36" s="18">
        <v>54.948109000000002</v>
      </c>
      <c r="H36" s="18">
        <v>39.285595000000001</v>
      </c>
      <c r="I36" s="18">
        <v>190.720001</v>
      </c>
      <c r="J36" s="18">
        <v>79.536529999999999</v>
      </c>
      <c r="K36" s="18">
        <v>114.22547900000001</v>
      </c>
      <c r="L36" s="18">
        <v>39.285595000000001</v>
      </c>
      <c r="M36" s="18">
        <v>93.304435999999995</v>
      </c>
      <c r="N36" s="18">
        <v>30.340941999999998</v>
      </c>
      <c r="O36" s="18">
        <v>230.259995</v>
      </c>
      <c r="P36" s="18">
        <v>74.562613999999996</v>
      </c>
      <c r="Q36" s="18">
        <v>82.253035999999994</v>
      </c>
      <c r="R36" s="18">
        <v>268.75494400000002</v>
      </c>
      <c r="S36" s="18">
        <v>58.177937</v>
      </c>
      <c r="T36" s="18">
        <v>114.402191</v>
      </c>
      <c r="U36" s="18">
        <v>51.651542999999997</v>
      </c>
      <c r="V36" s="18">
        <v>90.456412999999998</v>
      </c>
      <c r="W36" s="18">
        <v>29.373947000000001</v>
      </c>
      <c r="X36" s="18">
        <v>65.346930999999998</v>
      </c>
      <c r="Y36" s="18">
        <v>94.655556000000004</v>
      </c>
      <c r="Z36" s="18">
        <v>29.860776999999999</v>
      </c>
      <c r="AA36" s="18">
        <v>48.968860999999997</v>
      </c>
      <c r="AB36" s="18">
        <v>108.305893</v>
      </c>
      <c r="AC36" s="18">
        <v>67.825446999999997</v>
      </c>
      <c r="AD36" s="18">
        <v>120.495644</v>
      </c>
      <c r="AE36" s="18">
        <v>152.63000500000001</v>
      </c>
      <c r="AF36" s="18">
        <v>144.83000200000001</v>
      </c>
      <c r="AG36" s="18">
        <v>308.49127199999998</v>
      </c>
      <c r="AH36" s="18">
        <v>126.849586</v>
      </c>
      <c r="AI36" s="18">
        <v>68.492026999999993</v>
      </c>
      <c r="AJ36" s="18">
        <v>120.37582399999999</v>
      </c>
      <c r="AK36" s="18">
        <v>71.257080000000002</v>
      </c>
      <c r="AL36" s="18">
        <v>39.890639999999998</v>
      </c>
      <c r="AM36" s="18">
        <v>27.75489</v>
      </c>
      <c r="AN36" s="18">
        <v>49.197617000000001</v>
      </c>
      <c r="AO36" s="18">
        <v>79.084618000000006</v>
      </c>
      <c r="AP36" s="18">
        <v>104.73820499999999</v>
      </c>
      <c r="AQ36" s="18">
        <v>579.54998799999998</v>
      </c>
      <c r="AR36" s="18">
        <v>39.679287000000002</v>
      </c>
      <c r="AS36" s="18">
        <v>21.311036999999999</v>
      </c>
      <c r="AT36" s="18">
        <v>27.643663</v>
      </c>
      <c r="AU36" s="18">
        <v>54.861030999999997</v>
      </c>
      <c r="AV36" s="18">
        <v>34.306835</v>
      </c>
      <c r="AW36" s="18">
        <v>91.513289999999998</v>
      </c>
      <c r="AX36" s="18">
        <v>60.078239000000004</v>
      </c>
      <c r="AY36" s="18">
        <v>39.651325</v>
      </c>
      <c r="AZ36" s="18">
        <v>92.165656999999996</v>
      </c>
      <c r="BA36" s="18">
        <v>73.006134000000003</v>
      </c>
      <c r="BB36" s="18">
        <v>62.320273999999998</v>
      </c>
      <c r="BC36" s="18">
        <v>16.784041999999999</v>
      </c>
      <c r="BD36" s="18">
        <v>77.428748999999996</v>
      </c>
      <c r="BE36" s="18">
        <v>52.612502999999997</v>
      </c>
      <c r="BF36" s="18">
        <v>183.63781700000001</v>
      </c>
      <c r="BG36" s="18">
        <v>41.387954999999998</v>
      </c>
      <c r="BH36" s="18">
        <v>51.252192999999998</v>
      </c>
      <c r="BI36" s="18">
        <v>96.129363999999995</v>
      </c>
      <c r="BJ36" s="18">
        <v>4.8999920000000001</v>
      </c>
      <c r="BK36" s="18">
        <v>68.660415999999998</v>
      </c>
      <c r="BL36" s="18">
        <v>147.15512100000001</v>
      </c>
      <c r="BM36" s="18">
        <v>98.060920999999993</v>
      </c>
      <c r="BN36" s="18">
        <v>48.964129999999997</v>
      </c>
      <c r="BO36" s="18">
        <v>89.211631999999994</v>
      </c>
      <c r="BP36" s="18">
        <v>190.36767599999999</v>
      </c>
      <c r="BQ36" s="18">
        <v>92.905792000000005</v>
      </c>
      <c r="BR36" s="18">
        <v>76.265793000000002</v>
      </c>
      <c r="BS36" s="18">
        <v>70.438995000000006</v>
      </c>
      <c r="BT36" s="18">
        <v>80.199996999999996</v>
      </c>
      <c r="BU36" s="18">
        <v>110.040001</v>
      </c>
      <c r="BV36" s="18">
        <v>51.156368000000001</v>
      </c>
      <c r="BW36" s="18">
        <v>32.286247000000003</v>
      </c>
      <c r="BX36" s="18">
        <v>40.498404999999998</v>
      </c>
      <c r="BY36" s="18">
        <v>79.690002000000007</v>
      </c>
      <c r="BZ36" s="18">
        <v>97.471778999999998</v>
      </c>
      <c r="CA36" s="18">
        <v>81.410004000000001</v>
      </c>
      <c r="CB36" s="18">
        <v>93.209998999999996</v>
      </c>
      <c r="CC36" s="18">
        <v>31.158289</v>
      </c>
      <c r="CD36" s="18">
        <v>104.239998</v>
      </c>
      <c r="CE36" s="18">
        <v>11.443061</v>
      </c>
      <c r="CF36" s="18">
        <v>15.93</v>
      </c>
    </row>
    <row r="37" spans="1:84" x14ac:dyDescent="0.25">
      <c r="A37" s="17">
        <v>42369</v>
      </c>
      <c r="B37" s="18">
        <v>100.927902</v>
      </c>
      <c r="C37" s="18">
        <v>28.333725000000001</v>
      </c>
      <c r="D37" s="18">
        <v>125.17308</v>
      </c>
      <c r="E37" s="18">
        <v>101.29055</v>
      </c>
      <c r="F37" s="18">
        <v>111.025902</v>
      </c>
      <c r="G37" s="18">
        <v>57.245392000000002</v>
      </c>
      <c r="H37" s="18">
        <v>39.902683000000003</v>
      </c>
      <c r="I37" s="18">
        <v>189.38999899999999</v>
      </c>
      <c r="J37" s="18">
        <v>78.562674999999999</v>
      </c>
      <c r="K37" s="18">
        <v>112.958549</v>
      </c>
      <c r="L37" s="18">
        <v>39.902683000000003</v>
      </c>
      <c r="M37" s="18">
        <v>93.080855999999997</v>
      </c>
      <c r="N37" s="18">
        <v>29.644622999999999</v>
      </c>
      <c r="O37" s="18">
        <v>240.009995</v>
      </c>
      <c r="P37" s="18">
        <v>71.795524999999998</v>
      </c>
      <c r="Q37" s="18">
        <v>82.017677000000006</v>
      </c>
      <c r="R37" s="18">
        <v>253.35813899999999</v>
      </c>
      <c r="S37" s="18">
        <v>52.626572000000003</v>
      </c>
      <c r="T37" s="18">
        <v>114.049477</v>
      </c>
      <c r="U37" s="18">
        <v>54.014240000000001</v>
      </c>
      <c r="V37" s="18">
        <v>93.650336999999993</v>
      </c>
      <c r="W37" s="18">
        <v>25.614007999999998</v>
      </c>
      <c r="X37" s="18">
        <v>60.820686000000002</v>
      </c>
      <c r="Y37" s="18">
        <v>96.747283999999993</v>
      </c>
      <c r="Z37" s="18">
        <v>29.651691</v>
      </c>
      <c r="AA37" s="18">
        <v>48.793346</v>
      </c>
      <c r="AB37" s="18">
        <v>113.043266</v>
      </c>
      <c r="AC37" s="18">
        <v>67.396927000000005</v>
      </c>
      <c r="AD37" s="18">
        <v>118.57858299999999</v>
      </c>
      <c r="AE37" s="18">
        <v>156.61000100000001</v>
      </c>
      <c r="AF37" s="18">
        <v>154.550003</v>
      </c>
      <c r="AG37" s="18">
        <v>307.12518299999999</v>
      </c>
      <c r="AH37" s="18">
        <v>125.305183</v>
      </c>
      <c r="AI37" s="18">
        <v>64.974327000000002</v>
      </c>
      <c r="AJ37" s="18">
        <v>121.777939</v>
      </c>
      <c r="AK37" s="18">
        <v>68.564910999999995</v>
      </c>
      <c r="AL37" s="18">
        <v>40.391098</v>
      </c>
      <c r="AM37" s="18">
        <v>30.421382999999999</v>
      </c>
      <c r="AN37" s="18">
        <v>46.931873000000003</v>
      </c>
      <c r="AO37" s="18">
        <v>74.148781</v>
      </c>
      <c r="AP37" s="18">
        <v>108.422134</v>
      </c>
      <c r="AQ37" s="18">
        <v>479.85000600000001</v>
      </c>
      <c r="AR37" s="18">
        <v>40.011977999999999</v>
      </c>
      <c r="AS37" s="18">
        <v>22.174482000000001</v>
      </c>
      <c r="AT37" s="18">
        <v>28.243836999999999</v>
      </c>
      <c r="AU37" s="18">
        <v>57.085911000000003</v>
      </c>
      <c r="AV37" s="18">
        <v>36.181370000000001</v>
      </c>
      <c r="AW37" s="18">
        <v>96.690521000000004</v>
      </c>
      <c r="AX37" s="18">
        <v>64.868804999999995</v>
      </c>
      <c r="AY37" s="18">
        <v>42.162318999999997</v>
      </c>
      <c r="AZ37" s="18">
        <v>87.317290999999997</v>
      </c>
      <c r="BA37" s="18">
        <v>72.734047000000004</v>
      </c>
      <c r="BB37" s="18">
        <v>61.712772000000001</v>
      </c>
      <c r="BC37" s="18">
        <v>16.206275999999999</v>
      </c>
      <c r="BD37" s="18">
        <v>76.134551999999999</v>
      </c>
      <c r="BE37" s="18">
        <v>50.336421999999999</v>
      </c>
      <c r="BF37" s="18">
        <v>174.773056</v>
      </c>
      <c r="BG37" s="18">
        <v>40.237507000000001</v>
      </c>
      <c r="BH37" s="18">
        <v>50.911442000000001</v>
      </c>
      <c r="BI37" s="18">
        <v>95.579589999999996</v>
      </c>
      <c r="BJ37" s="18">
        <v>4.4190670000000001</v>
      </c>
      <c r="BK37" s="18">
        <v>66.657355999999993</v>
      </c>
      <c r="BL37" s="18">
        <v>142.50280799999999</v>
      </c>
      <c r="BM37" s="18">
        <v>98.273201</v>
      </c>
      <c r="BN37" s="18">
        <v>47.181137</v>
      </c>
      <c r="BO37" s="18">
        <v>87.977576999999997</v>
      </c>
      <c r="BP37" s="18">
        <v>186.72737100000001</v>
      </c>
      <c r="BQ37" s="18">
        <v>82.284439000000006</v>
      </c>
      <c r="BR37" s="18">
        <v>74.146216999999993</v>
      </c>
      <c r="BS37" s="18">
        <v>62.300583000000003</v>
      </c>
      <c r="BT37" s="18">
        <v>69.650002000000001</v>
      </c>
      <c r="BU37" s="18">
        <v>107.870003</v>
      </c>
      <c r="BV37" s="18">
        <v>52.571941000000002</v>
      </c>
      <c r="BW37" s="18">
        <v>32.214443000000003</v>
      </c>
      <c r="BX37" s="18">
        <v>41.184525000000001</v>
      </c>
      <c r="BY37" s="18">
        <v>78.400002000000001</v>
      </c>
      <c r="BZ37" s="18">
        <v>93.872519999999994</v>
      </c>
      <c r="CA37" s="18">
        <v>82.809997999999993</v>
      </c>
      <c r="CB37" s="18">
        <v>92.5</v>
      </c>
      <c r="CC37" s="18">
        <v>32.499271</v>
      </c>
      <c r="CD37" s="18">
        <v>104.660004</v>
      </c>
      <c r="CE37" s="18">
        <v>10.804296000000001</v>
      </c>
      <c r="CF37" s="18">
        <v>14.16</v>
      </c>
    </row>
    <row r="38" spans="1:84" x14ac:dyDescent="0.25">
      <c r="A38" s="17">
        <v>42400</v>
      </c>
      <c r="B38" s="18">
        <v>93.333855</v>
      </c>
      <c r="C38" s="18">
        <v>26.667044000000001</v>
      </c>
      <c r="D38" s="18">
        <v>113.503479</v>
      </c>
      <c r="E38" s="18">
        <v>92.956573000000006</v>
      </c>
      <c r="F38" s="18">
        <v>116.326286</v>
      </c>
      <c r="G38" s="18">
        <v>62.489784</v>
      </c>
      <c r="H38" s="18">
        <v>39.865524000000001</v>
      </c>
      <c r="I38" s="18">
        <v>166.41000399999999</v>
      </c>
      <c r="J38" s="18">
        <v>82.180565000000001</v>
      </c>
      <c r="K38" s="18">
        <v>110.195168</v>
      </c>
      <c r="L38" s="18">
        <v>39.865524000000001</v>
      </c>
      <c r="M38" s="18">
        <v>93.150818000000001</v>
      </c>
      <c r="N38" s="18">
        <v>25.236377999999998</v>
      </c>
      <c r="O38" s="18">
        <v>191.199997</v>
      </c>
      <c r="P38" s="18">
        <v>71.703415000000007</v>
      </c>
      <c r="Q38" s="18">
        <v>78.835800000000006</v>
      </c>
      <c r="R38" s="18">
        <v>249.522614</v>
      </c>
      <c r="S38" s="18">
        <v>44.194519</v>
      </c>
      <c r="T38" s="18">
        <v>112.0196</v>
      </c>
      <c r="U38" s="18">
        <v>51.065249999999999</v>
      </c>
      <c r="V38" s="18">
        <v>86.121796000000003</v>
      </c>
      <c r="W38" s="18">
        <v>22.570131</v>
      </c>
      <c r="X38" s="18">
        <v>64.752189999999999</v>
      </c>
      <c r="Y38" s="18">
        <v>98.367278999999996</v>
      </c>
      <c r="Z38" s="18">
        <v>28.007442000000001</v>
      </c>
      <c r="AA38" s="18">
        <v>47.211742000000001</v>
      </c>
      <c r="AB38" s="18">
        <v>111.13814499999999</v>
      </c>
      <c r="AC38" s="18">
        <v>69.340209999999999</v>
      </c>
      <c r="AD38" s="18">
        <v>111.78082999999999</v>
      </c>
      <c r="AE38" s="18">
        <v>123.18</v>
      </c>
      <c r="AF38" s="18">
        <v>145.800003</v>
      </c>
      <c r="AG38" s="18">
        <v>279.53796399999999</v>
      </c>
      <c r="AH38" s="18">
        <v>119.683426</v>
      </c>
      <c r="AI38" s="18">
        <v>59.391815000000001</v>
      </c>
      <c r="AJ38" s="18">
        <v>98.989883000000006</v>
      </c>
      <c r="AK38" s="18">
        <v>61.250686999999999</v>
      </c>
      <c r="AL38" s="18">
        <v>34.552428999999997</v>
      </c>
      <c r="AM38" s="18">
        <v>27.583569000000001</v>
      </c>
      <c r="AN38" s="18">
        <v>38.607501999999997</v>
      </c>
      <c r="AO38" s="18">
        <v>68.269981000000001</v>
      </c>
      <c r="AP38" s="18">
        <v>111.349701</v>
      </c>
      <c r="AQ38" s="18">
        <v>452.97000100000002</v>
      </c>
      <c r="AR38" s="18">
        <v>43.302607999999999</v>
      </c>
      <c r="AS38" s="18">
        <v>23.908798000000001</v>
      </c>
      <c r="AT38" s="18">
        <v>29.883499</v>
      </c>
      <c r="AU38" s="18">
        <v>62.015835000000003</v>
      </c>
      <c r="AV38" s="18">
        <v>40.864677</v>
      </c>
      <c r="AW38" s="18">
        <v>103.968613</v>
      </c>
      <c r="AX38" s="18">
        <v>68.421638000000002</v>
      </c>
      <c r="AY38" s="18">
        <v>44.081650000000003</v>
      </c>
      <c r="AZ38" s="18">
        <v>88.665442999999996</v>
      </c>
      <c r="BA38" s="18">
        <v>77.808059999999998</v>
      </c>
      <c r="BB38" s="18">
        <v>55.609721999999998</v>
      </c>
      <c r="BC38" s="18">
        <v>13.654304</v>
      </c>
      <c r="BD38" s="18">
        <v>73.130393999999995</v>
      </c>
      <c r="BE38" s="18">
        <v>41.416912000000004</v>
      </c>
      <c r="BF38" s="18">
        <v>156.66835</v>
      </c>
      <c r="BG38" s="18">
        <v>38.001396</v>
      </c>
      <c r="BH38" s="18">
        <v>47.043441999999999</v>
      </c>
      <c r="BI38" s="18">
        <v>87.401923999999994</v>
      </c>
      <c r="BJ38" s="18">
        <v>3.8020320000000001</v>
      </c>
      <c r="BK38" s="18">
        <v>51.274887</v>
      </c>
      <c r="BL38" s="18">
        <v>142.84338399999999</v>
      </c>
      <c r="BM38" s="18">
        <v>97.922134</v>
      </c>
      <c r="BN38" s="18">
        <v>44.099831000000002</v>
      </c>
      <c r="BO38" s="18">
        <v>86.004677000000001</v>
      </c>
      <c r="BP38" s="18">
        <v>172.835205</v>
      </c>
      <c r="BQ38" s="18">
        <v>84.042152000000002</v>
      </c>
      <c r="BR38" s="18">
        <v>70.178077999999999</v>
      </c>
      <c r="BS38" s="18">
        <v>58.907974000000003</v>
      </c>
      <c r="BT38" s="18">
        <v>60.400002000000001</v>
      </c>
      <c r="BU38" s="18">
        <v>90.360000999999997</v>
      </c>
      <c r="BV38" s="18">
        <v>52.202393000000001</v>
      </c>
      <c r="BW38" s="18">
        <v>29.007024999999999</v>
      </c>
      <c r="BX38" s="18">
        <v>44.525978000000002</v>
      </c>
      <c r="BY38" s="18">
        <v>68.059997999999993</v>
      </c>
      <c r="BZ38" s="18">
        <v>92.909492</v>
      </c>
      <c r="CA38" s="18">
        <v>70.050003000000004</v>
      </c>
      <c r="CB38" s="18">
        <v>88.190002000000007</v>
      </c>
      <c r="CC38" s="18">
        <v>28.880572999999998</v>
      </c>
      <c r="CD38" s="18">
        <v>112.209999</v>
      </c>
      <c r="CE38" s="18">
        <v>8.9507049999999992</v>
      </c>
      <c r="CF38" s="18">
        <v>11.03</v>
      </c>
    </row>
    <row r="39" spans="1:84" x14ac:dyDescent="0.25">
      <c r="A39" s="17">
        <v>42429</v>
      </c>
      <c r="B39" s="18">
        <v>92.710609000000005</v>
      </c>
      <c r="C39" s="18">
        <v>26.703700999999999</v>
      </c>
      <c r="D39" s="18">
        <v>119.179108</v>
      </c>
      <c r="E39" s="18">
        <v>92.665535000000006</v>
      </c>
      <c r="F39" s="18">
        <v>110.133118</v>
      </c>
      <c r="G39" s="18">
        <v>62.470942999999998</v>
      </c>
      <c r="H39" s="18">
        <v>40.060585000000003</v>
      </c>
      <c r="I39" s="18">
        <v>179.729996</v>
      </c>
      <c r="J39" s="18">
        <v>78.066658000000004</v>
      </c>
      <c r="K39" s="18">
        <v>95.570426999999995</v>
      </c>
      <c r="L39" s="18">
        <v>40.060585000000003</v>
      </c>
      <c r="M39" s="18">
        <v>91.762466000000003</v>
      </c>
      <c r="N39" s="18">
        <v>24.012851999999999</v>
      </c>
      <c r="O39" s="18">
        <v>191.929993</v>
      </c>
      <c r="P39" s="18">
        <v>73.821831000000003</v>
      </c>
      <c r="Q39" s="18">
        <v>76.073325999999994</v>
      </c>
      <c r="R39" s="18">
        <v>263.99606299999999</v>
      </c>
      <c r="S39" s="18">
        <v>41.901229999999998</v>
      </c>
      <c r="T39" s="18">
        <v>98.927031999999997</v>
      </c>
      <c r="U39" s="18">
        <v>54.538155000000003</v>
      </c>
      <c r="V39" s="18">
        <v>86.019431999999995</v>
      </c>
      <c r="W39" s="18">
        <v>24.958255999999999</v>
      </c>
      <c r="X39" s="18">
        <v>65.072754000000003</v>
      </c>
      <c r="Y39" s="18">
        <v>99.092483999999999</v>
      </c>
      <c r="Z39" s="18">
        <v>27.254206</v>
      </c>
      <c r="AA39" s="18">
        <v>46.783133999999997</v>
      </c>
      <c r="AB39" s="18">
        <v>114.94053599999999</v>
      </c>
      <c r="AC39" s="18">
        <v>68.971489000000005</v>
      </c>
      <c r="AD39" s="18">
        <v>109.528137</v>
      </c>
      <c r="AE39" s="18">
        <v>121.94000200000001</v>
      </c>
      <c r="AF39" s="18">
        <v>144.88999899999999</v>
      </c>
      <c r="AG39" s="18">
        <v>285.12027</v>
      </c>
      <c r="AH39" s="18">
        <v>118.12267300000001</v>
      </c>
      <c r="AI39" s="18">
        <v>66.050133000000002</v>
      </c>
      <c r="AJ39" s="18">
        <v>101.997581</v>
      </c>
      <c r="AK39" s="18">
        <v>68.744217000000006</v>
      </c>
      <c r="AL39" s="18">
        <v>39.400615999999999</v>
      </c>
      <c r="AM39" s="18">
        <v>27.832069000000001</v>
      </c>
      <c r="AN39" s="18">
        <v>46.063502999999997</v>
      </c>
      <c r="AO39" s="18">
        <v>74.774597</v>
      </c>
      <c r="AP39" s="18">
        <v>130.02688599999999</v>
      </c>
      <c r="AQ39" s="18">
        <v>509.16000400000001</v>
      </c>
      <c r="AR39" s="18">
        <v>40.450733</v>
      </c>
      <c r="AS39" s="18">
        <v>23.556217</v>
      </c>
      <c r="AT39" s="18">
        <v>28.973633</v>
      </c>
      <c r="AU39" s="18">
        <v>61.929848</v>
      </c>
      <c r="AV39" s="18">
        <v>39.684334</v>
      </c>
      <c r="AW39" s="18">
        <v>105.00168600000001</v>
      </c>
      <c r="AX39" s="18">
        <v>67.494804000000002</v>
      </c>
      <c r="AY39" s="18">
        <v>43.414845</v>
      </c>
      <c r="AZ39" s="18">
        <v>90.312415999999999</v>
      </c>
      <c r="BA39" s="18">
        <v>76.993461999999994</v>
      </c>
      <c r="BB39" s="18">
        <v>52.971930999999998</v>
      </c>
      <c r="BC39" s="18">
        <v>12.089949000000001</v>
      </c>
      <c r="BD39" s="18">
        <v>71.068725999999998</v>
      </c>
      <c r="BE39" s="18">
        <v>37.835442</v>
      </c>
      <c r="BF39" s="18">
        <v>145.00260900000001</v>
      </c>
      <c r="BG39" s="18">
        <v>36.540531000000001</v>
      </c>
      <c r="BH39" s="18">
        <v>43.943424</v>
      </c>
      <c r="BI39" s="18">
        <v>85.501548999999997</v>
      </c>
      <c r="BJ39" s="18">
        <v>3.667259</v>
      </c>
      <c r="BK39" s="18">
        <v>53.501517999999997</v>
      </c>
      <c r="BL39" s="18">
        <v>148.39630099999999</v>
      </c>
      <c r="BM39" s="18">
        <v>96.166740000000004</v>
      </c>
      <c r="BN39" s="18">
        <v>45.43327</v>
      </c>
      <c r="BO39" s="18">
        <v>89.996016999999995</v>
      </c>
      <c r="BP39" s="18">
        <v>165.484802</v>
      </c>
      <c r="BQ39" s="18">
        <v>91.222519000000005</v>
      </c>
      <c r="BR39" s="18">
        <v>73.068725999999998</v>
      </c>
      <c r="BS39" s="18">
        <v>69.864875999999995</v>
      </c>
      <c r="BT39" s="18">
        <v>61.779998999999997</v>
      </c>
      <c r="BU39" s="18">
        <v>92.599997999999999</v>
      </c>
      <c r="BV39" s="18">
        <v>48.213062000000001</v>
      </c>
      <c r="BW39" s="18">
        <v>27.669824999999999</v>
      </c>
      <c r="BX39" s="18">
        <v>45.759177999999999</v>
      </c>
      <c r="BY39" s="18">
        <v>67.75</v>
      </c>
      <c r="BZ39" s="18">
        <v>94.302527999999995</v>
      </c>
      <c r="CA39" s="18">
        <v>65.349997999999999</v>
      </c>
      <c r="CB39" s="18">
        <v>83.019997000000004</v>
      </c>
      <c r="CC39" s="18">
        <v>30.92164</v>
      </c>
      <c r="CD39" s="18">
        <v>106.91999800000001</v>
      </c>
      <c r="CE39" s="18">
        <v>9.8540720000000004</v>
      </c>
      <c r="CF39" s="18">
        <v>10.63</v>
      </c>
    </row>
    <row r="40" spans="1:84" x14ac:dyDescent="0.25">
      <c r="A40" s="17">
        <v>42460</v>
      </c>
      <c r="B40" s="18">
        <v>105.071449</v>
      </c>
      <c r="C40" s="18">
        <v>29.365359999999999</v>
      </c>
      <c r="D40" s="18">
        <v>139.15931699999999</v>
      </c>
      <c r="E40" s="18">
        <v>96.342277999999993</v>
      </c>
      <c r="F40" s="18">
        <v>119.006653</v>
      </c>
      <c r="G40" s="18">
        <v>64.495543999999995</v>
      </c>
      <c r="H40" s="18">
        <v>43.088580999999998</v>
      </c>
      <c r="I40" s="18">
        <v>190.89999399999999</v>
      </c>
      <c r="J40" s="18">
        <v>85.331612000000007</v>
      </c>
      <c r="K40" s="18">
        <v>97.608520999999996</v>
      </c>
      <c r="L40" s="18">
        <v>43.088580999999998</v>
      </c>
      <c r="M40" s="18">
        <v>96.133904000000001</v>
      </c>
      <c r="N40" s="18">
        <v>25.535254999999999</v>
      </c>
      <c r="O40" s="18">
        <v>229.770004</v>
      </c>
      <c r="P40" s="18">
        <v>77.689010999999994</v>
      </c>
      <c r="Q40" s="18">
        <v>88.080612000000002</v>
      </c>
      <c r="R40" s="18">
        <v>278.72686800000002</v>
      </c>
      <c r="S40" s="18">
        <v>45.187179999999998</v>
      </c>
      <c r="T40" s="18">
        <v>108.964348</v>
      </c>
      <c r="U40" s="18">
        <v>62.017502</v>
      </c>
      <c r="V40" s="18">
        <v>83.868713</v>
      </c>
      <c r="W40" s="18">
        <v>25.286038999999999</v>
      </c>
      <c r="X40" s="18">
        <v>69.089293999999995</v>
      </c>
      <c r="Y40" s="18">
        <v>102.64716300000001</v>
      </c>
      <c r="Z40" s="18">
        <v>27.500378000000001</v>
      </c>
      <c r="AA40" s="18">
        <v>49.298865999999997</v>
      </c>
      <c r="AB40" s="18">
        <v>124.398285</v>
      </c>
      <c r="AC40" s="18">
        <v>77.781029000000004</v>
      </c>
      <c r="AD40" s="18">
        <v>123.88001300000001</v>
      </c>
      <c r="AE40" s="18">
        <v>111.43</v>
      </c>
      <c r="AF40" s="18">
        <v>143.25</v>
      </c>
      <c r="AG40" s="18">
        <v>263.42004400000002</v>
      </c>
      <c r="AH40" s="18">
        <v>126.982811</v>
      </c>
      <c r="AI40" s="18">
        <v>69.245956000000007</v>
      </c>
      <c r="AJ40" s="18">
        <v>105.632317</v>
      </c>
      <c r="AK40" s="18">
        <v>72.132355000000004</v>
      </c>
      <c r="AL40" s="18">
        <v>43.028927000000003</v>
      </c>
      <c r="AM40" s="18">
        <v>37.980834999999999</v>
      </c>
      <c r="AN40" s="18">
        <v>49.397243000000003</v>
      </c>
      <c r="AO40" s="18">
        <v>75.950423999999998</v>
      </c>
      <c r="AP40" s="18">
        <v>128.87364199999999</v>
      </c>
      <c r="AQ40" s="18">
        <v>470.97000100000002</v>
      </c>
      <c r="AR40" s="18">
        <v>37.723830999999997</v>
      </c>
      <c r="AS40" s="18">
        <v>25.639111</v>
      </c>
      <c r="AT40" s="18">
        <v>30.326941999999999</v>
      </c>
      <c r="AU40" s="18">
        <v>66.198241999999993</v>
      </c>
      <c r="AV40" s="18">
        <v>43.199772000000003</v>
      </c>
      <c r="AW40" s="18">
        <v>110.97056600000001</v>
      </c>
      <c r="AX40" s="18">
        <v>74.084548999999996</v>
      </c>
      <c r="AY40" s="18">
        <v>47.133338999999999</v>
      </c>
      <c r="AZ40" s="18">
        <v>97.368233000000004</v>
      </c>
      <c r="BA40" s="18">
        <v>82.979408000000006</v>
      </c>
      <c r="BB40" s="18">
        <v>55.719321999999998</v>
      </c>
      <c r="BC40" s="18">
        <v>13.0556</v>
      </c>
      <c r="BD40" s="18">
        <v>75.386673000000002</v>
      </c>
      <c r="BE40" s="18">
        <v>40.659697999999999</v>
      </c>
      <c r="BF40" s="18">
        <v>152.888428</v>
      </c>
      <c r="BG40" s="18">
        <v>38.504157999999997</v>
      </c>
      <c r="BH40" s="18">
        <v>45.642592999999998</v>
      </c>
      <c r="BI40" s="18">
        <v>92.957831999999996</v>
      </c>
      <c r="BJ40" s="18">
        <v>4.0073309999999998</v>
      </c>
      <c r="BK40" s="18">
        <v>59.103870000000001</v>
      </c>
      <c r="BL40" s="18">
        <v>158.76799</v>
      </c>
      <c r="BM40" s="18">
        <v>106.927696</v>
      </c>
      <c r="BN40" s="18">
        <v>48.278263000000003</v>
      </c>
      <c r="BO40" s="18">
        <v>97.816367999999997</v>
      </c>
      <c r="BP40" s="18">
        <v>180.10871900000001</v>
      </c>
      <c r="BQ40" s="18">
        <v>103.80869300000001</v>
      </c>
      <c r="BR40" s="18">
        <v>80.573929000000007</v>
      </c>
      <c r="BS40" s="18">
        <v>74.403357999999997</v>
      </c>
      <c r="BT40" s="18">
        <v>69</v>
      </c>
      <c r="BU40" s="18">
        <v>106.769997</v>
      </c>
      <c r="BV40" s="18">
        <v>52.710808</v>
      </c>
      <c r="BW40" s="18">
        <v>30.516970000000001</v>
      </c>
      <c r="BX40" s="18">
        <v>48.780926000000001</v>
      </c>
      <c r="BY40" s="18">
        <v>73.830001999999993</v>
      </c>
      <c r="BZ40" s="18">
        <v>101.494263</v>
      </c>
      <c r="CA40" s="18">
        <v>74.510002</v>
      </c>
      <c r="CB40" s="18">
        <v>89.459998999999996</v>
      </c>
      <c r="CC40" s="18">
        <v>35.259945000000002</v>
      </c>
      <c r="CD40" s="18">
        <v>114.099998</v>
      </c>
      <c r="CE40" s="18">
        <v>11.356610999999999</v>
      </c>
      <c r="CF40" s="18">
        <v>10.47</v>
      </c>
    </row>
    <row r="41" spans="1:84" x14ac:dyDescent="0.25">
      <c r="A41" s="17">
        <v>42490</v>
      </c>
      <c r="B41" s="18">
        <v>90.369743</v>
      </c>
      <c r="C41" s="18">
        <v>28.404684</v>
      </c>
      <c r="D41" s="18">
        <v>134.09648100000001</v>
      </c>
      <c r="E41" s="18">
        <v>100.17424</v>
      </c>
      <c r="F41" s="18">
        <v>119.773636</v>
      </c>
      <c r="G41" s="18">
        <v>63.436207000000003</v>
      </c>
      <c r="H41" s="18">
        <v>41.936248999999997</v>
      </c>
      <c r="I41" s="18">
        <v>192.63000500000001</v>
      </c>
      <c r="J41" s="18">
        <v>85.278664000000006</v>
      </c>
      <c r="K41" s="18">
        <v>96.968604999999997</v>
      </c>
      <c r="L41" s="18">
        <v>41.936248999999997</v>
      </c>
      <c r="M41" s="18">
        <v>97.273787999999996</v>
      </c>
      <c r="N41" s="18">
        <v>25.380825000000002</v>
      </c>
      <c r="O41" s="18">
        <v>240.759995</v>
      </c>
      <c r="P41" s="18">
        <v>82.159439000000006</v>
      </c>
      <c r="Q41" s="18">
        <v>94.340416000000005</v>
      </c>
      <c r="R41" s="18">
        <v>281.31173699999999</v>
      </c>
      <c r="S41" s="18">
        <v>48.983680999999997</v>
      </c>
      <c r="T41" s="18">
        <v>114.983986</v>
      </c>
      <c r="U41" s="18">
        <v>64.502044999999995</v>
      </c>
      <c r="V41" s="18">
        <v>89.546638000000002</v>
      </c>
      <c r="W41" s="18">
        <v>26.486507</v>
      </c>
      <c r="X41" s="18">
        <v>67.199944000000002</v>
      </c>
      <c r="Y41" s="18">
        <v>106.328056</v>
      </c>
      <c r="Z41" s="18">
        <v>30.348763000000002</v>
      </c>
      <c r="AA41" s="18">
        <v>51.544162999999998</v>
      </c>
      <c r="AB41" s="18">
        <v>127.60562899999999</v>
      </c>
      <c r="AC41" s="18">
        <v>80.342170999999993</v>
      </c>
      <c r="AD41" s="18">
        <v>132.779663</v>
      </c>
      <c r="AE41" s="18">
        <v>105.199997</v>
      </c>
      <c r="AF41" s="18">
        <v>139.740005</v>
      </c>
      <c r="AG41" s="18">
        <v>212.83531199999999</v>
      </c>
      <c r="AH41" s="18">
        <v>128.121262</v>
      </c>
      <c r="AI41" s="18">
        <v>68.185562000000004</v>
      </c>
      <c r="AJ41" s="18">
        <v>113.679886</v>
      </c>
      <c r="AK41" s="18">
        <v>67.413787999999997</v>
      </c>
      <c r="AL41" s="18">
        <v>42.331654</v>
      </c>
      <c r="AM41" s="18">
        <v>35.843730999999998</v>
      </c>
      <c r="AN41" s="18">
        <v>47.790260000000004</v>
      </c>
      <c r="AO41" s="18">
        <v>83.282905999999997</v>
      </c>
      <c r="AP41" s="18">
        <v>118.480789</v>
      </c>
      <c r="AQ41" s="18">
        <v>420.97000100000002</v>
      </c>
      <c r="AR41" s="18">
        <v>39.956966000000001</v>
      </c>
      <c r="AS41" s="18">
        <v>26.800165</v>
      </c>
      <c r="AT41" s="18">
        <v>30.17445</v>
      </c>
      <c r="AU41" s="18">
        <v>69.876457000000002</v>
      </c>
      <c r="AV41" s="18">
        <v>45.038876000000002</v>
      </c>
      <c r="AW41" s="18">
        <v>110.257904</v>
      </c>
      <c r="AX41" s="18">
        <v>72.339873999999995</v>
      </c>
      <c r="AY41" s="18">
        <v>45.648178000000001</v>
      </c>
      <c r="AZ41" s="18">
        <v>97.428023999999994</v>
      </c>
      <c r="BA41" s="18">
        <v>82.277732999999998</v>
      </c>
      <c r="BB41" s="18">
        <v>59.464046000000003</v>
      </c>
      <c r="BC41" s="18">
        <v>14.113376000000001</v>
      </c>
      <c r="BD41" s="18">
        <v>76.135802999999996</v>
      </c>
      <c r="BE41" s="18">
        <v>45.071404000000001</v>
      </c>
      <c r="BF41" s="18">
        <v>159.83261100000001</v>
      </c>
      <c r="BG41" s="18">
        <v>40.751624999999997</v>
      </c>
      <c r="BH41" s="18">
        <v>47.171565999999999</v>
      </c>
      <c r="BI41" s="18">
        <v>95.407203999999993</v>
      </c>
      <c r="BJ41" s="18">
        <v>4.6231359999999997</v>
      </c>
      <c r="BK41" s="18">
        <v>62.983162</v>
      </c>
      <c r="BL41" s="18">
        <v>159.48260500000001</v>
      </c>
      <c r="BM41" s="18">
        <v>109.046204</v>
      </c>
      <c r="BN41" s="18">
        <v>49.459904000000002</v>
      </c>
      <c r="BO41" s="18">
        <v>100.346756</v>
      </c>
      <c r="BP41" s="18">
        <v>173.526016</v>
      </c>
      <c r="BQ41" s="18">
        <v>110.503288</v>
      </c>
      <c r="BR41" s="18">
        <v>79.621207999999996</v>
      </c>
      <c r="BS41" s="18">
        <v>75.078498999999994</v>
      </c>
      <c r="BT41" s="18">
        <v>62.560001</v>
      </c>
      <c r="BU41" s="18">
        <v>109.639999</v>
      </c>
      <c r="BV41" s="18">
        <v>47.595291000000003</v>
      </c>
      <c r="BW41" s="18">
        <v>28.564261999999999</v>
      </c>
      <c r="BX41" s="18">
        <v>45.948596999999999</v>
      </c>
      <c r="BY41" s="18">
        <v>75.800003000000004</v>
      </c>
      <c r="BZ41" s="18">
        <v>98.449721999999994</v>
      </c>
      <c r="CA41" s="18">
        <v>73.370002999999997</v>
      </c>
      <c r="CB41" s="18">
        <v>90.769997000000004</v>
      </c>
      <c r="CC41" s="18">
        <v>35.160988000000003</v>
      </c>
      <c r="CD41" s="18">
        <v>117.58000199999999</v>
      </c>
      <c r="CE41" s="18">
        <v>11.437374</v>
      </c>
      <c r="CF41" s="18">
        <v>10.75</v>
      </c>
    </row>
    <row r="42" spans="1:84" x14ac:dyDescent="0.25">
      <c r="A42" s="17">
        <v>42521</v>
      </c>
      <c r="B42" s="18">
        <v>96.269706999999997</v>
      </c>
      <c r="C42" s="18">
        <v>27.924340999999998</v>
      </c>
      <c r="D42" s="18">
        <v>141.263474</v>
      </c>
      <c r="E42" s="18">
        <v>96.254966999999994</v>
      </c>
      <c r="F42" s="18">
        <v>115.57886499999999</v>
      </c>
      <c r="G42" s="18">
        <v>67.145409000000001</v>
      </c>
      <c r="H42" s="18">
        <v>41.749026999999998</v>
      </c>
      <c r="I42" s="18">
        <v>196.69000199999999</v>
      </c>
      <c r="J42" s="18">
        <v>89.337219000000005</v>
      </c>
      <c r="K42" s="18">
        <v>98.599059999999994</v>
      </c>
      <c r="L42" s="18">
        <v>41.749026999999998</v>
      </c>
      <c r="M42" s="18">
        <v>95.582642000000007</v>
      </c>
      <c r="N42" s="18">
        <v>26.341082</v>
      </c>
      <c r="O42" s="18">
        <v>223.229996</v>
      </c>
      <c r="P42" s="18">
        <v>82.735671999999994</v>
      </c>
      <c r="Q42" s="18">
        <v>93.250953999999993</v>
      </c>
      <c r="R42" s="18">
        <v>285.01281699999998</v>
      </c>
      <c r="S42" s="18">
        <v>43.069336</v>
      </c>
      <c r="T42" s="18">
        <v>124.15615099999999</v>
      </c>
      <c r="U42" s="18">
        <v>76.532798999999997</v>
      </c>
      <c r="V42" s="18">
        <v>108.181847</v>
      </c>
      <c r="W42" s="18">
        <v>23.874762</v>
      </c>
      <c r="X42" s="18">
        <v>65.984688000000006</v>
      </c>
      <c r="Y42" s="18">
        <v>106.906746</v>
      </c>
      <c r="Z42" s="18">
        <v>32.19511</v>
      </c>
      <c r="AA42" s="18">
        <v>52.878822</v>
      </c>
      <c r="AB42" s="18">
        <v>129.53407300000001</v>
      </c>
      <c r="AC42" s="18">
        <v>77.751121999999995</v>
      </c>
      <c r="AD42" s="18">
        <v>133.95173600000001</v>
      </c>
      <c r="AE42" s="18">
        <v>119.07</v>
      </c>
      <c r="AF42" s="18">
        <v>146.11999499999999</v>
      </c>
      <c r="AG42" s="18">
        <v>231.69523599999999</v>
      </c>
      <c r="AH42" s="18">
        <v>126.427521</v>
      </c>
      <c r="AI42" s="18">
        <v>64.245604999999998</v>
      </c>
      <c r="AJ42" s="18">
        <v>109.231667</v>
      </c>
      <c r="AK42" s="18">
        <v>64.031227000000001</v>
      </c>
      <c r="AL42" s="18">
        <v>34.006039000000001</v>
      </c>
      <c r="AM42" s="18">
        <v>33.706623</v>
      </c>
      <c r="AN42" s="18">
        <v>45.823951999999998</v>
      </c>
      <c r="AO42" s="18">
        <v>80.380470000000003</v>
      </c>
      <c r="AP42" s="18">
        <v>118.480789</v>
      </c>
      <c r="AQ42" s="18">
        <v>441.959991</v>
      </c>
      <c r="AR42" s="18">
        <v>37.436298000000001</v>
      </c>
      <c r="AS42" s="18">
        <v>27.970808000000002</v>
      </c>
      <c r="AT42" s="18">
        <v>30.793952999999998</v>
      </c>
      <c r="AU42" s="18">
        <v>71.163353000000001</v>
      </c>
      <c r="AV42" s="18">
        <v>46.197895000000003</v>
      </c>
      <c r="AW42" s="18">
        <v>112.639732</v>
      </c>
      <c r="AX42" s="18">
        <v>71.834839000000002</v>
      </c>
      <c r="AY42" s="18">
        <v>45.046824999999998</v>
      </c>
      <c r="AZ42" s="18">
        <v>100.98200199999999</v>
      </c>
      <c r="BA42" s="18">
        <v>83.680396999999999</v>
      </c>
      <c r="BB42" s="18">
        <v>61.866351999999999</v>
      </c>
      <c r="BC42" s="18">
        <v>14.336321999999999</v>
      </c>
      <c r="BD42" s="18">
        <v>77.811508000000003</v>
      </c>
      <c r="BE42" s="18">
        <v>45.401791000000003</v>
      </c>
      <c r="BF42" s="18">
        <v>155.323273</v>
      </c>
      <c r="BG42" s="18">
        <v>40.875725000000003</v>
      </c>
      <c r="BH42" s="18">
        <v>47.869987000000002</v>
      </c>
      <c r="BI42" s="18">
        <v>94.525345000000002</v>
      </c>
      <c r="BJ42" s="18">
        <v>4.4146989999999997</v>
      </c>
      <c r="BK42" s="18">
        <v>63.607295999999998</v>
      </c>
      <c r="BL42" s="18">
        <v>160.37825000000001</v>
      </c>
      <c r="BM42" s="18">
        <v>108.626328</v>
      </c>
      <c r="BN42" s="18">
        <v>50.282958999999998</v>
      </c>
      <c r="BO42" s="18">
        <v>101.79647799999999</v>
      </c>
      <c r="BP42" s="18">
        <v>168.87240600000001</v>
      </c>
      <c r="BQ42" s="18">
        <v>108.08607499999999</v>
      </c>
      <c r="BR42" s="18">
        <v>81.350830000000002</v>
      </c>
      <c r="BS42" s="18">
        <v>85.107879999999994</v>
      </c>
      <c r="BT42" s="18">
        <v>53.110000999999997</v>
      </c>
      <c r="BU42" s="18">
        <v>124.199997</v>
      </c>
      <c r="BV42" s="18">
        <v>50.582526999999999</v>
      </c>
      <c r="BW42" s="18">
        <v>29.800034</v>
      </c>
      <c r="BX42" s="18">
        <v>46.397162999999999</v>
      </c>
      <c r="BY42" s="18">
        <v>83.709998999999996</v>
      </c>
      <c r="BZ42" s="18">
        <v>104.378021</v>
      </c>
      <c r="CA42" s="18">
        <v>77.459998999999996</v>
      </c>
      <c r="CB42" s="18">
        <v>89.099997999999999</v>
      </c>
      <c r="CC42" s="18">
        <v>46.234772</v>
      </c>
      <c r="CD42" s="18">
        <v>118.80999799999999</v>
      </c>
      <c r="CE42" s="18">
        <v>12.472049999999999</v>
      </c>
      <c r="CF42" s="18">
        <v>12.72</v>
      </c>
    </row>
    <row r="43" spans="1:84" x14ac:dyDescent="0.25">
      <c r="A43" s="17">
        <v>42551</v>
      </c>
      <c r="B43" s="18">
        <v>92.723990999999998</v>
      </c>
      <c r="C43" s="18">
        <v>29.079004000000001</v>
      </c>
      <c r="D43" s="18">
        <v>142.15962200000001</v>
      </c>
      <c r="E43" s="18">
        <v>94.896805000000001</v>
      </c>
      <c r="F43" s="18">
        <v>113.950188</v>
      </c>
      <c r="G43" s="18">
        <v>69.777573000000004</v>
      </c>
      <c r="H43" s="18">
        <v>42.432377000000002</v>
      </c>
      <c r="I43" s="18">
        <v>189.759995</v>
      </c>
      <c r="J43" s="18">
        <v>92.054412999999997</v>
      </c>
      <c r="K43" s="18">
        <v>95.338158000000007</v>
      </c>
      <c r="L43" s="18">
        <v>42.432377000000002</v>
      </c>
      <c r="M43" s="18">
        <v>100.089218</v>
      </c>
      <c r="N43" s="18">
        <v>23.846304</v>
      </c>
      <c r="O43" s="18">
        <v>212.279999</v>
      </c>
      <c r="P43" s="18">
        <v>87.854659999999996</v>
      </c>
      <c r="Q43" s="18">
        <v>97.810248999999999</v>
      </c>
      <c r="R43" s="18">
        <v>288.36654700000003</v>
      </c>
      <c r="S43" s="18">
        <v>42.067101000000001</v>
      </c>
      <c r="T43" s="18">
        <v>121.33616600000001</v>
      </c>
      <c r="U43" s="18">
        <v>77.322486999999995</v>
      </c>
      <c r="V43" s="18">
        <v>99.467285000000004</v>
      </c>
      <c r="W43" s="18">
        <v>25.041792000000001</v>
      </c>
      <c r="X43" s="18">
        <v>66.828896</v>
      </c>
      <c r="Y43" s="18">
        <v>115.89649199999999</v>
      </c>
      <c r="Z43" s="18">
        <v>32.960845999999997</v>
      </c>
      <c r="AA43" s="18">
        <v>54.147697000000001</v>
      </c>
      <c r="AB43" s="18">
        <v>136.83105499999999</v>
      </c>
      <c r="AC43" s="18">
        <v>76.744606000000005</v>
      </c>
      <c r="AD43" s="18">
        <v>133.29598999999999</v>
      </c>
      <c r="AE43" s="18">
        <v>105.91999800000001</v>
      </c>
      <c r="AF43" s="18">
        <v>145.60000600000001</v>
      </c>
      <c r="AG43" s="18">
        <v>227.115387</v>
      </c>
      <c r="AH43" s="18">
        <v>122.821106</v>
      </c>
      <c r="AI43" s="18">
        <v>64.943871000000001</v>
      </c>
      <c r="AJ43" s="18">
        <v>104.608681</v>
      </c>
      <c r="AK43" s="18">
        <v>68.190865000000002</v>
      </c>
      <c r="AL43" s="18">
        <v>37.803618999999998</v>
      </c>
      <c r="AM43" s="18">
        <v>36.211509999999997</v>
      </c>
      <c r="AN43" s="18">
        <v>49.047896999999999</v>
      </c>
      <c r="AO43" s="18">
        <v>83.858283999999998</v>
      </c>
      <c r="AP43" s="18">
        <v>128.77238500000001</v>
      </c>
      <c r="AQ43" s="18">
        <v>402.76001000000002</v>
      </c>
      <c r="AR43" s="18">
        <v>42.234467000000002</v>
      </c>
      <c r="AS43" s="18">
        <v>33.717627999999998</v>
      </c>
      <c r="AT43" s="18">
        <v>34.171700000000001</v>
      </c>
      <c r="AU43" s="18">
        <v>81.571655000000007</v>
      </c>
      <c r="AV43" s="18">
        <v>54.149132000000002</v>
      </c>
      <c r="AW43" s="18">
        <v>123.17935199999999</v>
      </c>
      <c r="AX43" s="18">
        <v>79.602783000000002</v>
      </c>
      <c r="AY43" s="18">
        <v>49.414436000000002</v>
      </c>
      <c r="AZ43" s="18">
        <v>107.486633</v>
      </c>
      <c r="BA43" s="18">
        <v>91.468918000000002</v>
      </c>
      <c r="BB43" s="18">
        <v>58.899577999999998</v>
      </c>
      <c r="BC43" s="18">
        <v>12.862947</v>
      </c>
      <c r="BD43" s="18">
        <v>73.239165999999997</v>
      </c>
      <c r="BE43" s="18">
        <v>41.326653</v>
      </c>
      <c r="BF43" s="18">
        <v>145.30053699999999</v>
      </c>
      <c r="BG43" s="18">
        <v>38.498787</v>
      </c>
      <c r="BH43" s="18">
        <v>45.012568999999999</v>
      </c>
      <c r="BI43" s="18">
        <v>86.797713999999999</v>
      </c>
      <c r="BJ43" s="18">
        <v>3.6432880000000001</v>
      </c>
      <c r="BK43" s="18">
        <v>58.770966000000001</v>
      </c>
      <c r="BL43" s="18">
        <v>167.96843000000001</v>
      </c>
      <c r="BM43" s="18">
        <v>111.583702</v>
      </c>
      <c r="BN43" s="18">
        <v>51.632556999999998</v>
      </c>
      <c r="BO43" s="18">
        <v>100.001144</v>
      </c>
      <c r="BP43" s="18">
        <v>168.35913099999999</v>
      </c>
      <c r="BQ43" s="18">
        <v>107.08287</v>
      </c>
      <c r="BR43" s="18">
        <v>80.140433999999999</v>
      </c>
      <c r="BS43" s="18">
        <v>82.035149000000004</v>
      </c>
      <c r="BT43" s="18">
        <v>50.099997999999999</v>
      </c>
      <c r="BU43" s="18">
        <v>115.25</v>
      </c>
      <c r="BV43" s="18">
        <v>49.177574</v>
      </c>
      <c r="BW43" s="18">
        <v>31.208739999999999</v>
      </c>
      <c r="BX43" s="18">
        <v>50.900143</v>
      </c>
      <c r="BY43" s="18">
        <v>79.410004000000001</v>
      </c>
      <c r="BZ43" s="18">
        <v>109.222122</v>
      </c>
      <c r="CA43" s="18">
        <v>72.599997999999999</v>
      </c>
      <c r="CB43" s="18">
        <v>90.75</v>
      </c>
      <c r="CC43" s="18">
        <v>46.642555000000002</v>
      </c>
      <c r="CD43" s="18">
        <v>114.279999</v>
      </c>
      <c r="CE43" s="18">
        <v>11.698375</v>
      </c>
      <c r="CF43" s="18">
        <v>13.76</v>
      </c>
    </row>
    <row r="44" spans="1:84" x14ac:dyDescent="0.25">
      <c r="A44" s="17">
        <v>42582</v>
      </c>
      <c r="B44" s="18">
        <v>101.074974</v>
      </c>
      <c r="C44" s="18">
        <v>28.982851</v>
      </c>
      <c r="D44" s="18">
        <v>150.43931599999999</v>
      </c>
      <c r="E44" s="18">
        <v>93.082679999999996</v>
      </c>
      <c r="F44" s="18">
        <v>112.22189299999999</v>
      </c>
      <c r="G44" s="18">
        <v>69.729797000000005</v>
      </c>
      <c r="H44" s="18">
        <v>41.154232</v>
      </c>
      <c r="I44" s="18">
        <v>208.94000199999999</v>
      </c>
      <c r="J44" s="18">
        <v>100.13108800000001</v>
      </c>
      <c r="K44" s="18">
        <v>106.408028</v>
      </c>
      <c r="L44" s="18">
        <v>41.154232</v>
      </c>
      <c r="M44" s="18">
        <v>103.675781</v>
      </c>
      <c r="N44" s="18">
        <v>25.985199000000001</v>
      </c>
      <c r="O44" s="18">
        <v>234.78999300000001</v>
      </c>
      <c r="P44" s="18">
        <v>83.365402000000003</v>
      </c>
      <c r="Q44" s="18">
        <v>95.617607000000007</v>
      </c>
      <c r="R44" s="18">
        <v>294.31716899999998</v>
      </c>
      <c r="S44" s="18">
        <v>44.831069999999997</v>
      </c>
      <c r="T44" s="18">
        <v>128.81518600000001</v>
      </c>
      <c r="U44" s="18">
        <v>82.375427000000002</v>
      </c>
      <c r="V44" s="18">
        <v>102.69916499999999</v>
      </c>
      <c r="W44" s="18">
        <v>25.826142999999998</v>
      </c>
      <c r="X44" s="18">
        <v>70.499656999999999</v>
      </c>
      <c r="Y44" s="18">
        <v>119.651421</v>
      </c>
      <c r="Z44" s="18">
        <v>34.533526999999999</v>
      </c>
      <c r="AA44" s="18">
        <v>55.58466</v>
      </c>
      <c r="AB44" s="18">
        <v>139.40110799999999</v>
      </c>
      <c r="AC44" s="18">
        <v>76.864188999999996</v>
      </c>
      <c r="AD44" s="18">
        <v>128.75337200000001</v>
      </c>
      <c r="AE44" s="18">
        <v>121.010002</v>
      </c>
      <c r="AF44" s="18">
        <v>139.96000699999999</v>
      </c>
      <c r="AG44" s="18">
        <v>248.599411</v>
      </c>
      <c r="AH44" s="18">
        <v>132.968842</v>
      </c>
      <c r="AI44" s="18">
        <v>70.064323000000002</v>
      </c>
      <c r="AJ44" s="18">
        <v>114.793999</v>
      </c>
      <c r="AK44" s="18">
        <v>67.989822000000004</v>
      </c>
      <c r="AL44" s="18">
        <v>40.817019999999999</v>
      </c>
      <c r="AM44" s="18">
        <v>38.199516000000003</v>
      </c>
      <c r="AN44" s="18">
        <v>50.345458999999998</v>
      </c>
      <c r="AO44" s="18">
        <v>89.432822999999999</v>
      </c>
      <c r="AP44" s="18">
        <v>144.81227100000001</v>
      </c>
      <c r="AQ44" s="18">
        <v>423.98998999999998</v>
      </c>
      <c r="AR44" s="18">
        <v>41.636909000000003</v>
      </c>
      <c r="AS44" s="18">
        <v>32.559277000000002</v>
      </c>
      <c r="AT44" s="18">
        <v>33.194271000000001</v>
      </c>
      <c r="AU44" s="18">
        <v>79.708770999999999</v>
      </c>
      <c r="AV44" s="18">
        <v>49.187064999999997</v>
      </c>
      <c r="AW44" s="18">
        <v>121.18617999999999</v>
      </c>
      <c r="AX44" s="18">
        <v>79.417191000000003</v>
      </c>
      <c r="AY44" s="18">
        <v>49.294646999999998</v>
      </c>
      <c r="AZ44" s="18">
        <v>106.189003</v>
      </c>
      <c r="BA44" s="18">
        <v>90.696753999999999</v>
      </c>
      <c r="BB44" s="18">
        <v>60.634148000000003</v>
      </c>
      <c r="BC44" s="18">
        <v>14.093166</v>
      </c>
      <c r="BD44" s="18">
        <v>77.070457000000005</v>
      </c>
      <c r="BE44" s="18">
        <v>42.711029000000003</v>
      </c>
      <c r="BF44" s="18">
        <v>155.30474899999999</v>
      </c>
      <c r="BG44" s="18">
        <v>40.522311999999999</v>
      </c>
      <c r="BH44" s="18">
        <v>45.621231000000002</v>
      </c>
      <c r="BI44" s="18">
        <v>93.874808999999999</v>
      </c>
      <c r="BJ44" s="18">
        <v>3.9407000000000001</v>
      </c>
      <c r="BK44" s="18">
        <v>62.663704000000003</v>
      </c>
      <c r="BL44" s="18">
        <v>171.07614100000001</v>
      </c>
      <c r="BM44" s="18">
        <v>111.59329200000001</v>
      </c>
      <c r="BN44" s="18">
        <v>55.032294999999998</v>
      </c>
      <c r="BO44" s="18">
        <v>111.4132</v>
      </c>
      <c r="BP44" s="18">
        <v>168.16172800000001</v>
      </c>
      <c r="BQ44" s="18">
        <v>116.920692</v>
      </c>
      <c r="BR44" s="18">
        <v>87.646889000000002</v>
      </c>
      <c r="BS44" s="18">
        <v>86.626998999999998</v>
      </c>
      <c r="BT44" s="18">
        <v>53.009998000000003</v>
      </c>
      <c r="BU44" s="18">
        <v>120.379997</v>
      </c>
      <c r="BV44" s="18">
        <v>54.473025999999997</v>
      </c>
      <c r="BW44" s="18">
        <v>33.168799999999997</v>
      </c>
      <c r="BX44" s="18">
        <v>50.508189999999999</v>
      </c>
      <c r="BY44" s="18">
        <v>81.800003000000004</v>
      </c>
      <c r="BZ44" s="18">
        <v>108.615379</v>
      </c>
      <c r="CA44" s="18">
        <v>75.290001000000004</v>
      </c>
      <c r="CB44" s="18">
        <v>89.360000999999997</v>
      </c>
      <c r="CC44" s="18">
        <v>56.653694000000002</v>
      </c>
      <c r="CD44" s="18">
        <v>123.94000200000001</v>
      </c>
      <c r="CE44" s="18">
        <v>13.303102000000001</v>
      </c>
      <c r="CF44" s="18">
        <v>13.74</v>
      </c>
    </row>
    <row r="45" spans="1:84" x14ac:dyDescent="0.25">
      <c r="A45" s="17">
        <v>42613</v>
      </c>
      <c r="B45" s="18">
        <v>102.908112</v>
      </c>
      <c r="C45" s="18">
        <v>29.075925999999999</v>
      </c>
      <c r="D45" s="18">
        <v>148.80960099999999</v>
      </c>
      <c r="E45" s="18">
        <v>92.302879000000004</v>
      </c>
      <c r="F45" s="18">
        <v>110.323723</v>
      </c>
      <c r="G45" s="18">
        <v>68.267753999999996</v>
      </c>
      <c r="H45" s="18">
        <v>40.965584</v>
      </c>
      <c r="I45" s="18">
        <v>212.779999</v>
      </c>
      <c r="J45" s="18">
        <v>98.750709999999998</v>
      </c>
      <c r="K45" s="18">
        <v>115.017921</v>
      </c>
      <c r="L45" s="18">
        <v>40.965584</v>
      </c>
      <c r="M45" s="18">
        <v>101.610252</v>
      </c>
      <c r="N45" s="18">
        <v>29.520793999999999</v>
      </c>
      <c r="O45" s="18">
        <v>212.009995</v>
      </c>
      <c r="P45" s="18">
        <v>81.669051999999994</v>
      </c>
      <c r="Q45" s="18">
        <v>93.844841000000002</v>
      </c>
      <c r="R45" s="18">
        <v>278.586456</v>
      </c>
      <c r="S45" s="18">
        <v>50.790244999999999</v>
      </c>
      <c r="T45" s="18">
        <v>133.96778900000001</v>
      </c>
      <c r="U45" s="18">
        <v>78.264977000000002</v>
      </c>
      <c r="V45" s="18">
        <v>102.994247</v>
      </c>
      <c r="W45" s="18">
        <v>28.762671999999998</v>
      </c>
      <c r="X45" s="18">
        <v>79.150802999999996</v>
      </c>
      <c r="Y45" s="18">
        <v>114.023788</v>
      </c>
      <c r="Z45" s="18">
        <v>32.577033999999998</v>
      </c>
      <c r="AA45" s="18">
        <v>59.498145999999998</v>
      </c>
      <c r="AB45" s="18">
        <v>132.440811</v>
      </c>
      <c r="AC45" s="18">
        <v>75.289642000000001</v>
      </c>
      <c r="AD45" s="18">
        <v>119.80735</v>
      </c>
      <c r="AE45" s="18">
        <v>122.279999</v>
      </c>
      <c r="AF45" s="18">
        <v>126.599998</v>
      </c>
      <c r="AG45" s="18">
        <v>230.50607299999999</v>
      </c>
      <c r="AH45" s="18">
        <v>129.00593599999999</v>
      </c>
      <c r="AI45" s="18">
        <v>69.702781999999999</v>
      </c>
      <c r="AJ45" s="18">
        <v>107.38381200000001</v>
      </c>
      <c r="AK45" s="18">
        <v>67.769645999999995</v>
      </c>
      <c r="AL45" s="18">
        <v>43.397060000000003</v>
      </c>
      <c r="AM45" s="18">
        <v>44.362330999999998</v>
      </c>
      <c r="AN45" s="18">
        <v>53.379764999999999</v>
      </c>
      <c r="AO45" s="18">
        <v>91.816413999999995</v>
      </c>
      <c r="AP45" s="18">
        <v>147.04394500000001</v>
      </c>
      <c r="AQ45" s="18">
        <v>413.73001099999999</v>
      </c>
      <c r="AR45" s="18">
        <v>37.569592</v>
      </c>
      <c r="AS45" s="18">
        <v>29.431733999999999</v>
      </c>
      <c r="AT45" s="18">
        <v>29.140812</v>
      </c>
      <c r="AU45" s="18">
        <v>71.417434999999998</v>
      </c>
      <c r="AV45" s="18">
        <v>44.677849000000002</v>
      </c>
      <c r="AW45" s="18">
        <v>114.243179</v>
      </c>
      <c r="AX45" s="18">
        <v>73.914871000000005</v>
      </c>
      <c r="AY45" s="18">
        <v>47.295219000000003</v>
      </c>
      <c r="AZ45" s="18">
        <v>99.307777000000002</v>
      </c>
      <c r="BA45" s="18">
        <v>86.400024000000002</v>
      </c>
      <c r="BB45" s="18">
        <v>64.478127000000001</v>
      </c>
      <c r="BC45" s="18">
        <v>15.697979999999999</v>
      </c>
      <c r="BD45" s="18">
        <v>79.884688999999995</v>
      </c>
      <c r="BE45" s="18">
        <v>46.711196999999999</v>
      </c>
      <c r="BF45" s="18">
        <v>165.71966599999999</v>
      </c>
      <c r="BG45" s="18">
        <v>42.424956999999999</v>
      </c>
      <c r="BH45" s="18">
        <v>48.312668000000002</v>
      </c>
      <c r="BI45" s="18">
        <v>95.450394000000003</v>
      </c>
      <c r="BJ45" s="18">
        <v>4.2265509999999997</v>
      </c>
      <c r="BK45" s="18">
        <v>63.752495000000003</v>
      </c>
      <c r="BL45" s="18">
        <v>171.92021199999999</v>
      </c>
      <c r="BM45" s="18">
        <v>111.957832</v>
      </c>
      <c r="BN45" s="18">
        <v>80.497710999999995</v>
      </c>
      <c r="BO45" s="18">
        <v>114.743996</v>
      </c>
      <c r="BP45" s="18">
        <v>175.57444799999999</v>
      </c>
      <c r="BQ45" s="18">
        <v>119.625389</v>
      </c>
      <c r="BR45" s="18">
        <v>91.573929000000007</v>
      </c>
      <c r="BS45" s="18">
        <v>96.870368999999997</v>
      </c>
      <c r="BT45" s="18">
        <v>69.959998999999996</v>
      </c>
      <c r="BU45" s="18">
        <v>128.14999399999999</v>
      </c>
      <c r="BV45" s="18">
        <v>55.222659999999998</v>
      </c>
      <c r="BW45" s="18">
        <v>34.148826999999997</v>
      </c>
      <c r="BX45" s="18">
        <v>48.182223999999998</v>
      </c>
      <c r="BY45" s="18">
        <v>79.419998000000007</v>
      </c>
      <c r="BZ45" s="18">
        <v>109.352684</v>
      </c>
      <c r="CA45" s="18">
        <v>72.980002999999996</v>
      </c>
      <c r="CB45" s="18">
        <v>95.089995999999999</v>
      </c>
      <c r="CC45" s="18">
        <v>60.860557999999997</v>
      </c>
      <c r="CD45" s="18">
        <v>126.120003</v>
      </c>
      <c r="CE45" s="18">
        <v>13.644938</v>
      </c>
      <c r="CF45" s="18">
        <v>16.489999999999998</v>
      </c>
    </row>
    <row r="46" spans="1:84" x14ac:dyDescent="0.25">
      <c r="A46" s="17">
        <v>42643</v>
      </c>
      <c r="B46" s="18">
        <v>110.24303399999999</v>
      </c>
      <c r="C46" s="18">
        <v>27.568149999999999</v>
      </c>
      <c r="D46" s="18">
        <v>150.066498</v>
      </c>
      <c r="E46" s="18">
        <v>90.739418000000001</v>
      </c>
      <c r="F46" s="18">
        <v>110.892723</v>
      </c>
      <c r="G46" s="18">
        <v>69.389319999999998</v>
      </c>
      <c r="H46" s="18">
        <v>39.918574999999997</v>
      </c>
      <c r="I46" s="18">
        <v>200.33999600000001</v>
      </c>
      <c r="J46" s="18">
        <v>92.822036999999995</v>
      </c>
      <c r="K46" s="18">
        <v>110.660538</v>
      </c>
      <c r="L46" s="18">
        <v>39.918574999999997</v>
      </c>
      <c r="M46" s="18">
        <v>104.264824</v>
      </c>
      <c r="N46" s="18">
        <v>27.709879000000001</v>
      </c>
      <c r="O46" s="18">
        <v>204.029999</v>
      </c>
      <c r="P46" s="18">
        <v>82.497810000000001</v>
      </c>
      <c r="Q46" s="18">
        <v>97.039955000000006</v>
      </c>
      <c r="R46" s="18">
        <v>272.44876099999999</v>
      </c>
      <c r="S46" s="18">
        <v>52.628436999999998</v>
      </c>
      <c r="T46" s="18">
        <v>138.21168499999999</v>
      </c>
      <c r="U46" s="18">
        <v>83.667289999999994</v>
      </c>
      <c r="V46" s="18">
        <v>98.835792999999995</v>
      </c>
      <c r="W46" s="18">
        <v>23.396570000000001</v>
      </c>
      <c r="X46" s="18">
        <v>80.085509999999999</v>
      </c>
      <c r="Y46" s="18">
        <v>113.620628</v>
      </c>
      <c r="Z46" s="18">
        <v>31.969995000000001</v>
      </c>
      <c r="AA46" s="18">
        <v>59.138064999999997</v>
      </c>
      <c r="AB46" s="18">
        <v>136.286011</v>
      </c>
      <c r="AC46" s="18">
        <v>75.369361999999995</v>
      </c>
      <c r="AD46" s="18">
        <v>122.582359</v>
      </c>
      <c r="AE46" s="18">
        <v>118.08000199999999</v>
      </c>
      <c r="AF46" s="18">
        <v>110.510002</v>
      </c>
      <c r="AG46" s="18">
        <v>226.34880100000001</v>
      </c>
      <c r="AH46" s="18">
        <v>124.408089</v>
      </c>
      <c r="AI46" s="18">
        <v>65.794028999999995</v>
      </c>
      <c r="AJ46" s="18">
        <v>115.125473</v>
      </c>
      <c r="AK46" s="18">
        <v>64.909644999999998</v>
      </c>
      <c r="AL46" s="18">
        <v>42.234554000000003</v>
      </c>
      <c r="AM46" s="18">
        <v>44.819572000000001</v>
      </c>
      <c r="AN46" s="18">
        <v>49.127749999999999</v>
      </c>
      <c r="AO46" s="18">
        <v>94.283835999999994</v>
      </c>
      <c r="AP46" s="18">
        <v>149.28544600000001</v>
      </c>
      <c r="AQ46" s="18">
        <v>423.5</v>
      </c>
      <c r="AR46" s="18">
        <v>38.805798000000003</v>
      </c>
      <c r="AS46" s="18">
        <v>31.141183999999999</v>
      </c>
      <c r="AT46" s="18">
        <v>29.382946</v>
      </c>
      <c r="AU46" s="18">
        <v>72.573158000000006</v>
      </c>
      <c r="AV46" s="18">
        <v>48.191212</v>
      </c>
      <c r="AW46" s="18">
        <v>116.359825</v>
      </c>
      <c r="AX46" s="18">
        <v>75.024535999999998</v>
      </c>
      <c r="AY46" s="18">
        <v>47.773502000000001</v>
      </c>
      <c r="AZ46" s="18">
        <v>101.737556</v>
      </c>
      <c r="BA46" s="18">
        <v>87.116157999999999</v>
      </c>
      <c r="BB46" s="18">
        <v>63.608871000000001</v>
      </c>
      <c r="BC46" s="18">
        <v>15.292237999999999</v>
      </c>
      <c r="BD46" s="18">
        <v>81.803818000000007</v>
      </c>
      <c r="BE46" s="18">
        <v>46.212181000000001</v>
      </c>
      <c r="BF46" s="18">
        <v>158.32716400000001</v>
      </c>
      <c r="BG46" s="18">
        <v>41.214184000000003</v>
      </c>
      <c r="BH46" s="18">
        <v>42.450088999999998</v>
      </c>
      <c r="BI46" s="18">
        <v>100.527657</v>
      </c>
      <c r="BJ46" s="18">
        <v>4.1605109999999996</v>
      </c>
      <c r="BK46" s="18">
        <v>62.255405000000003</v>
      </c>
      <c r="BL46" s="18">
        <v>170.08637999999999</v>
      </c>
      <c r="BM46" s="18">
        <v>112.421272</v>
      </c>
      <c r="BN46" s="18">
        <v>77.511550999999997</v>
      </c>
      <c r="BO46" s="18">
        <v>115.699806</v>
      </c>
      <c r="BP46" s="18">
        <v>180.439697</v>
      </c>
      <c r="BQ46" s="18">
        <v>123.041267</v>
      </c>
      <c r="BR46" s="18">
        <v>91.701331999999994</v>
      </c>
      <c r="BS46" s="18">
        <v>98.043823000000003</v>
      </c>
      <c r="BT46" s="18">
        <v>69.610000999999997</v>
      </c>
      <c r="BU46" s="18">
        <v>123.620003</v>
      </c>
      <c r="BV46" s="18">
        <v>55.702232000000002</v>
      </c>
      <c r="BW46" s="18">
        <v>36.190860999999998</v>
      </c>
      <c r="BX46" s="18">
        <v>47.859962000000003</v>
      </c>
      <c r="BY46" s="18">
        <v>71.330001999999993</v>
      </c>
      <c r="BZ46" s="18">
        <v>107.939789</v>
      </c>
      <c r="CA46" s="18">
        <v>80.830001999999993</v>
      </c>
      <c r="CB46" s="18">
        <v>92.610000999999997</v>
      </c>
      <c r="CC46" s="18">
        <v>68.109711000000004</v>
      </c>
      <c r="CD46" s="18">
        <v>128.270004</v>
      </c>
      <c r="CE46" s="18">
        <v>14.746407</v>
      </c>
      <c r="CF46" s="18">
        <v>17.780000999999999</v>
      </c>
    </row>
    <row r="47" spans="1:84" x14ac:dyDescent="0.25">
      <c r="A47" s="17">
        <v>42674</v>
      </c>
      <c r="B47" s="18">
        <v>110.720856</v>
      </c>
      <c r="C47" s="18">
        <v>27.295549000000001</v>
      </c>
      <c r="D47" s="18">
        <v>145.19180299999999</v>
      </c>
      <c r="E47" s="18">
        <v>90.573302999999996</v>
      </c>
      <c r="F47" s="18">
        <v>108.210762</v>
      </c>
      <c r="G47" s="18">
        <v>67.368827999999993</v>
      </c>
      <c r="H47" s="18">
        <v>40.320785999999998</v>
      </c>
      <c r="I47" s="18">
        <v>184.300003</v>
      </c>
      <c r="J47" s="18">
        <v>90.916893000000002</v>
      </c>
      <c r="K47" s="18">
        <v>111.955376</v>
      </c>
      <c r="L47" s="18">
        <v>40.320785999999998</v>
      </c>
      <c r="M47" s="18">
        <v>102.759857</v>
      </c>
      <c r="N47" s="18">
        <v>28.774557000000001</v>
      </c>
      <c r="O47" s="18">
        <v>197.729996</v>
      </c>
      <c r="P47" s="18">
        <v>78.754790999999997</v>
      </c>
      <c r="Q47" s="18">
        <v>98.765404000000004</v>
      </c>
      <c r="R47" s="18">
        <v>241.13282799999999</v>
      </c>
      <c r="S47" s="18">
        <v>50.946289</v>
      </c>
      <c r="T47" s="18">
        <v>127.00344800000001</v>
      </c>
      <c r="U47" s="18">
        <v>82.091971999999998</v>
      </c>
      <c r="V47" s="18">
        <v>97.452858000000006</v>
      </c>
      <c r="W47" s="18">
        <v>22.718864</v>
      </c>
      <c r="X47" s="18">
        <v>84.721183999999994</v>
      </c>
      <c r="Y47" s="18">
        <v>111.56234000000001</v>
      </c>
      <c r="Z47" s="18">
        <v>29.931173000000001</v>
      </c>
      <c r="AA47" s="18">
        <v>56.049537999999998</v>
      </c>
      <c r="AB47" s="18">
        <v>138.216049</v>
      </c>
      <c r="AC47" s="18">
        <v>76.266257999999993</v>
      </c>
      <c r="AD47" s="18">
        <v>120.08535000000001</v>
      </c>
      <c r="AE47" s="18">
        <v>120.07</v>
      </c>
      <c r="AF47" s="18">
        <v>101.510002</v>
      </c>
      <c r="AG47" s="18">
        <v>205.34637499999999</v>
      </c>
      <c r="AH47" s="18">
        <v>117.959518</v>
      </c>
      <c r="AI47" s="18">
        <v>67.421966999999995</v>
      </c>
      <c r="AJ47" s="18">
        <v>127.46457700000001</v>
      </c>
      <c r="AK47" s="18">
        <v>63.473221000000002</v>
      </c>
      <c r="AL47" s="18">
        <v>40.022896000000003</v>
      </c>
      <c r="AM47" s="18">
        <v>42.752045000000003</v>
      </c>
      <c r="AN47" s="18">
        <v>50.694805000000002</v>
      </c>
      <c r="AO47" s="18">
        <v>85.245041000000001</v>
      </c>
      <c r="AP47" s="18">
        <v>166.80372600000001</v>
      </c>
      <c r="AQ47" s="18">
        <v>360.76001000000002</v>
      </c>
      <c r="AR47" s="18">
        <v>38.737968000000002</v>
      </c>
      <c r="AS47" s="18">
        <v>30.083411999999999</v>
      </c>
      <c r="AT47" s="18">
        <v>29.595030000000001</v>
      </c>
      <c r="AU47" s="18">
        <v>71.797409000000002</v>
      </c>
      <c r="AV47" s="18">
        <v>50.458809000000002</v>
      </c>
      <c r="AW47" s="18">
        <v>121.763054</v>
      </c>
      <c r="AX47" s="18">
        <v>75.005782999999994</v>
      </c>
      <c r="AY47" s="18">
        <v>48.024943999999998</v>
      </c>
      <c r="AZ47" s="18">
        <v>102.34981500000001</v>
      </c>
      <c r="BA47" s="18">
        <v>90.043182000000002</v>
      </c>
      <c r="BB47" s="18">
        <v>66.159332000000006</v>
      </c>
      <c r="BC47" s="18">
        <v>16.122807000000002</v>
      </c>
      <c r="BD47" s="18">
        <v>81.615882999999997</v>
      </c>
      <c r="BE47" s="18">
        <v>48.090812999999997</v>
      </c>
      <c r="BF47" s="18">
        <v>174.98751799999999</v>
      </c>
      <c r="BG47" s="18">
        <v>43.293686000000001</v>
      </c>
      <c r="BH47" s="18">
        <v>44.108589000000002</v>
      </c>
      <c r="BI47" s="18">
        <v>105.713562</v>
      </c>
      <c r="BJ47" s="18">
        <v>4.5661839999999998</v>
      </c>
      <c r="BK47" s="18">
        <v>64.569084000000004</v>
      </c>
      <c r="BL47" s="18">
        <v>159.53739899999999</v>
      </c>
      <c r="BM47" s="18">
        <v>106.322052</v>
      </c>
      <c r="BN47" s="18">
        <v>77.795021000000006</v>
      </c>
      <c r="BO47" s="18">
        <v>110.248611</v>
      </c>
      <c r="BP47" s="18">
        <v>171.38162199999999</v>
      </c>
      <c r="BQ47" s="18">
        <v>122.72442599999999</v>
      </c>
      <c r="BR47" s="18">
        <v>84.713722000000004</v>
      </c>
      <c r="BS47" s="18">
        <v>98.535865999999999</v>
      </c>
      <c r="BT47" s="18">
        <v>65.839995999999999</v>
      </c>
      <c r="BU47" s="18">
        <v>112.110001</v>
      </c>
      <c r="BV47" s="18">
        <v>57.945788999999998</v>
      </c>
      <c r="BW47" s="18">
        <v>33.429813000000003</v>
      </c>
      <c r="BX47" s="18">
        <v>44.287502000000003</v>
      </c>
      <c r="BY47" s="18">
        <v>75.160004000000001</v>
      </c>
      <c r="BZ47" s="18">
        <v>106.69367200000001</v>
      </c>
      <c r="CA47" s="18">
        <v>77.449996999999996</v>
      </c>
      <c r="CB47" s="18">
        <v>91.349997999999999</v>
      </c>
      <c r="CC47" s="18">
        <v>70.733909999999995</v>
      </c>
      <c r="CD47" s="18">
        <v>130.990005</v>
      </c>
      <c r="CE47" s="18">
        <v>13.881218000000001</v>
      </c>
      <c r="CF47" s="18">
        <v>17.16</v>
      </c>
    </row>
    <row r="48" spans="1:84" x14ac:dyDescent="0.25">
      <c r="A48" s="17">
        <v>42704</v>
      </c>
      <c r="B48" s="18">
        <v>107.775841</v>
      </c>
      <c r="C48" s="18">
        <v>28.852615</v>
      </c>
      <c r="D48" s="18">
        <v>153.25015300000001</v>
      </c>
      <c r="E48" s="18">
        <v>96.856476000000001</v>
      </c>
      <c r="F48" s="18">
        <v>114.65130600000001</v>
      </c>
      <c r="G48" s="18">
        <v>67.763312999999997</v>
      </c>
      <c r="H48" s="18">
        <v>38.371307000000002</v>
      </c>
      <c r="I48" s="18">
        <v>197.44000199999999</v>
      </c>
      <c r="J48" s="18">
        <v>98.802643000000003</v>
      </c>
      <c r="K48" s="18">
        <v>114.73344400000001</v>
      </c>
      <c r="L48" s="18">
        <v>38.371307000000002</v>
      </c>
      <c r="M48" s="18">
        <v>95.953925999999996</v>
      </c>
      <c r="N48" s="18">
        <v>28.687742</v>
      </c>
      <c r="O48" s="18">
        <v>189.39999399999999</v>
      </c>
      <c r="P48" s="18">
        <v>82.516730999999993</v>
      </c>
      <c r="Q48" s="18">
        <v>105.18634</v>
      </c>
      <c r="R48" s="18">
        <v>264.58041400000002</v>
      </c>
      <c r="S48" s="18">
        <v>58.206062000000003</v>
      </c>
      <c r="T48" s="18">
        <v>117.554436</v>
      </c>
      <c r="U48" s="18">
        <v>86.248160999999996</v>
      </c>
      <c r="V48" s="18">
        <v>99.856880000000004</v>
      </c>
      <c r="W48" s="18">
        <v>27.420984000000001</v>
      </c>
      <c r="X48" s="18">
        <v>87.779563999999993</v>
      </c>
      <c r="Y48" s="18">
        <v>107.05136899999999</v>
      </c>
      <c r="Z48" s="18">
        <v>30.337049</v>
      </c>
      <c r="AA48" s="18">
        <v>58.407207</v>
      </c>
      <c r="AB48" s="18">
        <v>154.83171100000001</v>
      </c>
      <c r="AC48" s="18">
        <v>70.645698999999993</v>
      </c>
      <c r="AD48" s="18">
        <v>122.38339999999999</v>
      </c>
      <c r="AE48" s="18">
        <v>125.610001</v>
      </c>
      <c r="AF48" s="18">
        <v>102.160004</v>
      </c>
      <c r="AG48" s="18">
        <v>190.95815999999999</v>
      </c>
      <c r="AH48" s="18">
        <v>125.104187</v>
      </c>
      <c r="AI48" s="18">
        <v>77.314453</v>
      </c>
      <c r="AJ48" s="18">
        <v>122.355339</v>
      </c>
      <c r="AK48" s="18">
        <v>69.402137999999994</v>
      </c>
      <c r="AL48" s="18">
        <v>41.909908000000001</v>
      </c>
      <c r="AM48" s="18">
        <v>52.065849</v>
      </c>
      <c r="AN48" s="18">
        <v>51.243774000000002</v>
      </c>
      <c r="AO48" s="18">
        <v>97.957358999999997</v>
      </c>
      <c r="AP48" s="18">
        <v>165.62098700000001</v>
      </c>
      <c r="AQ48" s="18">
        <v>396.32998700000002</v>
      </c>
      <c r="AR48" s="18">
        <v>41.082794</v>
      </c>
      <c r="AS48" s="18">
        <v>33.528441999999998</v>
      </c>
      <c r="AT48" s="18">
        <v>28.659941</v>
      </c>
      <c r="AU48" s="18">
        <v>70.274940000000001</v>
      </c>
      <c r="AV48" s="18">
        <v>52.832999999999998</v>
      </c>
      <c r="AW48" s="18">
        <v>108.664024</v>
      </c>
      <c r="AX48" s="18">
        <v>69.147414999999995</v>
      </c>
      <c r="AY48" s="18">
        <v>43.601467</v>
      </c>
      <c r="AZ48" s="18">
        <v>95.373596000000006</v>
      </c>
      <c r="BA48" s="18">
        <v>87.304642000000001</v>
      </c>
      <c r="BB48" s="18">
        <v>77.137603999999996</v>
      </c>
      <c r="BC48" s="18">
        <v>20.637197</v>
      </c>
      <c r="BD48" s="18">
        <v>76.482123999999999</v>
      </c>
      <c r="BE48" s="18">
        <v>55.174782</v>
      </c>
      <c r="BF48" s="18">
        <v>215.28843699999999</v>
      </c>
      <c r="BG48" s="18">
        <v>47.994480000000003</v>
      </c>
      <c r="BH48" s="18">
        <v>50.733024999999998</v>
      </c>
      <c r="BI48" s="18">
        <v>101.142258</v>
      </c>
      <c r="BJ48" s="18">
        <v>4.3130750000000004</v>
      </c>
      <c r="BK48" s="18">
        <v>70.384888000000004</v>
      </c>
      <c r="BL48" s="18">
        <v>165.752914</v>
      </c>
      <c r="BM48" s="18">
        <v>110.451622</v>
      </c>
      <c r="BN48" s="18">
        <v>77.418671000000003</v>
      </c>
      <c r="BO48" s="18">
        <v>121.519066</v>
      </c>
      <c r="BP48" s="18">
        <v>179.39061000000001</v>
      </c>
      <c r="BQ48" s="18">
        <v>136.127914</v>
      </c>
      <c r="BR48" s="18">
        <v>92.098770000000002</v>
      </c>
      <c r="BS48" s="18">
        <v>105.03079200000001</v>
      </c>
      <c r="BT48" s="18">
        <v>79.050003000000004</v>
      </c>
      <c r="BU48" s="18">
        <v>136.979996</v>
      </c>
      <c r="BV48" s="18">
        <v>58.274590000000003</v>
      </c>
      <c r="BW48" s="18">
        <v>33.266834000000003</v>
      </c>
      <c r="BX48" s="18">
        <v>46.468353</v>
      </c>
      <c r="BY48" s="18">
        <v>72</v>
      </c>
      <c r="BZ48" s="18">
        <v>111.888542</v>
      </c>
      <c r="CA48" s="18">
        <v>79.110000999999997</v>
      </c>
      <c r="CB48" s="18">
        <v>94.029999000000004</v>
      </c>
      <c r="CC48" s="18">
        <v>91.647925999999998</v>
      </c>
      <c r="CD48" s="18">
        <v>118.41999800000001</v>
      </c>
      <c r="CE48" s="18">
        <v>14.752985000000001</v>
      </c>
      <c r="CF48" s="18">
        <v>19.530000999999999</v>
      </c>
    </row>
    <row r="49" spans="1:84" x14ac:dyDescent="0.25">
      <c r="A49" s="17">
        <v>42735</v>
      </c>
      <c r="B49" s="18">
        <v>113.52413199999999</v>
      </c>
      <c r="C49" s="18">
        <v>29.640529999999998</v>
      </c>
      <c r="D49" s="18">
        <v>158.23429899999999</v>
      </c>
      <c r="E49" s="18">
        <v>101.839996</v>
      </c>
      <c r="F49" s="18">
        <v>117.91630600000001</v>
      </c>
      <c r="G49" s="18">
        <v>66.502914000000004</v>
      </c>
      <c r="H49" s="18">
        <v>40.278061000000001</v>
      </c>
      <c r="I49" s="18">
        <v>199.679993</v>
      </c>
      <c r="J49" s="18">
        <v>102.811424</v>
      </c>
      <c r="K49" s="18">
        <v>113.446045</v>
      </c>
      <c r="L49" s="18">
        <v>40.278061000000001</v>
      </c>
      <c r="M49" s="18">
        <v>101.037781</v>
      </c>
      <c r="N49" s="18">
        <v>28.157202000000002</v>
      </c>
      <c r="O49" s="18">
        <v>213.69000199999999</v>
      </c>
      <c r="P49" s="18">
        <v>86.069984000000005</v>
      </c>
      <c r="Q49" s="18">
        <v>112.08654</v>
      </c>
      <c r="R49" s="18">
        <v>265.48855600000002</v>
      </c>
      <c r="S49" s="18">
        <v>55.268639</v>
      </c>
      <c r="T49" s="18">
        <v>114.427429</v>
      </c>
      <c r="U49" s="18">
        <v>89.107376000000002</v>
      </c>
      <c r="V49" s="18">
        <v>102.28743</v>
      </c>
      <c r="W49" s="18">
        <v>28.606556000000001</v>
      </c>
      <c r="X49" s="18">
        <v>92.934059000000005</v>
      </c>
      <c r="Y49" s="18">
        <v>111.577843</v>
      </c>
      <c r="Z49" s="18">
        <v>30.220158000000001</v>
      </c>
      <c r="AA49" s="18">
        <v>56.192718999999997</v>
      </c>
      <c r="AB49" s="18">
        <v>157.13700900000001</v>
      </c>
      <c r="AC49" s="18">
        <v>73.764908000000005</v>
      </c>
      <c r="AD49" s="18">
        <v>105.91578699999999</v>
      </c>
      <c r="AE49" s="18">
        <v>143.429993</v>
      </c>
      <c r="AF49" s="18">
        <v>105.269997</v>
      </c>
      <c r="AG49" s="18">
        <v>206.397964</v>
      </c>
      <c r="AH49" s="18">
        <v>130.317139</v>
      </c>
      <c r="AI49" s="18">
        <v>81.458693999999994</v>
      </c>
      <c r="AJ49" s="18">
        <v>122.632774</v>
      </c>
      <c r="AK49" s="18">
        <v>74.123305999999999</v>
      </c>
      <c r="AL49" s="18">
        <v>44.973759000000001</v>
      </c>
      <c r="AM49" s="18">
        <v>51.529086999999997</v>
      </c>
      <c r="AN49" s="18">
        <v>55.156424999999999</v>
      </c>
      <c r="AO49" s="18">
        <v>100.82659099999999</v>
      </c>
      <c r="AP49" s="18">
        <v>156.947678</v>
      </c>
      <c r="AQ49" s="18">
        <v>377.32000699999998</v>
      </c>
      <c r="AR49" s="18">
        <v>44.414409999999997</v>
      </c>
      <c r="AS49" s="18">
        <v>33.082653000000001</v>
      </c>
      <c r="AT49" s="18">
        <v>29.208506</v>
      </c>
      <c r="AU49" s="18">
        <v>70.543030000000002</v>
      </c>
      <c r="AV49" s="18">
        <v>54.395561000000001</v>
      </c>
      <c r="AW49" s="18">
        <v>115.392342</v>
      </c>
      <c r="AX49" s="18">
        <v>73.584770000000006</v>
      </c>
      <c r="AY49" s="18">
        <v>46.344428999999998</v>
      </c>
      <c r="AZ49" s="18">
        <v>96.176322999999996</v>
      </c>
      <c r="BA49" s="18">
        <v>92.387810000000002</v>
      </c>
      <c r="BB49" s="18">
        <v>82.256371000000001</v>
      </c>
      <c r="BC49" s="18">
        <v>22.645869999999999</v>
      </c>
      <c r="BD49" s="18">
        <v>77.336951999999997</v>
      </c>
      <c r="BE49" s="18">
        <v>58.341579000000003</v>
      </c>
      <c r="BF49" s="18">
        <v>235.80921900000001</v>
      </c>
      <c r="BG49" s="18">
        <v>49.687148999999998</v>
      </c>
      <c r="BH49" s="18">
        <v>53.272697000000001</v>
      </c>
      <c r="BI49" s="18">
        <v>102.18139600000001</v>
      </c>
      <c r="BJ49" s="18">
        <v>4.9428599999999996</v>
      </c>
      <c r="BK49" s="18">
        <v>72.378021000000004</v>
      </c>
      <c r="BL49" s="18">
        <v>173.37204</v>
      </c>
      <c r="BM49" s="18">
        <v>112.967232</v>
      </c>
      <c r="BN49" s="18">
        <v>77.349350000000001</v>
      </c>
      <c r="BO49" s="18">
        <v>123.305267</v>
      </c>
      <c r="BP49" s="18">
        <v>184.03607199999999</v>
      </c>
      <c r="BQ49" s="18">
        <v>137.60972599999999</v>
      </c>
      <c r="BR49" s="18">
        <v>88.606087000000002</v>
      </c>
      <c r="BS49" s="18">
        <v>110.26608299999999</v>
      </c>
      <c r="BT49" s="18">
        <v>85.760002</v>
      </c>
      <c r="BU49" s="18">
        <v>142.199997</v>
      </c>
      <c r="BV49" s="18">
        <v>60.498607999999997</v>
      </c>
      <c r="BW49" s="18">
        <v>35.035266999999997</v>
      </c>
      <c r="BX49" s="18">
        <v>49.709026000000001</v>
      </c>
      <c r="BY49" s="18">
        <v>68.459998999999996</v>
      </c>
      <c r="BZ49" s="18">
        <v>112.803894</v>
      </c>
      <c r="CA49" s="18">
        <v>69.699996999999996</v>
      </c>
      <c r="CB49" s="18">
        <v>92.489998</v>
      </c>
      <c r="CC49" s="18">
        <v>106.25972</v>
      </c>
      <c r="CD49" s="18">
        <v>115.050003</v>
      </c>
      <c r="CE49" s="18">
        <v>14.216514</v>
      </c>
      <c r="CF49" s="18">
        <v>21.92</v>
      </c>
    </row>
    <row r="50" spans="1:84" x14ac:dyDescent="0.25">
      <c r="A50" s="17">
        <v>42766</v>
      </c>
      <c r="B50" s="18">
        <v>118.94450399999999</v>
      </c>
      <c r="C50" s="18">
        <v>28.068000999999999</v>
      </c>
      <c r="D50" s="18">
        <v>166.36575300000001</v>
      </c>
      <c r="E50" s="18">
        <v>108.956436</v>
      </c>
      <c r="F50" s="18">
        <v>118.739746</v>
      </c>
      <c r="G50" s="18">
        <v>64.672614999999993</v>
      </c>
      <c r="H50" s="18">
        <v>39.865687999999999</v>
      </c>
      <c r="I50" s="18">
        <v>215.83999600000001</v>
      </c>
      <c r="J50" s="18">
        <v>104.013565</v>
      </c>
      <c r="K50" s="18">
        <v>112.04248800000001</v>
      </c>
      <c r="L50" s="18">
        <v>39.865687999999999</v>
      </c>
      <c r="M50" s="18">
        <v>100.21695699999999</v>
      </c>
      <c r="N50" s="18">
        <v>28.872242</v>
      </c>
      <c r="O50" s="18">
        <v>251.929993</v>
      </c>
      <c r="P50" s="18">
        <v>79.995682000000002</v>
      </c>
      <c r="Q50" s="18">
        <v>106.03939099999999</v>
      </c>
      <c r="R50" s="18">
        <v>300.13424700000002</v>
      </c>
      <c r="S50" s="18">
        <v>61.112366000000002</v>
      </c>
      <c r="T50" s="18">
        <v>114.43898799999999</v>
      </c>
      <c r="U50" s="18">
        <v>91.328377000000003</v>
      </c>
      <c r="V50" s="18">
        <v>105.301315</v>
      </c>
      <c r="W50" s="18">
        <v>30.596239000000001</v>
      </c>
      <c r="X50" s="18">
        <v>89.452072000000001</v>
      </c>
      <c r="Y50" s="18">
        <v>109.679642</v>
      </c>
      <c r="Z50" s="18">
        <v>30.248754999999999</v>
      </c>
      <c r="AA50" s="18">
        <v>59.624873999999998</v>
      </c>
      <c r="AB50" s="18">
        <v>159.15965299999999</v>
      </c>
      <c r="AC50" s="18">
        <v>80.003333999999995</v>
      </c>
      <c r="AD50" s="18">
        <v>112.138519</v>
      </c>
      <c r="AE50" s="18">
        <v>163.63000500000001</v>
      </c>
      <c r="AF50" s="18">
        <v>104.489998</v>
      </c>
      <c r="AG50" s="18">
        <v>215.12524400000001</v>
      </c>
      <c r="AH50" s="18">
        <v>133.718887</v>
      </c>
      <c r="AI50" s="18">
        <v>83.350326999999993</v>
      </c>
      <c r="AJ50" s="18">
        <v>120.191193</v>
      </c>
      <c r="AK50" s="18">
        <v>76.734154000000004</v>
      </c>
      <c r="AL50" s="18">
        <v>47.104258999999999</v>
      </c>
      <c r="AM50" s="18">
        <v>53.705952000000003</v>
      </c>
      <c r="AN50" s="18">
        <v>54.607455999999999</v>
      </c>
      <c r="AO50" s="18">
        <v>103.646782</v>
      </c>
      <c r="AP50" s="18">
        <v>172.43220500000001</v>
      </c>
      <c r="AQ50" s="18">
        <v>421.44000199999999</v>
      </c>
      <c r="AR50" s="18">
        <v>42.679164999999998</v>
      </c>
      <c r="AS50" s="18">
        <v>33.668182000000002</v>
      </c>
      <c r="AT50" s="18">
        <v>29.509325</v>
      </c>
      <c r="AU50" s="18">
        <v>71.595917</v>
      </c>
      <c r="AV50" s="18">
        <v>52.632702000000002</v>
      </c>
      <c r="AW50" s="18">
        <v>119.507301</v>
      </c>
      <c r="AX50" s="18">
        <v>74.456940000000003</v>
      </c>
      <c r="AY50" s="18">
        <v>46.570549</v>
      </c>
      <c r="AZ50" s="18">
        <v>98.600364999999996</v>
      </c>
      <c r="BA50" s="18">
        <v>93.304039000000003</v>
      </c>
      <c r="BB50" s="18">
        <v>81.428909000000004</v>
      </c>
      <c r="BC50" s="18">
        <v>22.204522999999998</v>
      </c>
      <c r="BD50" s="18">
        <v>81.985900999999998</v>
      </c>
      <c r="BE50" s="18">
        <v>54.807513999999998</v>
      </c>
      <c r="BF50" s="18">
        <v>225.83325199999999</v>
      </c>
      <c r="BG50" s="18">
        <v>51.199275999999998</v>
      </c>
      <c r="BH50" s="18">
        <v>54.452030000000001</v>
      </c>
      <c r="BI50" s="18">
        <v>105.229523</v>
      </c>
      <c r="BJ50" s="18">
        <v>5.3054629999999996</v>
      </c>
      <c r="BK50" s="18">
        <v>74.625174999999999</v>
      </c>
      <c r="BL50" s="18">
        <v>169.80729700000001</v>
      </c>
      <c r="BM50" s="18">
        <v>115.37578600000001</v>
      </c>
      <c r="BN50" s="18">
        <v>83.245422000000005</v>
      </c>
      <c r="BO50" s="18">
        <v>124.12436700000001</v>
      </c>
      <c r="BP50" s="18">
        <v>190.02865600000001</v>
      </c>
      <c r="BQ50" s="18">
        <v>142.21443199999999</v>
      </c>
      <c r="BR50" s="18">
        <v>88.704459999999997</v>
      </c>
      <c r="BS50" s="18">
        <v>112.01181800000001</v>
      </c>
      <c r="BT50" s="18">
        <v>83.669998000000007</v>
      </c>
      <c r="BU50" s="18">
        <v>134.179993</v>
      </c>
      <c r="BV50" s="18">
        <v>62.942309999999999</v>
      </c>
      <c r="BW50" s="18">
        <v>35.566540000000003</v>
      </c>
      <c r="BX50" s="18">
        <v>45.639552999999999</v>
      </c>
      <c r="BY50" s="18">
        <v>79.099997999999999</v>
      </c>
      <c r="BZ50" s="18">
        <v>116.71133399999999</v>
      </c>
      <c r="CA50" s="18">
        <v>75.879997000000003</v>
      </c>
      <c r="CB50" s="18">
        <v>93.260002</v>
      </c>
      <c r="CC50" s="18">
        <v>108.68873600000001</v>
      </c>
      <c r="CD50" s="18">
        <v>130.320007</v>
      </c>
      <c r="CE50" s="18">
        <v>14.539963</v>
      </c>
      <c r="CF50" s="18">
        <v>24.110001</v>
      </c>
    </row>
    <row r="51" spans="1:84" x14ac:dyDescent="0.25">
      <c r="A51" s="17">
        <v>42794</v>
      </c>
      <c r="B51" s="18">
        <v>134.274475</v>
      </c>
      <c r="C51" s="18">
        <v>28.171956999999999</v>
      </c>
      <c r="D51" s="18">
        <v>171.41810599999999</v>
      </c>
      <c r="E51" s="18">
        <v>108.40501399999999</v>
      </c>
      <c r="F51" s="18">
        <v>123.661011</v>
      </c>
      <c r="G51" s="18">
        <v>68.732826000000003</v>
      </c>
      <c r="H51" s="18">
        <v>40.239693000000003</v>
      </c>
      <c r="I51" s="18">
        <v>226.36000100000001</v>
      </c>
      <c r="J51" s="18">
        <v>113.02951</v>
      </c>
      <c r="K51" s="18">
        <v>109.525772</v>
      </c>
      <c r="L51" s="18">
        <v>40.239693000000003</v>
      </c>
      <c r="M51" s="18">
        <v>106.590363</v>
      </c>
      <c r="N51" s="18">
        <v>30.086586</v>
      </c>
      <c r="O51" s="18">
        <v>249.990005</v>
      </c>
      <c r="P51" s="18">
        <v>77.544998000000007</v>
      </c>
      <c r="Q51" s="18">
        <v>107.13454400000001</v>
      </c>
      <c r="R51" s="18">
        <v>304.80706800000002</v>
      </c>
      <c r="S51" s="18">
        <v>62.612782000000003</v>
      </c>
      <c r="T51" s="18">
        <v>122.728264</v>
      </c>
      <c r="U51" s="18">
        <v>100.0728</v>
      </c>
      <c r="V51" s="18">
        <v>111.23838000000001</v>
      </c>
      <c r="W51" s="18">
        <v>30.420679</v>
      </c>
      <c r="X51" s="18">
        <v>88.148750000000007</v>
      </c>
      <c r="Y51" s="18">
        <v>118.357162</v>
      </c>
      <c r="Z51" s="18">
        <v>32.527183999999998</v>
      </c>
      <c r="AA51" s="18">
        <v>63.356831</v>
      </c>
      <c r="AB51" s="18">
        <v>162.38017300000001</v>
      </c>
      <c r="AC51" s="18">
        <v>86.939346</v>
      </c>
      <c r="AD51" s="18">
        <v>125.05192599999999</v>
      </c>
      <c r="AE51" s="18">
        <v>147.720001</v>
      </c>
      <c r="AF51" s="18">
        <v>119.910004</v>
      </c>
      <c r="AG51" s="18">
        <v>240.609253</v>
      </c>
      <c r="AH51" s="18">
        <v>140.84318500000001</v>
      </c>
      <c r="AI51" s="18">
        <v>85.705032000000003</v>
      </c>
      <c r="AJ51" s="18">
        <v>117.67053199999999</v>
      </c>
      <c r="AK51" s="18">
        <v>80.791190999999998</v>
      </c>
      <c r="AL51" s="18">
        <v>47.723117999999999</v>
      </c>
      <c r="AM51" s="18">
        <v>57.622321999999997</v>
      </c>
      <c r="AN51" s="18">
        <v>51.243774000000002</v>
      </c>
      <c r="AO51" s="18">
        <v>104.969353</v>
      </c>
      <c r="AP51" s="18">
        <v>187.517822</v>
      </c>
      <c r="AQ51" s="18">
        <v>418.73998999999998</v>
      </c>
      <c r="AR51" s="18">
        <v>43.595531000000001</v>
      </c>
      <c r="AS51" s="18">
        <v>35.863934</v>
      </c>
      <c r="AT51" s="18">
        <v>30.799931000000001</v>
      </c>
      <c r="AU51" s="18">
        <v>76.041420000000002</v>
      </c>
      <c r="AV51" s="18">
        <v>55.564312000000001</v>
      </c>
      <c r="AW51" s="18">
        <v>126.539406</v>
      </c>
      <c r="AX51" s="18">
        <v>78.258476000000002</v>
      </c>
      <c r="AY51" s="18">
        <v>47.880138000000002</v>
      </c>
      <c r="AZ51" s="18">
        <v>106.20797</v>
      </c>
      <c r="BA51" s="18">
        <v>95.895804999999996</v>
      </c>
      <c r="BB51" s="18">
        <v>87.674796999999998</v>
      </c>
      <c r="BC51" s="18">
        <v>24.205283999999999</v>
      </c>
      <c r="BD51" s="18">
        <v>87.170113000000001</v>
      </c>
      <c r="BE51" s="18">
        <v>58.714621999999999</v>
      </c>
      <c r="BF51" s="18">
        <v>244.28831500000001</v>
      </c>
      <c r="BG51" s="18">
        <v>53.484524</v>
      </c>
      <c r="BH51" s="18">
        <v>55.950352000000002</v>
      </c>
      <c r="BI51" s="18">
        <v>109.543289</v>
      </c>
      <c r="BJ51" s="18">
        <v>5.2184730000000004</v>
      </c>
      <c r="BK51" s="18">
        <v>78.554230000000004</v>
      </c>
      <c r="BL51" s="18">
        <v>181.00668300000001</v>
      </c>
      <c r="BM51" s="18">
        <v>121.402</v>
      </c>
      <c r="BN51" s="18">
        <v>84.862328000000005</v>
      </c>
      <c r="BO51" s="18">
        <v>128.818039</v>
      </c>
      <c r="BP51" s="18">
        <v>207.60609400000001</v>
      </c>
      <c r="BQ51" s="18">
        <v>143.64617899999999</v>
      </c>
      <c r="BR51" s="18">
        <v>91.042563999999999</v>
      </c>
      <c r="BS51" s="18">
        <v>118.43476099999999</v>
      </c>
      <c r="BT51" s="18">
        <v>90.709998999999996</v>
      </c>
      <c r="BU51" s="18">
        <v>138.71000699999999</v>
      </c>
      <c r="BV51" s="18">
        <v>62.290005000000001</v>
      </c>
      <c r="BW51" s="18">
        <v>34.967650999999996</v>
      </c>
      <c r="BX51" s="18">
        <v>46.710608999999998</v>
      </c>
      <c r="BY51" s="18">
        <v>81.349997999999999</v>
      </c>
      <c r="BZ51" s="18">
        <v>123.827133</v>
      </c>
      <c r="CA51" s="18">
        <v>82.809997999999993</v>
      </c>
      <c r="CB51" s="18">
        <v>106.760002</v>
      </c>
      <c r="CC51" s="18">
        <v>101.02338399999999</v>
      </c>
      <c r="CD51" s="18">
        <v>135.53999300000001</v>
      </c>
      <c r="CE51" s="18">
        <v>16.78134</v>
      </c>
      <c r="CF51" s="18">
        <v>23.440000999999999</v>
      </c>
    </row>
    <row r="52" spans="1:84" x14ac:dyDescent="0.25">
      <c r="A52" s="17">
        <v>42825</v>
      </c>
      <c r="B52" s="18">
        <v>141.42276000000001</v>
      </c>
      <c r="C52" s="18">
        <v>28.387132999999999</v>
      </c>
      <c r="D52" s="18">
        <v>167.31608600000001</v>
      </c>
      <c r="E52" s="18">
        <v>111.65451</v>
      </c>
      <c r="F52" s="18">
        <v>126.483925</v>
      </c>
      <c r="G52" s="18">
        <v>69.847190999999995</v>
      </c>
      <c r="H52" s="18">
        <v>40.700012000000001</v>
      </c>
      <c r="I52" s="18">
        <v>229.490005</v>
      </c>
      <c r="J52" s="18">
        <v>117.58182499999999</v>
      </c>
      <c r="K52" s="18">
        <v>105.140869</v>
      </c>
      <c r="L52" s="18">
        <v>40.700012000000001</v>
      </c>
      <c r="M52" s="18">
        <v>108.019554</v>
      </c>
      <c r="N52" s="18">
        <v>29.396839</v>
      </c>
      <c r="O52" s="18">
        <v>278.29998799999998</v>
      </c>
      <c r="P52" s="18">
        <v>78.918053</v>
      </c>
      <c r="Q52" s="18">
        <v>103.227936</v>
      </c>
      <c r="R52" s="18">
        <v>307.27298000000002</v>
      </c>
      <c r="S52" s="18">
        <v>65.395622000000003</v>
      </c>
      <c r="T52" s="18">
        <v>129.39679000000001</v>
      </c>
      <c r="U52" s="18">
        <v>104.144318</v>
      </c>
      <c r="V52" s="18">
        <v>110.622719</v>
      </c>
      <c r="W52" s="18">
        <v>28.710588000000001</v>
      </c>
      <c r="X52" s="18">
        <v>91.314857000000003</v>
      </c>
      <c r="Y52" s="18">
        <v>121.42157</v>
      </c>
      <c r="Z52" s="18">
        <v>32.945236000000001</v>
      </c>
      <c r="AA52" s="18">
        <v>61.115738</v>
      </c>
      <c r="AB52" s="18">
        <v>161.03500399999999</v>
      </c>
      <c r="AC52" s="18">
        <v>88.683318999999997</v>
      </c>
      <c r="AD52" s="18">
        <v>124.005363</v>
      </c>
      <c r="AE52" s="18">
        <v>135.38000500000001</v>
      </c>
      <c r="AF52" s="18">
        <v>116.620003</v>
      </c>
      <c r="AG52" s="18">
        <v>235.477982</v>
      </c>
      <c r="AH52" s="18">
        <v>142.70929000000001</v>
      </c>
      <c r="AI52" s="18">
        <v>93.106269999999995</v>
      </c>
      <c r="AJ52" s="18">
        <v>124.718498</v>
      </c>
      <c r="AK52" s="18">
        <v>81.810310000000001</v>
      </c>
      <c r="AL52" s="18">
        <v>49.640560000000001</v>
      </c>
      <c r="AM52" s="18">
        <v>61.677852999999999</v>
      </c>
      <c r="AN52" s="18">
        <v>53.878825999999997</v>
      </c>
      <c r="AO52" s="18">
        <v>103.59232299999999</v>
      </c>
      <c r="AP52" s="18">
        <v>182.07437100000001</v>
      </c>
      <c r="AQ52" s="18">
        <v>445.51998900000001</v>
      </c>
      <c r="AR52" s="18">
        <v>43.422336999999999</v>
      </c>
      <c r="AS52" s="18">
        <v>35.173782000000003</v>
      </c>
      <c r="AT52" s="18">
        <v>31.395617000000001</v>
      </c>
      <c r="AU52" s="18">
        <v>76.208732999999995</v>
      </c>
      <c r="AV52" s="18">
        <v>52.029102000000002</v>
      </c>
      <c r="AW52" s="18">
        <v>124.949341</v>
      </c>
      <c r="AX52" s="18">
        <v>78.607772999999995</v>
      </c>
      <c r="AY52" s="18">
        <v>47.449879000000003</v>
      </c>
      <c r="AZ52" s="18">
        <v>106.410194</v>
      </c>
      <c r="BA52" s="18">
        <v>96.586333999999994</v>
      </c>
      <c r="BB52" s="18">
        <v>84.985138000000006</v>
      </c>
      <c r="BC52" s="18">
        <v>23.136251000000001</v>
      </c>
      <c r="BD52" s="18">
        <v>88.259651000000005</v>
      </c>
      <c r="BE52" s="18">
        <v>58.892550999999997</v>
      </c>
      <c r="BF52" s="18">
        <v>226.81849700000001</v>
      </c>
      <c r="BG52" s="18">
        <v>50.080962999999997</v>
      </c>
      <c r="BH52" s="18">
        <v>54.169787999999997</v>
      </c>
      <c r="BI52" s="18">
        <v>111.536613</v>
      </c>
      <c r="BJ52" s="18">
        <v>5.8551080000000004</v>
      </c>
      <c r="BK52" s="18">
        <v>77.622101000000001</v>
      </c>
      <c r="BL52" s="18">
        <v>187.05418399999999</v>
      </c>
      <c r="BM52" s="18">
        <v>122.415558</v>
      </c>
      <c r="BN52" s="18">
        <v>84.842483999999999</v>
      </c>
      <c r="BO52" s="18">
        <v>129.26693700000001</v>
      </c>
      <c r="BP52" s="18">
        <v>204.91674800000001</v>
      </c>
      <c r="BQ52" s="18">
        <v>147.24453700000001</v>
      </c>
      <c r="BR52" s="18">
        <v>92.346137999999996</v>
      </c>
      <c r="BS52" s="18">
        <v>121.470795</v>
      </c>
      <c r="BT52" s="18">
        <v>91.25</v>
      </c>
      <c r="BU52" s="18">
        <v>136.449997</v>
      </c>
      <c r="BV52" s="18">
        <v>64.509071000000006</v>
      </c>
      <c r="BW52" s="18">
        <v>35.090805000000003</v>
      </c>
      <c r="BX52" s="18">
        <v>45.882370000000002</v>
      </c>
      <c r="BY52" s="18">
        <v>82.489998</v>
      </c>
      <c r="BZ52" s="18">
        <v>114.498634</v>
      </c>
      <c r="CA52" s="18">
        <v>86.5</v>
      </c>
      <c r="CB52" s="18">
        <v>106.870003</v>
      </c>
      <c r="CC52" s="18">
        <v>108.576714</v>
      </c>
      <c r="CD52" s="18">
        <v>142.050003</v>
      </c>
      <c r="CE52" s="18">
        <v>17.274054</v>
      </c>
      <c r="CF52" s="18">
        <v>28.9</v>
      </c>
    </row>
    <row r="53" spans="1:84" x14ac:dyDescent="0.25">
      <c r="A53" s="17">
        <v>42855</v>
      </c>
      <c r="B53" s="18">
        <v>141.41291799999999</v>
      </c>
      <c r="C53" s="18">
        <v>27.615534</v>
      </c>
      <c r="D53" s="18">
        <v>154.008804</v>
      </c>
      <c r="E53" s="18">
        <v>113.830681</v>
      </c>
      <c r="F53" s="18">
        <v>136.55500799999999</v>
      </c>
      <c r="G53" s="18">
        <v>73.386832999999996</v>
      </c>
      <c r="H53" s="18">
        <v>41.746147000000001</v>
      </c>
      <c r="I53" s="18">
        <v>234.78999300000001</v>
      </c>
      <c r="J53" s="18">
        <v>118.177032</v>
      </c>
      <c r="K53" s="18">
        <v>106.540054</v>
      </c>
      <c r="L53" s="18">
        <v>41.746147000000001</v>
      </c>
      <c r="M53" s="18">
        <v>110.14166299999999</v>
      </c>
      <c r="N53" s="18">
        <v>28.269929999999999</v>
      </c>
      <c r="O53" s="18">
        <v>314.07000699999998</v>
      </c>
      <c r="P53" s="18">
        <v>78.571631999999994</v>
      </c>
      <c r="Q53" s="18">
        <v>102.583763</v>
      </c>
      <c r="R53" s="18">
        <v>331.53265399999998</v>
      </c>
      <c r="S53" s="18">
        <v>61.633270000000003</v>
      </c>
      <c r="T53" s="18">
        <v>135.949127</v>
      </c>
      <c r="U53" s="18">
        <v>107.70246899999999</v>
      </c>
      <c r="V53" s="18">
        <v>113.95508599999999</v>
      </c>
      <c r="W53" s="18">
        <v>26.496782</v>
      </c>
      <c r="X53" s="18">
        <v>94.453536999999997</v>
      </c>
      <c r="Y53" s="18">
        <v>120.36869</v>
      </c>
      <c r="Z53" s="18">
        <v>32.665962</v>
      </c>
      <c r="AA53" s="18">
        <v>60.384532999999998</v>
      </c>
      <c r="AB53" s="18">
        <v>172.34785500000001</v>
      </c>
      <c r="AC53" s="18">
        <v>83.919792000000001</v>
      </c>
      <c r="AD53" s="18">
        <v>120.328568</v>
      </c>
      <c r="AE53" s="18">
        <v>125.699997</v>
      </c>
      <c r="AF53" s="18">
        <v>116.849998</v>
      </c>
      <c r="AG53" s="18">
        <v>240.34683200000001</v>
      </c>
      <c r="AH53" s="18">
        <v>152.64248699999999</v>
      </c>
      <c r="AI53" s="18">
        <v>93.343529000000004</v>
      </c>
      <c r="AJ53" s="18">
        <v>132.48699999999999</v>
      </c>
      <c r="AK53" s="18">
        <v>93.162261999999998</v>
      </c>
      <c r="AL53" s="18">
        <v>53.556618</v>
      </c>
      <c r="AM53" s="18">
        <v>70.554298000000003</v>
      </c>
      <c r="AN53" s="18">
        <v>55.395977000000002</v>
      </c>
      <c r="AO53" s="18">
        <v>109.49957999999999</v>
      </c>
      <c r="AP53" s="18">
        <v>179.642044</v>
      </c>
      <c r="AQ53" s="18">
        <v>474.47000100000002</v>
      </c>
      <c r="AR53" s="18">
        <v>43.637974</v>
      </c>
      <c r="AS53" s="18">
        <v>35.026611000000003</v>
      </c>
      <c r="AT53" s="18">
        <v>32.313560000000003</v>
      </c>
      <c r="AU53" s="18">
        <v>78.158775000000006</v>
      </c>
      <c r="AV53" s="18">
        <v>52.538128</v>
      </c>
      <c r="AW53" s="18">
        <v>130.00105300000001</v>
      </c>
      <c r="AX53" s="18">
        <v>79.077431000000004</v>
      </c>
      <c r="AY53" s="18">
        <v>47.468936999999997</v>
      </c>
      <c r="AZ53" s="18">
        <v>109.653938</v>
      </c>
      <c r="BA53" s="18">
        <v>99.734436000000002</v>
      </c>
      <c r="BB53" s="18">
        <v>84.172447000000005</v>
      </c>
      <c r="BC53" s="18">
        <v>22.960836</v>
      </c>
      <c r="BD53" s="18">
        <v>90.593506000000005</v>
      </c>
      <c r="BE53" s="18">
        <v>58.203403000000002</v>
      </c>
      <c r="BF53" s="18">
        <v>220.973251</v>
      </c>
      <c r="BG53" s="18">
        <v>50.133330999999998</v>
      </c>
      <c r="BH53" s="18">
        <v>52.398513999999999</v>
      </c>
      <c r="BI53" s="18">
        <v>115.354668</v>
      </c>
      <c r="BJ53" s="18">
        <v>6.2891760000000003</v>
      </c>
      <c r="BK53" s="18">
        <v>77.759476000000006</v>
      </c>
      <c r="BL53" s="18">
        <v>191.45361299999999</v>
      </c>
      <c r="BM53" s="18">
        <v>128.56230199999999</v>
      </c>
      <c r="BN53" s="18">
        <v>82.795119999999997</v>
      </c>
      <c r="BO53" s="18">
        <v>135.41329999999999</v>
      </c>
      <c r="BP53" s="18">
        <v>217.03370699999999</v>
      </c>
      <c r="BQ53" s="18">
        <v>146.991364</v>
      </c>
      <c r="BR53" s="18">
        <v>103.456108</v>
      </c>
      <c r="BS53" s="18">
        <v>123.804489</v>
      </c>
      <c r="BT53" s="18">
        <v>94.269997000000004</v>
      </c>
      <c r="BU53" s="18">
        <v>136.13000500000001</v>
      </c>
      <c r="BV53" s="18">
        <v>67.05574</v>
      </c>
      <c r="BW53" s="18">
        <v>35.168640000000003</v>
      </c>
      <c r="BX53" s="18">
        <v>43.209426999999998</v>
      </c>
      <c r="BY53" s="18">
        <v>86.120002999999997</v>
      </c>
      <c r="BZ53" s="18">
        <v>123.60008999999999</v>
      </c>
      <c r="CA53" s="18">
        <v>88.080001999999993</v>
      </c>
      <c r="CB53" s="18">
        <v>110.160004</v>
      </c>
      <c r="CC53" s="18">
        <v>103.96173899999999</v>
      </c>
      <c r="CD53" s="18">
        <v>150.25</v>
      </c>
      <c r="CE53" s="18">
        <v>18.322334000000001</v>
      </c>
      <c r="CF53" s="18">
        <v>27.67</v>
      </c>
    </row>
    <row r="54" spans="1:84" x14ac:dyDescent="0.25">
      <c r="A54" s="17">
        <v>42886</v>
      </c>
      <c r="B54" s="18">
        <v>150.38102699999999</v>
      </c>
      <c r="C54" s="18">
        <v>26.081869000000001</v>
      </c>
      <c r="D54" s="18">
        <v>146.64898700000001</v>
      </c>
      <c r="E54" s="18">
        <v>106.287918</v>
      </c>
      <c r="F54" s="18">
        <v>147.25067100000001</v>
      </c>
      <c r="G54" s="18">
        <v>76.725257999999997</v>
      </c>
      <c r="H54" s="18">
        <v>43.990668999999997</v>
      </c>
      <c r="I54" s="18">
        <v>239.300003</v>
      </c>
      <c r="J54" s="18">
        <v>117.69293999999999</v>
      </c>
      <c r="K54" s="18">
        <v>105.948936</v>
      </c>
      <c r="L54" s="18">
        <v>43.990668999999997</v>
      </c>
      <c r="M54" s="18">
        <v>113.632217</v>
      </c>
      <c r="N54" s="18">
        <v>27.133305</v>
      </c>
      <c r="O54" s="18">
        <v>341.01001000000002</v>
      </c>
      <c r="P54" s="18">
        <v>77.464989000000003</v>
      </c>
      <c r="Q54" s="18">
        <v>99.488006999999996</v>
      </c>
      <c r="R54" s="18">
        <v>328.65002399999997</v>
      </c>
      <c r="S54" s="18">
        <v>60.851097000000003</v>
      </c>
      <c r="T54" s="18">
        <v>135.26246599999999</v>
      </c>
      <c r="U54" s="18">
        <v>112.34045399999999</v>
      </c>
      <c r="V54" s="18">
        <v>115.289185</v>
      </c>
      <c r="W54" s="18">
        <v>22.265957</v>
      </c>
      <c r="X54" s="18">
        <v>84.685516000000007</v>
      </c>
      <c r="Y54" s="18">
        <v>125.028633</v>
      </c>
      <c r="Z54" s="18">
        <v>31.442913000000001</v>
      </c>
      <c r="AA54" s="18">
        <v>63.077765999999997</v>
      </c>
      <c r="AB54" s="18">
        <v>172.643494</v>
      </c>
      <c r="AC54" s="18">
        <v>81.627724000000001</v>
      </c>
      <c r="AD54" s="18">
        <v>113.253929</v>
      </c>
      <c r="AE54" s="18">
        <v>120.889999</v>
      </c>
      <c r="AF54" s="18">
        <v>106.610001</v>
      </c>
      <c r="AG54" s="18">
        <v>220.52654999999999</v>
      </c>
      <c r="AH54" s="18">
        <v>150.109848</v>
      </c>
      <c r="AI54" s="18">
        <v>106.42269899999999</v>
      </c>
      <c r="AJ54" s="18">
        <v>142.454239</v>
      </c>
      <c r="AK54" s="18">
        <v>98.714271999999994</v>
      </c>
      <c r="AL54" s="18">
        <v>54.894550000000002</v>
      </c>
      <c r="AM54" s="18">
        <v>75.941788000000003</v>
      </c>
      <c r="AN54" s="18">
        <v>57.591853999999998</v>
      </c>
      <c r="AO54" s="18">
        <v>107.876068</v>
      </c>
      <c r="AP54" s="18">
        <v>209.67976400000001</v>
      </c>
      <c r="AQ54" s="18">
        <v>477.35000600000001</v>
      </c>
      <c r="AR54" s="18">
        <v>44.882815999999998</v>
      </c>
      <c r="AS54" s="18">
        <v>33.996422000000003</v>
      </c>
      <c r="AT54" s="18">
        <v>31.922943</v>
      </c>
      <c r="AU54" s="18">
        <v>76.610496999999995</v>
      </c>
      <c r="AV54" s="18">
        <v>51.940998</v>
      </c>
      <c r="AW54" s="18">
        <v>137.671066</v>
      </c>
      <c r="AX54" s="18">
        <v>82.125518999999997</v>
      </c>
      <c r="AY54" s="18">
        <v>48.241024000000003</v>
      </c>
      <c r="AZ54" s="18">
        <v>113.02059199999999</v>
      </c>
      <c r="BA54" s="18">
        <v>104.435562</v>
      </c>
      <c r="BB54" s="18">
        <v>80.397171</v>
      </c>
      <c r="BC54" s="18">
        <v>22.045943999999999</v>
      </c>
      <c r="BD54" s="18">
        <v>94.575965999999994</v>
      </c>
      <c r="BE54" s="18">
        <v>59.760489999999997</v>
      </c>
      <c r="BF54" s="18">
        <v>208.591644</v>
      </c>
      <c r="BG54" s="18">
        <v>49.752051999999999</v>
      </c>
      <c r="BH54" s="18">
        <v>49.770802000000003</v>
      </c>
      <c r="BI54" s="18">
        <v>122.099869</v>
      </c>
      <c r="BJ54" s="18">
        <v>6.3651109999999997</v>
      </c>
      <c r="BK54" s="18">
        <v>75.802879000000004</v>
      </c>
      <c r="BL54" s="18">
        <v>199.90052800000001</v>
      </c>
      <c r="BM54" s="18">
        <v>130.375946</v>
      </c>
      <c r="BN54" s="18">
        <v>84.394797999999994</v>
      </c>
      <c r="BO54" s="18">
        <v>138.48260500000001</v>
      </c>
      <c r="BP54" s="18">
        <v>225.85115099999999</v>
      </c>
      <c r="BQ54" s="18">
        <v>153.57450900000001</v>
      </c>
      <c r="BR54" s="18">
        <v>107.119934</v>
      </c>
      <c r="BS54" s="18">
        <v>114.588364</v>
      </c>
      <c r="BT54" s="18">
        <v>104.339996</v>
      </c>
      <c r="BU54" s="18">
        <v>128.36000100000001</v>
      </c>
      <c r="BV54" s="18">
        <v>68.407439999999994</v>
      </c>
      <c r="BW54" s="18">
        <v>35.129722999999998</v>
      </c>
      <c r="BX54" s="18">
        <v>44.419795999999998</v>
      </c>
      <c r="BY54" s="18">
        <v>89.639999000000003</v>
      </c>
      <c r="BZ54" s="18">
        <v>139.23788500000001</v>
      </c>
      <c r="CA54" s="18">
        <v>89.57</v>
      </c>
      <c r="CB54" s="18">
        <v>126.33000199999999</v>
      </c>
      <c r="CC54" s="18">
        <v>143.88185100000001</v>
      </c>
      <c r="CD54" s="18">
        <v>151.46000699999999</v>
      </c>
      <c r="CE54" s="18">
        <v>18.263923999999999</v>
      </c>
      <c r="CF54" s="18">
        <v>30.77</v>
      </c>
    </row>
    <row r="55" spans="1:84" x14ac:dyDescent="0.25">
      <c r="A55" s="17">
        <v>42916</v>
      </c>
      <c r="B55" s="18">
        <v>142.36234999999999</v>
      </c>
      <c r="C55" s="18">
        <v>25.729410000000001</v>
      </c>
      <c r="D55" s="18">
        <v>149.245789</v>
      </c>
      <c r="E55" s="18">
        <v>104.62378699999999</v>
      </c>
      <c r="F55" s="18">
        <v>149.465912</v>
      </c>
      <c r="G55" s="18">
        <v>74.369277999999994</v>
      </c>
      <c r="H55" s="18">
        <v>43.390841999999999</v>
      </c>
      <c r="I55" s="18">
        <v>241.69000199999999</v>
      </c>
      <c r="J55" s="18">
        <v>116.510223</v>
      </c>
      <c r="K55" s="18">
        <v>103.46620900000001</v>
      </c>
      <c r="L55" s="18">
        <v>43.390841999999999</v>
      </c>
      <c r="M55" s="18">
        <v>113.061684</v>
      </c>
      <c r="N55" s="18">
        <v>26.608706999999999</v>
      </c>
      <c r="O55" s="18">
        <v>361.60998499999999</v>
      </c>
      <c r="P55" s="18">
        <v>78.419922</v>
      </c>
      <c r="Q55" s="18">
        <v>101.325546</v>
      </c>
      <c r="R55" s="18">
        <v>348.538971</v>
      </c>
      <c r="S55" s="18">
        <v>65.753471000000005</v>
      </c>
      <c r="T55" s="18">
        <v>132.42755099999999</v>
      </c>
      <c r="U55" s="18">
        <v>104.369827</v>
      </c>
      <c r="V55" s="18">
        <v>116.21212</v>
      </c>
      <c r="W55" s="18">
        <v>22.609172999999998</v>
      </c>
      <c r="X55" s="18">
        <v>87.969757000000001</v>
      </c>
      <c r="Y55" s="18">
        <v>129.822372</v>
      </c>
      <c r="Z55" s="18">
        <v>32.661270000000002</v>
      </c>
      <c r="AA55" s="18">
        <v>62.089592000000003</v>
      </c>
      <c r="AB55" s="18">
        <v>182.73524499999999</v>
      </c>
      <c r="AC55" s="18">
        <v>86.899483000000004</v>
      </c>
      <c r="AD55" s="18">
        <v>121.748734</v>
      </c>
      <c r="AE55" s="18">
        <v>129.729996</v>
      </c>
      <c r="AF55" s="18">
        <v>112.05999799999999</v>
      </c>
      <c r="AG55" s="18">
        <v>240.32502700000001</v>
      </c>
      <c r="AH55" s="18">
        <v>150.86914100000001</v>
      </c>
      <c r="AI55" s="18">
        <v>99.482078999999999</v>
      </c>
      <c r="AJ55" s="18">
        <v>147.867065</v>
      </c>
      <c r="AK55" s="18">
        <v>98.738472000000002</v>
      </c>
      <c r="AL55" s="18">
        <v>54.525013000000001</v>
      </c>
      <c r="AM55" s="18">
        <v>80.196121000000005</v>
      </c>
      <c r="AN55" s="18">
        <v>56.104644999999998</v>
      </c>
      <c r="AO55" s="18">
        <v>107.10732299999999</v>
      </c>
      <c r="AP55" s="18">
        <v>209.49157700000001</v>
      </c>
      <c r="AQ55" s="18">
        <v>416.10000600000001</v>
      </c>
      <c r="AR55" s="18">
        <v>46.726031999999996</v>
      </c>
      <c r="AS55" s="18">
        <v>36.291713999999999</v>
      </c>
      <c r="AT55" s="18">
        <v>32.715682999999999</v>
      </c>
      <c r="AU55" s="18">
        <v>76.787925999999999</v>
      </c>
      <c r="AV55" s="18">
        <v>54.644793999999997</v>
      </c>
      <c r="AW55" s="18">
        <v>137.35891699999999</v>
      </c>
      <c r="AX55" s="18">
        <v>80.954941000000005</v>
      </c>
      <c r="AY55" s="18">
        <v>46.175846</v>
      </c>
      <c r="AZ55" s="18">
        <v>109.391983</v>
      </c>
      <c r="BA55" s="18">
        <v>100.87872299999999</v>
      </c>
      <c r="BB55" s="18">
        <v>89.449791000000005</v>
      </c>
      <c r="BC55" s="18">
        <v>23.944275000000001</v>
      </c>
      <c r="BD55" s="18">
        <v>93.301186000000001</v>
      </c>
      <c r="BE55" s="18">
        <v>66.018844999999999</v>
      </c>
      <c r="BF55" s="18">
        <v>219.83483899999999</v>
      </c>
      <c r="BG55" s="18">
        <v>50.759022000000002</v>
      </c>
      <c r="BH55" s="18">
        <v>54.304844000000003</v>
      </c>
      <c r="BI55" s="18">
        <v>120.67894699999999</v>
      </c>
      <c r="BJ55" s="18">
        <v>6.5110999999999999</v>
      </c>
      <c r="BK55" s="18">
        <v>82.994986999999995</v>
      </c>
      <c r="BL55" s="18">
        <v>204.75302099999999</v>
      </c>
      <c r="BM55" s="18">
        <v>131.33161899999999</v>
      </c>
      <c r="BN55" s="18">
        <v>83.848320000000001</v>
      </c>
      <c r="BO55" s="18">
        <v>140.473251</v>
      </c>
      <c r="BP55" s="18">
        <v>230.15545700000001</v>
      </c>
      <c r="BQ55" s="18">
        <v>159.01164199999999</v>
      </c>
      <c r="BR55" s="18">
        <v>111.999756</v>
      </c>
      <c r="BS55" s="18">
        <v>120.235992</v>
      </c>
      <c r="BT55" s="18">
        <v>100.519997</v>
      </c>
      <c r="BU55" s="18">
        <v>121.510002</v>
      </c>
      <c r="BV55" s="18">
        <v>67.903107000000006</v>
      </c>
      <c r="BW55" s="18">
        <v>33.067794999999997</v>
      </c>
      <c r="BX55" s="18">
        <v>42.534045999999996</v>
      </c>
      <c r="BY55" s="18">
        <v>86.599997999999999</v>
      </c>
      <c r="BZ55" s="18">
        <v>131.48594700000001</v>
      </c>
      <c r="CA55" s="18">
        <v>95.75</v>
      </c>
      <c r="CB55" s="18">
        <v>121.68</v>
      </c>
      <c r="CC55" s="18">
        <v>144.24292</v>
      </c>
      <c r="CD55" s="18">
        <v>150.979996</v>
      </c>
      <c r="CE55" s="18">
        <v>17.017771</v>
      </c>
      <c r="CF55" s="18">
        <v>29.860001</v>
      </c>
    </row>
    <row r="56" spans="1:84" x14ac:dyDescent="0.25">
      <c r="A56" s="17">
        <v>42947</v>
      </c>
      <c r="B56" s="18">
        <v>147.01814300000001</v>
      </c>
      <c r="C56" s="18">
        <v>24.807316</v>
      </c>
      <c r="D56" s="18">
        <v>140.35876500000001</v>
      </c>
      <c r="E56" s="18">
        <v>108.24745900000001</v>
      </c>
      <c r="F56" s="18">
        <v>152.347229</v>
      </c>
      <c r="G56" s="18">
        <v>78.604636999999997</v>
      </c>
      <c r="H56" s="18">
        <v>44.7136</v>
      </c>
      <c r="I56" s="18">
        <v>248.990005</v>
      </c>
      <c r="J56" s="18">
        <v>107.145409</v>
      </c>
      <c r="K56" s="18">
        <v>111.170517</v>
      </c>
      <c r="L56" s="18">
        <v>44.7136</v>
      </c>
      <c r="M56" s="18">
        <v>114.158134</v>
      </c>
      <c r="N56" s="18">
        <v>27.436465999999999</v>
      </c>
      <c r="O56" s="18">
        <v>323.47000100000002</v>
      </c>
      <c r="P56" s="18">
        <v>77.749663999999996</v>
      </c>
      <c r="Q56" s="18">
        <v>106.045593</v>
      </c>
      <c r="R56" s="18">
        <v>334.94342</v>
      </c>
      <c r="S56" s="18">
        <v>69.874854999999997</v>
      </c>
      <c r="T56" s="18">
        <v>131.25953699999999</v>
      </c>
      <c r="U56" s="18">
        <v>114.84659600000001</v>
      </c>
      <c r="V56" s="18">
        <v>114.700073</v>
      </c>
      <c r="W56" s="18">
        <v>23.906500000000001</v>
      </c>
      <c r="X56" s="18">
        <v>94.390975999999995</v>
      </c>
      <c r="Y56" s="18">
        <v>130.24437</v>
      </c>
      <c r="Z56" s="18">
        <v>32.243160000000003</v>
      </c>
      <c r="AA56" s="18">
        <v>62.341197999999999</v>
      </c>
      <c r="AB56" s="18">
        <v>189.81336999999999</v>
      </c>
      <c r="AC56" s="18">
        <v>80.063125999999997</v>
      </c>
      <c r="AD56" s="18">
        <v>110.529259</v>
      </c>
      <c r="AE56" s="18">
        <v>128.39999399999999</v>
      </c>
      <c r="AF56" s="18">
        <v>114.33000199999999</v>
      </c>
      <c r="AG56" s="18">
        <v>249.459946</v>
      </c>
      <c r="AH56" s="18">
        <v>147.131821</v>
      </c>
      <c r="AI56" s="18">
        <v>103.330063</v>
      </c>
      <c r="AJ56" s="18">
        <v>155.332413</v>
      </c>
      <c r="AK56" s="18">
        <v>102.632553</v>
      </c>
      <c r="AL56" s="18">
        <v>55.732750000000003</v>
      </c>
      <c r="AM56" s="18">
        <v>101.119873</v>
      </c>
      <c r="AN56" s="18">
        <v>55.465846999999997</v>
      </c>
      <c r="AO56" s="18">
        <v>101.25580600000001</v>
      </c>
      <c r="AP56" s="18">
        <v>185.12008700000001</v>
      </c>
      <c r="AQ56" s="18">
        <v>343.76998900000001</v>
      </c>
      <c r="AR56" s="18">
        <v>48.736603000000002</v>
      </c>
      <c r="AS56" s="18">
        <v>38.362704999999998</v>
      </c>
      <c r="AT56" s="18">
        <v>32.794285000000002</v>
      </c>
      <c r="AU56" s="18">
        <v>79.890968000000001</v>
      </c>
      <c r="AV56" s="18">
        <v>56.091881000000001</v>
      </c>
      <c r="AW56" s="18">
        <v>143.20105000000001</v>
      </c>
      <c r="AX56" s="18">
        <v>82.436713999999995</v>
      </c>
      <c r="AY56" s="18">
        <v>46.224072</v>
      </c>
      <c r="AZ56" s="18">
        <v>109.64424099999999</v>
      </c>
      <c r="BA56" s="18">
        <v>102.857765</v>
      </c>
      <c r="BB56" s="18">
        <v>89.841262999999998</v>
      </c>
      <c r="BC56" s="18">
        <v>23.806099</v>
      </c>
      <c r="BD56" s="18">
        <v>99.051682</v>
      </c>
      <c r="BE56" s="18">
        <v>67.568634000000003</v>
      </c>
      <c r="BF56" s="18">
        <v>223.23294100000001</v>
      </c>
      <c r="BG56" s="18">
        <v>51.882308999999999</v>
      </c>
      <c r="BH56" s="18">
        <v>52.864159000000001</v>
      </c>
      <c r="BI56" s="18">
        <v>126.988647</v>
      </c>
      <c r="BJ56" s="18">
        <v>6.6376229999999996</v>
      </c>
      <c r="BK56" s="18">
        <v>83.970359999999999</v>
      </c>
      <c r="BL56" s="18">
        <v>197.84889200000001</v>
      </c>
      <c r="BM56" s="18">
        <v>134.12005600000001</v>
      </c>
      <c r="BN56" s="18">
        <v>81.101112000000001</v>
      </c>
      <c r="BO56" s="18">
        <v>138.615814</v>
      </c>
      <c r="BP56" s="18">
        <v>231.07994099999999</v>
      </c>
      <c r="BQ56" s="18">
        <v>164.57929999999999</v>
      </c>
      <c r="BR56" s="18">
        <v>115.49820699999999</v>
      </c>
      <c r="BS56" s="18">
        <v>125.865234</v>
      </c>
      <c r="BT56" s="18">
        <v>101.720001</v>
      </c>
      <c r="BU56" s="18">
        <v>130.679993</v>
      </c>
      <c r="BV56" s="18">
        <v>71.616943000000006</v>
      </c>
      <c r="BW56" s="18">
        <v>34.763328999999999</v>
      </c>
      <c r="BX56" s="18">
        <v>46.096012000000002</v>
      </c>
      <c r="BY56" s="18">
        <v>90.800003000000004</v>
      </c>
      <c r="BZ56" s="18">
        <v>135.84210200000001</v>
      </c>
      <c r="CA56" s="18">
        <v>98.870002999999997</v>
      </c>
      <c r="CB56" s="18">
        <v>129.550003</v>
      </c>
      <c r="CC56" s="18">
        <v>162.153549</v>
      </c>
      <c r="CD56" s="18">
        <v>169.25</v>
      </c>
      <c r="CE56" s="18">
        <v>18.734597999999998</v>
      </c>
      <c r="CF56" s="18">
        <v>28.120000999999998</v>
      </c>
    </row>
    <row r="57" spans="1:84" x14ac:dyDescent="0.25">
      <c r="A57" s="17">
        <v>42978</v>
      </c>
      <c r="B57" s="18">
        <v>162.11239599999999</v>
      </c>
      <c r="C57" s="18">
        <v>23.780536999999999</v>
      </c>
      <c r="D57" s="18">
        <v>138.76765399999999</v>
      </c>
      <c r="E57" s="18">
        <v>100.39239499999999</v>
      </c>
      <c r="F57" s="18">
        <v>157.09028599999999</v>
      </c>
      <c r="G57" s="18">
        <v>76.717888000000002</v>
      </c>
      <c r="H57" s="18">
        <v>44.430725000000002</v>
      </c>
      <c r="I57" s="18">
        <v>253.11999499999999</v>
      </c>
      <c r="J57" s="18">
        <v>98.791397000000003</v>
      </c>
      <c r="K57" s="18">
        <v>111.308449</v>
      </c>
      <c r="L57" s="18">
        <v>44.430725000000002</v>
      </c>
      <c r="M57" s="18">
        <v>113.296638</v>
      </c>
      <c r="N57" s="18">
        <v>27.514800999999999</v>
      </c>
      <c r="O57" s="18">
        <v>355.89999399999999</v>
      </c>
      <c r="P57" s="18">
        <v>74.145836000000003</v>
      </c>
      <c r="Q57" s="18">
        <v>104.520805</v>
      </c>
      <c r="R57" s="18">
        <v>336.929596</v>
      </c>
      <c r="S57" s="18">
        <v>76.3797</v>
      </c>
      <c r="T57" s="18">
        <v>134.876633</v>
      </c>
      <c r="U57" s="18">
        <v>115.30281100000001</v>
      </c>
      <c r="V57" s="18">
        <v>115.60041</v>
      </c>
      <c r="W57" s="18">
        <v>19.786736999999999</v>
      </c>
      <c r="X57" s="18">
        <v>93.997642999999997</v>
      </c>
      <c r="Y57" s="18">
        <v>129.90089399999999</v>
      </c>
      <c r="Z57" s="18">
        <v>32.982146999999998</v>
      </c>
      <c r="AA57" s="18">
        <v>62.321682000000003</v>
      </c>
      <c r="AB57" s="18">
        <v>196.82955899999999</v>
      </c>
      <c r="AC57" s="18">
        <v>78.388924000000003</v>
      </c>
      <c r="AD57" s="18">
        <v>107.836578</v>
      </c>
      <c r="AE57" s="18">
        <v>130.800003</v>
      </c>
      <c r="AF57" s="18">
        <v>104.839996</v>
      </c>
      <c r="AG57" s="18">
        <v>226.869843</v>
      </c>
      <c r="AH57" s="18">
        <v>147.397369</v>
      </c>
      <c r="AI57" s="18">
        <v>128.837784</v>
      </c>
      <c r="AJ57" s="18">
        <v>147.281372</v>
      </c>
      <c r="AK57" s="18">
        <v>98.020622000000003</v>
      </c>
      <c r="AL57" s="18">
        <v>49.291477</v>
      </c>
      <c r="AM57" s="18">
        <v>112.829224</v>
      </c>
      <c r="AN57" s="18">
        <v>59.39846</v>
      </c>
      <c r="AO57" s="18">
        <v>103.557076</v>
      </c>
      <c r="AP57" s="18">
        <v>180.91145299999999</v>
      </c>
      <c r="AQ57" s="18">
        <v>316.709991</v>
      </c>
      <c r="AR57" s="18">
        <v>48.588763999999998</v>
      </c>
      <c r="AS57" s="18">
        <v>36.932735000000001</v>
      </c>
      <c r="AT57" s="18">
        <v>32.813934000000003</v>
      </c>
      <c r="AU57" s="18">
        <v>79.693961999999999</v>
      </c>
      <c r="AV57" s="18">
        <v>53.394592000000003</v>
      </c>
      <c r="AW57" s="18">
        <v>147.533646</v>
      </c>
      <c r="AX57" s="18">
        <v>84.548004000000006</v>
      </c>
      <c r="AY57" s="18">
        <v>46.542319999999997</v>
      </c>
      <c r="AZ57" s="18">
        <v>115.26281</v>
      </c>
      <c r="BA57" s="18">
        <v>107.91132399999999</v>
      </c>
      <c r="BB57" s="18">
        <v>89.439957000000007</v>
      </c>
      <c r="BC57" s="18">
        <v>23.579087999999999</v>
      </c>
      <c r="BD57" s="18">
        <v>102.991455</v>
      </c>
      <c r="BE57" s="18">
        <v>67.154044999999996</v>
      </c>
      <c r="BF57" s="18">
        <v>221.65772999999999</v>
      </c>
      <c r="BG57" s="18">
        <v>50.378334000000002</v>
      </c>
      <c r="BH57" s="18">
        <v>50.051403000000001</v>
      </c>
      <c r="BI57" s="18">
        <v>132.69541899999999</v>
      </c>
      <c r="BJ57" s="18">
        <v>6.3359129999999997</v>
      </c>
      <c r="BK57" s="18">
        <v>85.147666999999998</v>
      </c>
      <c r="BL57" s="18">
        <v>200.946899</v>
      </c>
      <c r="BM57" s="18">
        <v>136.23846399999999</v>
      </c>
      <c r="BN57" s="18">
        <v>83.021904000000006</v>
      </c>
      <c r="BO57" s="18">
        <v>135.463425</v>
      </c>
      <c r="BP57" s="18">
        <v>229.63653600000001</v>
      </c>
      <c r="BQ57" s="18">
        <v>156.22779800000001</v>
      </c>
      <c r="BR57" s="18">
        <v>116.90921</v>
      </c>
      <c r="BS57" s="18">
        <v>108.323395</v>
      </c>
      <c r="BT57" s="18">
        <v>103.089996</v>
      </c>
      <c r="BU57" s="18">
        <v>121.699997</v>
      </c>
      <c r="BV57" s="18">
        <v>73.656097000000003</v>
      </c>
      <c r="BW57" s="18">
        <v>34.371296000000001</v>
      </c>
      <c r="BX57" s="18">
        <v>46.285133000000002</v>
      </c>
      <c r="BY57" s="18">
        <v>95.489998</v>
      </c>
      <c r="BZ57" s="18">
        <v>140.40150499999999</v>
      </c>
      <c r="CA57" s="18">
        <v>107.5</v>
      </c>
      <c r="CB57" s="18">
        <v>128.820007</v>
      </c>
      <c r="CC57" s="18">
        <v>169.068344</v>
      </c>
      <c r="CD57" s="18">
        <v>171.970001</v>
      </c>
      <c r="CE57" s="18">
        <v>18.714981000000002</v>
      </c>
      <c r="CF57" s="18">
        <v>31.969999000000001</v>
      </c>
    </row>
    <row r="58" spans="1:84" x14ac:dyDescent="0.25">
      <c r="A58" s="17">
        <v>43008</v>
      </c>
      <c r="B58" s="18">
        <v>152.944366</v>
      </c>
      <c r="C58" s="18">
        <v>23.422132000000001</v>
      </c>
      <c r="D58" s="18">
        <v>142.243729</v>
      </c>
      <c r="E58" s="18">
        <v>97.783385999999993</v>
      </c>
      <c r="F58" s="18">
        <v>154.77233899999999</v>
      </c>
      <c r="G58" s="18">
        <v>77.269668999999993</v>
      </c>
      <c r="H58" s="18">
        <v>43.903995999999999</v>
      </c>
      <c r="I58" s="18">
        <v>247.509995</v>
      </c>
      <c r="J58" s="18">
        <v>107.55999799999999</v>
      </c>
      <c r="K58" s="18">
        <v>117.40685999999999</v>
      </c>
      <c r="L58" s="18">
        <v>43.903995999999999</v>
      </c>
      <c r="M58" s="18">
        <v>109.850433</v>
      </c>
      <c r="N58" s="18">
        <v>28.944393000000002</v>
      </c>
      <c r="O58" s="18">
        <v>341.10000600000001</v>
      </c>
      <c r="P58" s="18">
        <v>80.406036</v>
      </c>
      <c r="Q58" s="18">
        <v>115.262856</v>
      </c>
      <c r="R58" s="18">
        <v>356.48126200000002</v>
      </c>
      <c r="S58" s="18">
        <v>82.749336</v>
      </c>
      <c r="T58" s="18">
        <v>140.84925799999999</v>
      </c>
      <c r="U58" s="18">
        <v>135.187714</v>
      </c>
      <c r="V58" s="18">
        <v>118.18465399999999</v>
      </c>
      <c r="W58" s="18">
        <v>21.381166</v>
      </c>
      <c r="X58" s="18">
        <v>96.252831</v>
      </c>
      <c r="Y58" s="18">
        <v>128.39651499999999</v>
      </c>
      <c r="Z58" s="18">
        <v>35.052005999999999</v>
      </c>
      <c r="AA58" s="18">
        <v>62.487583000000001</v>
      </c>
      <c r="AB58" s="18">
        <v>193.81132500000001</v>
      </c>
      <c r="AC58" s="18">
        <v>79.315712000000005</v>
      </c>
      <c r="AD58" s="18">
        <v>110.742531</v>
      </c>
      <c r="AE58" s="18">
        <v>117.19000200000001</v>
      </c>
      <c r="AF58" s="18">
        <v>112.69000200000001</v>
      </c>
      <c r="AG58" s="18">
        <v>203.234329</v>
      </c>
      <c r="AH58" s="18">
        <v>161.81277499999999</v>
      </c>
      <c r="AI58" s="18">
        <v>109.715378</v>
      </c>
      <c r="AJ58" s="18">
        <v>143.18971300000001</v>
      </c>
      <c r="AK58" s="18">
        <v>104.267899</v>
      </c>
      <c r="AL58" s="18">
        <v>52.276505</v>
      </c>
      <c r="AM58" s="18">
        <v>118.10736799999999</v>
      </c>
      <c r="AN58" s="18">
        <v>61.674191</v>
      </c>
      <c r="AO58" s="18">
        <v>114.714279</v>
      </c>
      <c r="AP58" s="18">
        <v>197.08093299999999</v>
      </c>
      <c r="AQ58" s="18">
        <v>307.82998700000002</v>
      </c>
      <c r="AR58" s="18">
        <v>48.781258000000001</v>
      </c>
      <c r="AS58" s="18">
        <v>37.800724000000002</v>
      </c>
      <c r="AT58" s="18">
        <v>32.807484000000002</v>
      </c>
      <c r="AU58" s="18">
        <v>80.113868999999994</v>
      </c>
      <c r="AV58" s="18">
        <v>58.692272000000003</v>
      </c>
      <c r="AW58" s="18">
        <v>144.59378100000001</v>
      </c>
      <c r="AX58" s="18">
        <v>82.115639000000002</v>
      </c>
      <c r="AY58" s="18">
        <v>47.958793999999997</v>
      </c>
      <c r="AZ58" s="18">
        <v>111.54875199999999</v>
      </c>
      <c r="BA58" s="18">
        <v>103.146004</v>
      </c>
      <c r="BB58" s="18">
        <v>93.986243999999999</v>
      </c>
      <c r="BC58" s="18">
        <v>25.138147</v>
      </c>
      <c r="BD58" s="18">
        <v>104.871284</v>
      </c>
      <c r="BE58" s="18">
        <v>72.135918000000004</v>
      </c>
      <c r="BF58" s="18">
        <v>235.78509500000001</v>
      </c>
      <c r="BG58" s="18">
        <v>52.678531999999997</v>
      </c>
      <c r="BH58" s="18">
        <v>54.44265</v>
      </c>
      <c r="BI58" s="18">
        <v>140.55960099999999</v>
      </c>
      <c r="BJ58" s="18">
        <v>6.8238919999999998</v>
      </c>
      <c r="BK58" s="18">
        <v>89.459441999999996</v>
      </c>
      <c r="BL58" s="18">
        <v>207.62214700000001</v>
      </c>
      <c r="BM58" s="18">
        <v>140.33659399999999</v>
      </c>
      <c r="BN58" s="18">
        <v>85.370643999999999</v>
      </c>
      <c r="BO58" s="18">
        <v>145.757904</v>
      </c>
      <c r="BP58" s="18">
        <v>242.31999200000001</v>
      </c>
      <c r="BQ58" s="18">
        <v>165.858002</v>
      </c>
      <c r="BR58" s="18">
        <v>120.777023</v>
      </c>
      <c r="BS58" s="18">
        <v>117.999268</v>
      </c>
      <c r="BT58" s="18">
        <v>108.58000199999999</v>
      </c>
      <c r="BU58" s="18">
        <v>128.16999799999999</v>
      </c>
      <c r="BV58" s="18">
        <v>73.771225000000001</v>
      </c>
      <c r="BW58" s="18">
        <v>37.600974999999998</v>
      </c>
      <c r="BX58" s="18">
        <v>47.751742999999998</v>
      </c>
      <c r="BY58" s="18">
        <v>93.419998000000007</v>
      </c>
      <c r="BZ58" s="18">
        <v>141.086411</v>
      </c>
      <c r="CA58" s="18">
        <v>110.860001</v>
      </c>
      <c r="CB58" s="18">
        <v>122.730003</v>
      </c>
      <c r="CC58" s="18">
        <v>178.534943</v>
      </c>
      <c r="CD58" s="18">
        <v>170.86999499999999</v>
      </c>
      <c r="CE58" s="18">
        <v>19.578147999999999</v>
      </c>
      <c r="CF58" s="18">
        <v>39.330002</v>
      </c>
    </row>
    <row r="59" spans="1:84" x14ac:dyDescent="0.25">
      <c r="A59" s="17">
        <v>43039</v>
      </c>
      <c r="B59" s="18">
        <v>167.75054900000001</v>
      </c>
      <c r="C59" s="18">
        <v>19.723248999999999</v>
      </c>
      <c r="D59" s="18">
        <v>151.04817199999999</v>
      </c>
      <c r="E59" s="18">
        <v>97.029449</v>
      </c>
      <c r="F59" s="18">
        <v>164.877792</v>
      </c>
      <c r="G59" s="18">
        <v>86.337531999999996</v>
      </c>
      <c r="H59" s="18">
        <v>45.207031000000001</v>
      </c>
      <c r="I59" s="18">
        <v>261.76001000000002</v>
      </c>
      <c r="J59" s="18">
        <v>120.09889200000001</v>
      </c>
      <c r="K59" s="18">
        <v>124</v>
      </c>
      <c r="L59" s="18">
        <v>45.207031000000001</v>
      </c>
      <c r="M59" s="18">
        <v>108.66745</v>
      </c>
      <c r="N59" s="18">
        <v>30.878699999999998</v>
      </c>
      <c r="O59" s="18">
        <v>331.52999899999998</v>
      </c>
      <c r="P59" s="18">
        <v>81.749733000000006</v>
      </c>
      <c r="Q59" s="18">
        <v>113.68351</v>
      </c>
      <c r="R59" s="18">
        <v>393.429688</v>
      </c>
      <c r="S59" s="18">
        <v>84.561881999999997</v>
      </c>
      <c r="T59" s="18">
        <v>145.99487300000001</v>
      </c>
      <c r="U59" s="18">
        <v>140.086929</v>
      </c>
      <c r="V59" s="18">
        <v>119.447182</v>
      </c>
      <c r="W59" s="18">
        <v>22.295769</v>
      </c>
      <c r="X59" s="18">
        <v>98.507369999999995</v>
      </c>
      <c r="Y59" s="18">
        <v>137.679855</v>
      </c>
      <c r="Z59" s="18">
        <v>34.423625999999999</v>
      </c>
      <c r="AA59" s="18">
        <v>54.151806000000001</v>
      </c>
      <c r="AB59" s="18">
        <v>208.821213</v>
      </c>
      <c r="AC59" s="18">
        <v>75.389296999999999</v>
      </c>
      <c r="AD59" s="18">
        <v>102.517189</v>
      </c>
      <c r="AE59" s="18">
        <v>118.589996</v>
      </c>
      <c r="AF59" s="18">
        <v>112.41999800000001</v>
      </c>
      <c r="AG59" s="18">
        <v>175.74638400000001</v>
      </c>
      <c r="AH59" s="18">
        <v>164.009064</v>
      </c>
      <c r="AI59" s="18">
        <v>118.88983899999999</v>
      </c>
      <c r="AJ59" s="18">
        <v>124.010201</v>
      </c>
      <c r="AK59" s="18">
        <v>105.692291</v>
      </c>
      <c r="AL59" s="18">
        <v>54.945186999999997</v>
      </c>
      <c r="AM59" s="18">
        <v>133.08698999999999</v>
      </c>
      <c r="AN59" s="18">
        <v>62.542557000000002</v>
      </c>
      <c r="AO59" s="18">
        <v>114.536224</v>
      </c>
      <c r="AP59" s="18">
        <v>182.090225</v>
      </c>
      <c r="AQ59" s="18">
        <v>271.89999399999999</v>
      </c>
      <c r="AR59" s="18">
        <v>53.238425999999997</v>
      </c>
      <c r="AS59" s="18">
        <v>41.615475000000004</v>
      </c>
      <c r="AT59" s="18">
        <v>35.071095</v>
      </c>
      <c r="AU59" s="18">
        <v>86.896454000000006</v>
      </c>
      <c r="AV59" s="18">
        <v>61.384399000000002</v>
      </c>
      <c r="AW59" s="18">
        <v>153.00006099999999</v>
      </c>
      <c r="AX59" s="18">
        <v>86.411247000000003</v>
      </c>
      <c r="AY59" s="18">
        <v>50.945239999999998</v>
      </c>
      <c r="AZ59" s="18">
        <v>115.658531</v>
      </c>
      <c r="BA59" s="18">
        <v>107.721054</v>
      </c>
      <c r="BB59" s="18">
        <v>99.004890000000003</v>
      </c>
      <c r="BC59" s="18">
        <v>27.171817999999998</v>
      </c>
      <c r="BD59" s="18">
        <v>109.59468099999999</v>
      </c>
      <c r="BE59" s="18">
        <v>72.889602999999994</v>
      </c>
      <c r="BF59" s="18">
        <v>241.04376199999999</v>
      </c>
      <c r="BG59" s="18">
        <v>53.752898999999999</v>
      </c>
      <c r="BH59" s="18">
        <v>55.419949000000003</v>
      </c>
      <c r="BI59" s="18">
        <v>148.09526099999999</v>
      </c>
      <c r="BJ59" s="18">
        <v>6.6272380000000002</v>
      </c>
      <c r="BK59" s="18">
        <v>94.463477999999995</v>
      </c>
      <c r="BL59" s="18">
        <v>227.691971</v>
      </c>
      <c r="BM59" s="18">
        <v>142.73263499999999</v>
      </c>
      <c r="BN59" s="18">
        <v>91.980346999999995</v>
      </c>
      <c r="BO59" s="18">
        <v>155.00877399999999</v>
      </c>
      <c r="BP59" s="18">
        <v>257.024475</v>
      </c>
      <c r="BQ59" s="18">
        <v>174.593613</v>
      </c>
      <c r="BR59" s="18">
        <v>127.478577</v>
      </c>
      <c r="BS59" s="18">
        <v>126.154663</v>
      </c>
      <c r="BT59" s="18">
        <v>115.989998</v>
      </c>
      <c r="BU59" s="18">
        <v>115.900002</v>
      </c>
      <c r="BV59" s="18">
        <v>82.377380000000002</v>
      </c>
      <c r="BW59" s="18">
        <v>44.917766999999998</v>
      </c>
      <c r="BX59" s="18">
        <v>46.188640999999997</v>
      </c>
      <c r="BY59" s="18">
        <v>102.339996</v>
      </c>
      <c r="BZ59" s="18">
        <v>149.90057400000001</v>
      </c>
      <c r="CA59" s="18">
        <v>120.83000199999999</v>
      </c>
      <c r="CB59" s="18">
        <v>136.71000699999999</v>
      </c>
      <c r="CC59" s="18">
        <v>206.53805500000001</v>
      </c>
      <c r="CD59" s="18">
        <v>180.05999800000001</v>
      </c>
      <c r="CE59" s="18">
        <v>21.283918</v>
      </c>
      <c r="CF59" s="18">
        <v>44.310001</v>
      </c>
    </row>
    <row r="60" spans="1:84" x14ac:dyDescent="0.25">
      <c r="A60" s="17">
        <v>43069</v>
      </c>
      <c r="B60" s="18">
        <v>170.53912399999999</v>
      </c>
      <c r="C60" s="18">
        <v>17.893763</v>
      </c>
      <c r="D60" s="18">
        <v>146.20474200000001</v>
      </c>
      <c r="E60" s="18">
        <v>103.983513</v>
      </c>
      <c r="F60" s="18">
        <v>169.87617499999999</v>
      </c>
      <c r="G60" s="18">
        <v>96.147048999999996</v>
      </c>
      <c r="H60" s="18">
        <v>45.000560999999998</v>
      </c>
      <c r="I60" s="18">
        <v>270.64999399999999</v>
      </c>
      <c r="J60" s="18">
        <v>124.93147999999999</v>
      </c>
      <c r="K60" s="18">
        <v>126.339996</v>
      </c>
      <c r="L60" s="18">
        <v>45.000560999999998</v>
      </c>
      <c r="M60" s="18">
        <v>114.868279</v>
      </c>
      <c r="N60" s="18">
        <v>33.113407000000002</v>
      </c>
      <c r="O60" s="18">
        <v>308.85000600000001</v>
      </c>
      <c r="P60" s="18">
        <v>81.690887000000004</v>
      </c>
      <c r="Q60" s="18">
        <v>116.724487</v>
      </c>
      <c r="R60" s="18">
        <v>397.68112200000002</v>
      </c>
      <c r="S60" s="18">
        <v>97.528503000000001</v>
      </c>
      <c r="T60" s="18">
        <v>147.15356399999999</v>
      </c>
      <c r="U60" s="18">
        <v>133.554382</v>
      </c>
      <c r="V60" s="18">
        <v>117.253593</v>
      </c>
      <c r="W60" s="18">
        <v>24.241909</v>
      </c>
      <c r="X60" s="18">
        <v>97.795417999999998</v>
      </c>
      <c r="Y60" s="18">
        <v>137.60086100000001</v>
      </c>
      <c r="Z60" s="18">
        <v>35.601841</v>
      </c>
      <c r="AA60" s="18">
        <v>54.328743000000003</v>
      </c>
      <c r="AB60" s="18">
        <v>209.72515899999999</v>
      </c>
      <c r="AC60" s="18">
        <v>84.707069000000004</v>
      </c>
      <c r="AD60" s="18">
        <v>108.157135</v>
      </c>
      <c r="AE60" s="18">
        <v>129.990005</v>
      </c>
      <c r="AF60" s="18">
        <v>107.300003</v>
      </c>
      <c r="AG60" s="18">
        <v>172.37484699999999</v>
      </c>
      <c r="AH60" s="18">
        <v>177.89909399999999</v>
      </c>
      <c r="AI60" s="18">
        <v>126.372696</v>
      </c>
      <c r="AJ60" s="18">
        <v>121.86145</v>
      </c>
      <c r="AK60" s="18">
        <v>111.172264</v>
      </c>
      <c r="AL60" s="18">
        <v>57.979576000000002</v>
      </c>
      <c r="AM60" s="18">
        <v>106.07</v>
      </c>
      <c r="AN60" s="18">
        <v>72.224379999999996</v>
      </c>
      <c r="AO60" s="18">
        <v>125.130264</v>
      </c>
      <c r="AP60" s="18">
        <v>185.23452800000001</v>
      </c>
      <c r="AQ60" s="18">
        <v>304.39001500000001</v>
      </c>
      <c r="AR60" s="18">
        <v>57.140926</v>
      </c>
      <c r="AS60" s="18">
        <v>45.182510000000001</v>
      </c>
      <c r="AT60" s="18">
        <v>37.552169999999997</v>
      </c>
      <c r="AU60" s="18">
        <v>90.659064999999998</v>
      </c>
      <c r="AV60" s="18">
        <v>62.661178999999997</v>
      </c>
      <c r="AW60" s="18">
        <v>155.19039900000001</v>
      </c>
      <c r="AX60" s="18">
        <v>87.262542999999994</v>
      </c>
      <c r="AY60" s="18">
        <v>49.969276000000001</v>
      </c>
      <c r="AZ60" s="18">
        <v>119.093834</v>
      </c>
      <c r="BA60" s="18">
        <v>112.704353</v>
      </c>
      <c r="BB60" s="18">
        <v>103.45372</v>
      </c>
      <c r="BC60" s="18">
        <v>27.945606000000002</v>
      </c>
      <c r="BD60" s="18">
        <v>112.195526</v>
      </c>
      <c r="BE60" s="18">
        <v>74.873001000000002</v>
      </c>
      <c r="BF60" s="18">
        <v>246.17318700000001</v>
      </c>
      <c r="BG60" s="18">
        <v>54.514023000000002</v>
      </c>
      <c r="BH60" s="18">
        <v>55.745716000000002</v>
      </c>
      <c r="BI60" s="18">
        <v>150.019836</v>
      </c>
      <c r="BJ60" s="18">
        <v>6.4370719999999997</v>
      </c>
      <c r="BK60" s="18">
        <v>97.002303999999995</v>
      </c>
      <c r="BL60" s="18">
        <v>240.50143399999999</v>
      </c>
      <c r="BM60" s="18">
        <v>154.41580200000001</v>
      </c>
      <c r="BN60" s="18">
        <v>94.063782000000003</v>
      </c>
      <c r="BO60" s="18">
        <v>167.61586</v>
      </c>
      <c r="BP60" s="18">
        <v>266.39782700000001</v>
      </c>
      <c r="BQ60" s="18">
        <v>165.23614499999999</v>
      </c>
      <c r="BR60" s="18">
        <v>135.19828799999999</v>
      </c>
      <c r="BS60" s="18">
        <v>127.817604</v>
      </c>
      <c r="BT60" s="18">
        <v>110.32</v>
      </c>
      <c r="BU60" s="18">
        <v>127.519997</v>
      </c>
      <c r="BV60" s="18">
        <v>83.357826000000003</v>
      </c>
      <c r="BW60" s="18">
        <v>44.275939999999999</v>
      </c>
      <c r="BX60" s="18">
        <v>49.691639000000002</v>
      </c>
      <c r="BY60" s="18">
        <v>107.029999</v>
      </c>
      <c r="BZ60" s="18">
        <v>156.48181199999999</v>
      </c>
      <c r="CA60" s="18">
        <v>126.760002</v>
      </c>
      <c r="CB60" s="18">
        <v>148.19000199999999</v>
      </c>
      <c r="CC60" s="18">
        <v>211.33175700000001</v>
      </c>
      <c r="CD60" s="18">
        <v>177.179993</v>
      </c>
      <c r="CE60" s="18">
        <v>21.185154000000001</v>
      </c>
      <c r="CF60" s="18">
        <v>42.389999000000003</v>
      </c>
    </row>
    <row r="61" spans="1:84" x14ac:dyDescent="0.25">
      <c r="A61" s="17">
        <v>43100</v>
      </c>
      <c r="B61" s="18">
        <v>168.54283100000001</v>
      </c>
      <c r="C61" s="18">
        <v>17.071960000000001</v>
      </c>
      <c r="D61" s="18">
        <v>151.924194</v>
      </c>
      <c r="E61" s="18">
        <v>106.652046</v>
      </c>
      <c r="F61" s="18">
        <v>171.037949</v>
      </c>
      <c r="G61" s="18">
        <v>97.650108000000003</v>
      </c>
      <c r="H61" s="18">
        <v>45.478538999999998</v>
      </c>
      <c r="I61" s="18">
        <v>275.89999399999999</v>
      </c>
      <c r="J61" s="18">
        <v>129.317261</v>
      </c>
      <c r="K61" s="18">
        <v>127.16999800000001</v>
      </c>
      <c r="L61" s="18">
        <v>45.478538999999998</v>
      </c>
      <c r="M61" s="18">
        <v>119.040237</v>
      </c>
      <c r="N61" s="18">
        <v>33.848381000000003</v>
      </c>
      <c r="O61" s="18">
        <v>311.35000600000001</v>
      </c>
      <c r="P61" s="18">
        <v>82.793373000000003</v>
      </c>
      <c r="Q61" s="18">
        <v>123.95605500000001</v>
      </c>
      <c r="R61" s="18">
        <v>409.15594499999997</v>
      </c>
      <c r="S61" s="18">
        <v>106.32880400000001</v>
      </c>
      <c r="T61" s="18">
        <v>151.13471999999999</v>
      </c>
      <c r="U61" s="18">
        <v>127.16102600000001</v>
      </c>
      <c r="V61" s="18">
        <v>115.707916</v>
      </c>
      <c r="W61" s="18">
        <v>25.609197999999999</v>
      </c>
      <c r="X61" s="18">
        <v>106.368439</v>
      </c>
      <c r="Y61" s="18">
        <v>138.83100899999999</v>
      </c>
      <c r="Z61" s="18">
        <v>35.887526999999999</v>
      </c>
      <c r="AA61" s="18">
        <v>55.311714000000002</v>
      </c>
      <c r="AB61" s="18">
        <v>219.732483</v>
      </c>
      <c r="AC61" s="18">
        <v>87.537277000000003</v>
      </c>
      <c r="AD61" s="18">
        <v>113.25361599999999</v>
      </c>
      <c r="AE61" s="18">
        <v>147.949997</v>
      </c>
      <c r="AF61" s="18">
        <v>104.709999</v>
      </c>
      <c r="AG61" s="18">
        <v>162.86947599999999</v>
      </c>
      <c r="AH61" s="18">
        <v>188.45526100000001</v>
      </c>
      <c r="AI61" s="18">
        <v>135.41447400000001</v>
      </c>
      <c r="AJ61" s="18">
        <v>119.439171</v>
      </c>
      <c r="AK61" s="18">
        <v>115.22410600000001</v>
      </c>
      <c r="AL61" s="18">
        <v>62.773319000000001</v>
      </c>
      <c r="AM61" s="18">
        <v>143.56376599999999</v>
      </c>
      <c r="AN61" s="18">
        <v>73.402168000000003</v>
      </c>
      <c r="AO61" s="18">
        <v>133.39466899999999</v>
      </c>
      <c r="AP61" s="18">
        <v>188.020599</v>
      </c>
      <c r="AQ61" s="18">
        <v>289.02999899999998</v>
      </c>
      <c r="AR61" s="18">
        <v>57.630375000000001</v>
      </c>
      <c r="AS61" s="18">
        <v>45.121727</v>
      </c>
      <c r="AT61" s="18">
        <v>38.995261999999997</v>
      </c>
      <c r="AU61" s="18">
        <v>91.008285999999998</v>
      </c>
      <c r="AV61" s="18">
        <v>57.088894000000003</v>
      </c>
      <c r="AW61" s="18">
        <v>155.08049</v>
      </c>
      <c r="AX61" s="18">
        <v>83.11824</v>
      </c>
      <c r="AY61" s="18">
        <v>47.464053999999997</v>
      </c>
      <c r="AZ61" s="18">
        <v>105.244339</v>
      </c>
      <c r="BA61" s="18">
        <v>106.74585</v>
      </c>
      <c r="BB61" s="18">
        <v>105.849037</v>
      </c>
      <c r="BC61" s="18">
        <v>29.409645000000001</v>
      </c>
      <c r="BD61" s="18">
        <v>113.821838</v>
      </c>
      <c r="BE61" s="18">
        <v>74.109359999999995</v>
      </c>
      <c r="BF61" s="18">
        <v>254.04686000000001</v>
      </c>
      <c r="BG61" s="18">
        <v>52.962124000000003</v>
      </c>
      <c r="BH61" s="18">
        <v>60.310295000000004</v>
      </c>
      <c r="BI61" s="18">
        <v>150.90716599999999</v>
      </c>
      <c r="BJ61" s="18">
        <v>6.4766849999999998</v>
      </c>
      <c r="BK61" s="18">
        <v>98.590714000000006</v>
      </c>
      <c r="BL61" s="18">
        <v>233.99025</v>
      </c>
      <c r="BM61" s="18">
        <v>152.61833200000001</v>
      </c>
      <c r="BN61" s="18">
        <v>92.528625000000005</v>
      </c>
      <c r="BO61" s="18">
        <v>165.23902899999999</v>
      </c>
      <c r="BP61" s="18">
        <v>258.21276899999998</v>
      </c>
      <c r="BQ61" s="18">
        <v>175.492706</v>
      </c>
      <c r="BR61" s="18">
        <v>131.60815400000001</v>
      </c>
      <c r="BS61" s="18">
        <v>145.78135700000001</v>
      </c>
      <c r="BT61" s="18">
        <v>103.800003</v>
      </c>
      <c r="BU61" s="18">
        <v>134.949997</v>
      </c>
      <c r="BV61" s="18">
        <v>85.140060000000005</v>
      </c>
      <c r="BW61" s="18">
        <v>45.848948999999998</v>
      </c>
      <c r="BX61" s="18">
        <v>51.683605</v>
      </c>
      <c r="BY61" s="18">
        <v>102.230003</v>
      </c>
      <c r="BZ61" s="18">
        <v>157.03916899999999</v>
      </c>
      <c r="CA61" s="18">
        <v>120.099998</v>
      </c>
      <c r="CB61" s="18">
        <v>147.58999600000001</v>
      </c>
      <c r="CC61" s="18">
        <v>193.37982199999999</v>
      </c>
      <c r="CD61" s="18">
        <v>176.46000699999999</v>
      </c>
      <c r="CE61" s="18">
        <v>20.750585999999998</v>
      </c>
      <c r="CF61" s="18">
        <v>41.119999</v>
      </c>
    </row>
    <row r="62" spans="1:84" x14ac:dyDescent="0.25">
      <c r="A62" s="17">
        <v>43131</v>
      </c>
      <c r="B62" s="18">
        <v>166.750137</v>
      </c>
      <c r="C62" s="18">
        <v>16.037277</v>
      </c>
      <c r="D62" s="18">
        <v>162.10395800000001</v>
      </c>
      <c r="E62" s="18">
        <v>108.66999800000001</v>
      </c>
      <c r="F62" s="18">
        <v>170.06411700000001</v>
      </c>
      <c r="G62" s="18">
        <v>105.96822400000001</v>
      </c>
      <c r="H62" s="18">
        <v>47.173575999999997</v>
      </c>
      <c r="I62" s="18">
        <v>281.05999800000001</v>
      </c>
      <c r="J62" s="18">
        <v>134.89292900000001</v>
      </c>
      <c r="K62" s="18">
        <v>137.91999799999999</v>
      </c>
      <c r="L62" s="18">
        <v>47.173575999999997</v>
      </c>
      <c r="M62" s="18">
        <v>119.417458</v>
      </c>
      <c r="N62" s="18">
        <v>35.290000999999997</v>
      </c>
      <c r="O62" s="18">
        <v>354.30999800000001</v>
      </c>
      <c r="P62" s="18">
        <v>86.416327999999993</v>
      </c>
      <c r="Q62" s="18">
        <v>124.114479</v>
      </c>
      <c r="R62" s="18">
        <v>416.21069299999999</v>
      </c>
      <c r="S62" s="18">
        <v>112.387337</v>
      </c>
      <c r="T62" s="18">
        <v>149.52171300000001</v>
      </c>
      <c r="U62" s="18">
        <v>111.22751599999999</v>
      </c>
      <c r="V62" s="18">
        <v>120.681839</v>
      </c>
      <c r="W62" s="18">
        <v>27.274550999999999</v>
      </c>
      <c r="X62" s="18">
        <v>89.745575000000002</v>
      </c>
      <c r="Y62" s="18">
        <v>137.310745</v>
      </c>
      <c r="Z62" s="18">
        <v>36.700001</v>
      </c>
      <c r="AA62" s="18">
        <v>58.736362</v>
      </c>
      <c r="AB62" s="18">
        <v>235.998627</v>
      </c>
      <c r="AC62" s="18">
        <v>100.811386</v>
      </c>
      <c r="AD62" s="18">
        <v>121.396683</v>
      </c>
      <c r="AE62" s="18">
        <v>129</v>
      </c>
      <c r="AF62" s="18">
        <v>101.69000200000001</v>
      </c>
      <c r="AG62" s="18">
        <v>179.47700499999999</v>
      </c>
      <c r="AH62" s="18">
        <v>199.76078799999999</v>
      </c>
      <c r="AI62" s="18">
        <v>146.99749800000001</v>
      </c>
      <c r="AJ62" s="18">
        <v>127.656403</v>
      </c>
      <c r="AK62" s="18">
        <v>123.438057</v>
      </c>
      <c r="AL62" s="18">
        <v>66.292023</v>
      </c>
      <c r="AM62" s="18">
        <v>149.490005</v>
      </c>
      <c r="AN62" s="18">
        <v>81.147628999999995</v>
      </c>
      <c r="AO62" s="18">
        <v>132.797821</v>
      </c>
      <c r="AP62" s="18">
        <v>216.32321200000001</v>
      </c>
      <c r="AQ62" s="18">
        <v>324.76001000000002</v>
      </c>
      <c r="AR62" s="18">
        <v>54.953364999999998</v>
      </c>
      <c r="AS62" s="18">
        <v>40.495136000000002</v>
      </c>
      <c r="AT62" s="18">
        <v>35.993332000000002</v>
      </c>
      <c r="AU62" s="18">
        <v>82.732094000000004</v>
      </c>
      <c r="AV62" s="18">
        <v>52.753281000000001</v>
      </c>
      <c r="AW62" s="18">
        <v>157.294647</v>
      </c>
      <c r="AX62" s="18">
        <v>77.574387000000002</v>
      </c>
      <c r="AY62" s="18">
        <v>44.522841999999997</v>
      </c>
      <c r="AZ62" s="18">
        <v>106.152473</v>
      </c>
      <c r="BA62" s="18">
        <v>103.827011</v>
      </c>
      <c r="BB62" s="18">
        <v>114.489975</v>
      </c>
      <c r="BC62" s="18">
        <v>31.880372999999999</v>
      </c>
      <c r="BD62" s="18">
        <v>124.014099</v>
      </c>
      <c r="BE62" s="18">
        <v>78.162909999999997</v>
      </c>
      <c r="BF62" s="18">
        <v>267.14013699999998</v>
      </c>
      <c r="BG62" s="18">
        <v>56.796196000000002</v>
      </c>
      <c r="BH62" s="18">
        <v>65.389999000000003</v>
      </c>
      <c r="BI62" s="18">
        <v>168.49438499999999</v>
      </c>
      <c r="BJ62" s="18">
        <v>7.3382620000000003</v>
      </c>
      <c r="BK62" s="18">
        <v>98.680060999999995</v>
      </c>
      <c r="BL62" s="18">
        <v>249.031555</v>
      </c>
      <c r="BM62" s="18">
        <v>158.89782700000001</v>
      </c>
      <c r="BN62" s="18">
        <v>101.113365</v>
      </c>
      <c r="BO62" s="18">
        <v>172.79963699999999</v>
      </c>
      <c r="BP62" s="18">
        <v>279.73715199999998</v>
      </c>
      <c r="BQ62" s="18">
        <v>186.778931</v>
      </c>
      <c r="BR62" s="18">
        <v>143.086578</v>
      </c>
      <c r="BS62" s="18">
        <v>143.40980500000001</v>
      </c>
      <c r="BT62" s="18">
        <v>123.160004</v>
      </c>
      <c r="BU62" s="18">
        <v>136.259995</v>
      </c>
      <c r="BV62" s="18">
        <v>94.565781000000001</v>
      </c>
      <c r="BW62" s="18">
        <v>47.815604999999998</v>
      </c>
      <c r="BX62" s="18">
        <v>52.796756999999999</v>
      </c>
      <c r="BY62" s="18">
        <v>113.910004</v>
      </c>
      <c r="BZ62" s="18">
        <v>167.111649</v>
      </c>
      <c r="CA62" s="18">
        <v>131.38000500000001</v>
      </c>
      <c r="CB62" s="18">
        <v>161.64999399999999</v>
      </c>
      <c r="CC62" s="18">
        <v>245.64733899999999</v>
      </c>
      <c r="CD62" s="18">
        <v>186.88999899999999</v>
      </c>
      <c r="CE62" s="18">
        <v>23.183681</v>
      </c>
      <c r="CF62" s="18">
        <v>43.720001000000003</v>
      </c>
    </row>
    <row r="63" spans="1:84" x14ac:dyDescent="0.25">
      <c r="A63" s="17">
        <v>43159</v>
      </c>
      <c r="B63" s="18">
        <v>177.39672899999999</v>
      </c>
      <c r="C63" s="18">
        <v>13.994185999999999</v>
      </c>
      <c r="D63" s="18">
        <v>154.310699</v>
      </c>
      <c r="E63" s="18">
        <v>103.160004</v>
      </c>
      <c r="F63" s="18">
        <v>156.748367</v>
      </c>
      <c r="G63" s="18">
        <v>89.476546999999997</v>
      </c>
      <c r="H63" s="18">
        <v>42.841816000000001</v>
      </c>
      <c r="I63" s="18">
        <v>239.88000500000001</v>
      </c>
      <c r="J63" s="18">
        <v>137.67576600000001</v>
      </c>
      <c r="K63" s="18">
        <v>134.60000600000001</v>
      </c>
      <c r="L63" s="18">
        <v>42.841816000000001</v>
      </c>
      <c r="M63" s="18">
        <v>108.925003</v>
      </c>
      <c r="N63" s="18">
        <v>36.090000000000003</v>
      </c>
      <c r="O63" s="18">
        <v>343.05999800000001</v>
      </c>
      <c r="P63" s="18">
        <v>74.973343</v>
      </c>
      <c r="Q63" s="18">
        <v>110.816849</v>
      </c>
      <c r="R63" s="18">
        <v>400.71417200000002</v>
      </c>
      <c r="S63" s="18">
        <v>108.055542</v>
      </c>
      <c r="T63" s="18">
        <v>140.51857000000001</v>
      </c>
      <c r="U63" s="18">
        <v>100.103767</v>
      </c>
      <c r="V63" s="18">
        <v>122.799385</v>
      </c>
      <c r="W63" s="18">
        <v>26.295465</v>
      </c>
      <c r="X63" s="18">
        <v>89.318068999999994</v>
      </c>
      <c r="Y63" s="18">
        <v>129.053619</v>
      </c>
      <c r="Z63" s="18">
        <v>35.976700000000001</v>
      </c>
      <c r="AA63" s="18">
        <v>53.749969</v>
      </c>
      <c r="AB63" s="18">
        <v>225.41366600000001</v>
      </c>
      <c r="AC63" s="18">
        <v>98.907959000000005</v>
      </c>
      <c r="AD63" s="18">
        <v>114.10289</v>
      </c>
      <c r="AE63" s="18">
        <v>115.849998</v>
      </c>
      <c r="AF63" s="18">
        <v>98.150002000000001</v>
      </c>
      <c r="AG63" s="18">
        <v>153.55012500000001</v>
      </c>
      <c r="AH63" s="18">
        <v>181.236435</v>
      </c>
      <c r="AI63" s="18">
        <v>140.88176000000001</v>
      </c>
      <c r="AJ63" s="18">
        <v>104.879501</v>
      </c>
      <c r="AK63" s="18">
        <v>115.134598</v>
      </c>
      <c r="AL63" s="18">
        <v>64.038475000000005</v>
      </c>
      <c r="AM63" s="18">
        <v>151.89999399999999</v>
      </c>
      <c r="AN63" s="18">
        <v>77.125174999999999</v>
      </c>
      <c r="AO63" s="18">
        <v>129.564911</v>
      </c>
      <c r="AP63" s="18">
        <v>221.86970500000001</v>
      </c>
      <c r="AQ63" s="18">
        <v>318.41000400000001</v>
      </c>
      <c r="AR63" s="18">
        <v>52.863503000000001</v>
      </c>
      <c r="AS63" s="18">
        <v>37.758975999999997</v>
      </c>
      <c r="AT63" s="18">
        <v>33.985416000000001</v>
      </c>
      <c r="AU63" s="18">
        <v>78.942154000000002</v>
      </c>
      <c r="AV63" s="18">
        <v>51.341225000000001</v>
      </c>
      <c r="AW63" s="18">
        <v>151.06918300000001</v>
      </c>
      <c r="AX63" s="18">
        <v>74.451644999999999</v>
      </c>
      <c r="AY63" s="18">
        <v>42.499527</v>
      </c>
      <c r="AZ63" s="18">
        <v>108.09659600000001</v>
      </c>
      <c r="BA63" s="18">
        <v>99.050415000000001</v>
      </c>
      <c r="BB63" s="18">
        <v>114.917252</v>
      </c>
      <c r="BC63" s="18">
        <v>31.979997999999998</v>
      </c>
      <c r="BD63" s="18">
        <v>122.72634100000001</v>
      </c>
      <c r="BE63" s="18">
        <v>75.184989999999999</v>
      </c>
      <c r="BF63" s="18">
        <v>262.19400000000002</v>
      </c>
      <c r="BG63" s="18">
        <v>54.032924999999999</v>
      </c>
      <c r="BH63" s="18">
        <v>58.063693999999998</v>
      </c>
      <c r="BI63" s="18">
        <v>175.51005599999999</v>
      </c>
      <c r="BJ63" s="18">
        <v>6.87</v>
      </c>
      <c r="BK63" s="18">
        <v>97.145302000000001</v>
      </c>
      <c r="BL63" s="18">
        <v>234.129425</v>
      </c>
      <c r="BM63" s="18">
        <v>150.37922699999999</v>
      </c>
      <c r="BN63" s="18">
        <v>97.619124999999997</v>
      </c>
      <c r="BO63" s="18">
        <v>160.63093599999999</v>
      </c>
      <c r="BP63" s="18">
        <v>274.67819200000002</v>
      </c>
      <c r="BQ63" s="18">
        <v>167.07772800000001</v>
      </c>
      <c r="BR63" s="18">
        <v>136.800003</v>
      </c>
      <c r="BS63" s="18">
        <v>133.78064000000001</v>
      </c>
      <c r="BT63" s="18">
        <v>138.13999899999999</v>
      </c>
      <c r="BU63" s="18">
        <v>120.25</v>
      </c>
      <c r="BV63" s="18">
        <v>93.331573000000006</v>
      </c>
      <c r="BW63" s="18">
        <v>48.957858999999999</v>
      </c>
      <c r="BX63" s="18">
        <v>47.146769999999997</v>
      </c>
      <c r="BY63" s="18">
        <v>116.25</v>
      </c>
      <c r="BZ63" s="18">
        <v>166.47190900000001</v>
      </c>
      <c r="CA63" s="18">
        <v>147.39999399999999</v>
      </c>
      <c r="CB63" s="18">
        <v>159.94000199999999</v>
      </c>
      <c r="CC63" s="18">
        <v>241.84970100000001</v>
      </c>
      <c r="CD63" s="18">
        <v>178.320007</v>
      </c>
      <c r="CE63" s="18">
        <v>23.253271000000002</v>
      </c>
      <c r="CF63" s="18">
        <v>48.810001</v>
      </c>
    </row>
    <row r="64" spans="1:84" x14ac:dyDescent="0.25">
      <c r="A64" s="17">
        <v>43190</v>
      </c>
      <c r="B64" s="18">
        <v>167.779999</v>
      </c>
      <c r="C64" s="18">
        <v>13.48</v>
      </c>
      <c r="D64" s="18">
        <v>153.429993</v>
      </c>
      <c r="E64" s="18">
        <v>100.44000200000001</v>
      </c>
      <c r="F64" s="18">
        <v>156.38000500000001</v>
      </c>
      <c r="G64" s="18">
        <v>88.442711000000003</v>
      </c>
      <c r="H64" s="18">
        <v>43.049976000000001</v>
      </c>
      <c r="I64" s="18">
        <v>232.220001</v>
      </c>
      <c r="J64" s="18">
        <v>145.844742</v>
      </c>
      <c r="K64" s="18">
        <v>130.36999499999999</v>
      </c>
      <c r="L64" s="18">
        <v>43.049976000000001</v>
      </c>
      <c r="M64" s="18">
        <v>108.34925800000001</v>
      </c>
      <c r="N64" s="18">
        <v>34.729999999999997</v>
      </c>
      <c r="O64" s="18">
        <v>266.13000499999998</v>
      </c>
      <c r="P64" s="18">
        <v>74.610000999999997</v>
      </c>
      <c r="Q64" s="18">
        <v>114.040001</v>
      </c>
      <c r="R64" s="18">
        <v>392.11999500000002</v>
      </c>
      <c r="S64" s="18">
        <v>111.150002</v>
      </c>
      <c r="T64" s="18">
        <v>136.20105000000001</v>
      </c>
      <c r="U64" s="18">
        <v>92.438744</v>
      </c>
      <c r="V64" s="18">
        <v>116.150284</v>
      </c>
      <c r="W64" s="18">
        <v>24.280000999999999</v>
      </c>
      <c r="X64" s="18">
        <v>85.75</v>
      </c>
      <c r="Y64" s="18">
        <v>128.14999399999999</v>
      </c>
      <c r="Z64" s="18">
        <v>35.490001999999997</v>
      </c>
      <c r="AA64" s="18">
        <v>53.997802999999998</v>
      </c>
      <c r="AB64" s="18">
        <v>213.29379299999999</v>
      </c>
      <c r="AC64" s="18">
        <v>97</v>
      </c>
      <c r="AD64" s="18">
        <v>118.410004</v>
      </c>
      <c r="AE64" s="18">
        <v>112.360001</v>
      </c>
      <c r="AF64" s="18">
        <v>98.739998</v>
      </c>
      <c r="AG64" s="18">
        <v>168.28999300000001</v>
      </c>
      <c r="AH64" s="18">
        <v>177.22929400000001</v>
      </c>
      <c r="AI64" s="18">
        <v>135.979996</v>
      </c>
      <c r="AJ64" s="18">
        <v>110.105026</v>
      </c>
      <c r="AK64" s="18">
        <v>113.79213</v>
      </c>
      <c r="AL64" s="18">
        <v>60.5</v>
      </c>
      <c r="AM64" s="18">
        <v>131.71000699999999</v>
      </c>
      <c r="AN64" s="18">
        <v>76.117073000000005</v>
      </c>
      <c r="AO64" s="18">
        <v>134.429993</v>
      </c>
      <c r="AP64" s="18">
        <v>232.992615</v>
      </c>
      <c r="AQ64" s="18">
        <v>323.10998499999999</v>
      </c>
      <c r="AR64" s="18">
        <v>53.060001</v>
      </c>
      <c r="AS64" s="18">
        <v>37.25</v>
      </c>
      <c r="AT64" s="18">
        <v>34.060001</v>
      </c>
      <c r="AU64" s="18">
        <v>82.129997000000003</v>
      </c>
      <c r="AV64" s="18">
        <v>60.529998999999997</v>
      </c>
      <c r="AW64" s="18">
        <v>163.33000200000001</v>
      </c>
      <c r="AX64" s="18">
        <v>77.470000999999996</v>
      </c>
      <c r="AY64" s="18">
        <v>44.66</v>
      </c>
      <c r="AZ64" s="18">
        <v>110.31843600000001</v>
      </c>
      <c r="BA64" s="18">
        <v>103.493736</v>
      </c>
      <c r="BB64" s="18">
        <v>109.415154</v>
      </c>
      <c r="BC64" s="18">
        <v>29.877887999999999</v>
      </c>
      <c r="BD64" s="18">
        <v>119.620003</v>
      </c>
      <c r="BE64" s="18">
        <v>67.5</v>
      </c>
      <c r="BF64" s="18">
        <v>251.86000100000001</v>
      </c>
      <c r="BG64" s="18">
        <v>50.196148000000001</v>
      </c>
      <c r="BH64" s="18">
        <v>52.41</v>
      </c>
      <c r="BI64" s="18">
        <v>174.91091900000001</v>
      </c>
      <c r="BJ64" s="18">
        <v>6.55</v>
      </c>
      <c r="BK64" s="18">
        <v>92.931122000000002</v>
      </c>
      <c r="BL64" s="18">
        <v>219.520004</v>
      </c>
      <c r="BM64" s="18">
        <v>144.509995</v>
      </c>
      <c r="BN64" s="18">
        <v>97.748917000000006</v>
      </c>
      <c r="BO64" s="18">
        <v>155.87489299999999</v>
      </c>
      <c r="BP64" s="18">
        <v>280.26980600000002</v>
      </c>
      <c r="BQ64" s="18">
        <v>162.08999600000001</v>
      </c>
      <c r="BR64" s="18">
        <v>142.509995</v>
      </c>
      <c r="BS64" s="18">
        <v>136.33999600000001</v>
      </c>
      <c r="BT64" s="18">
        <v>139.19000199999999</v>
      </c>
      <c r="BU64" s="18">
        <v>123.790001</v>
      </c>
      <c r="BV64" s="18">
        <v>91.269997000000004</v>
      </c>
      <c r="BW64" s="18">
        <v>52.080002</v>
      </c>
      <c r="BX64" s="18">
        <v>47.225777000000001</v>
      </c>
      <c r="BY64" s="18">
        <v>116.300003</v>
      </c>
      <c r="BZ64" s="18">
        <v>172.94682299999999</v>
      </c>
      <c r="CA64" s="18">
        <v>149.509995</v>
      </c>
      <c r="CB64" s="18">
        <v>156.69000199999999</v>
      </c>
      <c r="CC64" s="18">
        <v>231.58999600000001</v>
      </c>
      <c r="CD64" s="18">
        <v>159.78999300000001</v>
      </c>
      <c r="CE64" s="18">
        <v>21.791865999999999</v>
      </c>
      <c r="CF64" s="18">
        <v>52.139999000000003</v>
      </c>
    </row>
  </sheetData>
  <mergeCells count="3">
    <mergeCell ref="A1:P1"/>
    <mergeCell ref="Q1:AE1"/>
    <mergeCell ref="AF1:AT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Q64"/>
  <sheetViews>
    <sheetView showGridLines="0" workbookViewId="0">
      <pane ySplit="3" topLeftCell="A4" activePane="bottomLeft" state="frozen"/>
      <selection pane="bottomLeft" sqref="A1:P1"/>
    </sheetView>
  </sheetViews>
  <sheetFormatPr defaultRowHeight="15" x14ac:dyDescent="0.25"/>
  <cols>
    <col min="1" max="1" width="12" customWidth="1"/>
  </cols>
  <sheetData>
    <row r="1" spans="1:121" x14ac:dyDescent="0.25">
      <c r="A1" s="40" t="s">
        <v>122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58" t="s">
        <v>122</v>
      </c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 t="s">
        <v>122</v>
      </c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</row>
    <row r="2" spans="1:121" x14ac:dyDescent="0.25">
      <c r="A2" s="7" t="s">
        <v>72</v>
      </c>
      <c r="B2" s="7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7">
        <v>12</v>
      </c>
      <c r="N2" s="7">
        <v>13</v>
      </c>
      <c r="O2" s="7">
        <v>14</v>
      </c>
      <c r="P2" s="7">
        <v>15</v>
      </c>
      <c r="Q2" s="7">
        <v>16</v>
      </c>
      <c r="R2" s="7">
        <v>17</v>
      </c>
      <c r="S2" s="7">
        <v>18</v>
      </c>
      <c r="T2" s="7">
        <v>19</v>
      </c>
      <c r="U2" s="7">
        <v>20</v>
      </c>
      <c r="V2" s="7">
        <v>21</v>
      </c>
      <c r="W2" s="7">
        <v>22</v>
      </c>
      <c r="X2" s="7">
        <v>23</v>
      </c>
      <c r="Y2" s="7">
        <v>24</v>
      </c>
      <c r="Z2" s="7">
        <v>25</v>
      </c>
      <c r="AA2" s="7">
        <v>26</v>
      </c>
      <c r="AB2" s="7">
        <v>27</v>
      </c>
      <c r="AC2" s="7">
        <v>28</v>
      </c>
      <c r="AD2" s="7">
        <v>29</v>
      </c>
      <c r="AE2" s="7">
        <v>30</v>
      </c>
      <c r="AF2" s="7">
        <v>31</v>
      </c>
      <c r="AG2" s="7">
        <v>32</v>
      </c>
      <c r="AH2" s="7">
        <v>33</v>
      </c>
      <c r="AI2" s="7">
        <v>34</v>
      </c>
      <c r="AJ2" s="7">
        <v>35</v>
      </c>
      <c r="AK2" s="7">
        <v>36</v>
      </c>
      <c r="AL2" s="7">
        <v>37</v>
      </c>
      <c r="AM2" s="7">
        <v>38</v>
      </c>
      <c r="AN2" s="7">
        <v>39</v>
      </c>
      <c r="AO2" s="7">
        <v>40</v>
      </c>
      <c r="AP2" s="7">
        <v>41</v>
      </c>
      <c r="AQ2" s="7">
        <v>42</v>
      </c>
      <c r="AR2" s="7">
        <v>43</v>
      </c>
      <c r="AS2" s="7">
        <v>44</v>
      </c>
      <c r="AT2" s="7">
        <v>45</v>
      </c>
      <c r="AU2" s="7">
        <v>46</v>
      </c>
      <c r="AV2" s="7">
        <v>47</v>
      </c>
      <c r="AW2" s="7">
        <v>48</v>
      </c>
      <c r="AX2" s="7">
        <v>49</v>
      </c>
      <c r="AY2" s="7">
        <v>50</v>
      </c>
      <c r="AZ2" s="7">
        <v>51</v>
      </c>
      <c r="BA2" s="7">
        <v>52</v>
      </c>
      <c r="BB2" s="7">
        <v>53</v>
      </c>
      <c r="BC2" s="7">
        <v>54</v>
      </c>
      <c r="BD2" s="7">
        <v>55</v>
      </c>
      <c r="BE2" s="7">
        <v>56</v>
      </c>
      <c r="BF2" s="7">
        <v>57</v>
      </c>
      <c r="BG2" s="7">
        <v>58</v>
      </c>
      <c r="BH2" s="7">
        <v>59</v>
      </c>
      <c r="BI2" s="7">
        <v>60</v>
      </c>
      <c r="BJ2" s="7">
        <v>61</v>
      </c>
      <c r="BK2" s="7">
        <v>62</v>
      </c>
      <c r="BL2" s="7">
        <v>63</v>
      </c>
      <c r="BM2" s="7">
        <v>64</v>
      </c>
      <c r="BN2" s="7">
        <v>65</v>
      </c>
      <c r="BO2" s="7">
        <v>66</v>
      </c>
      <c r="BP2" s="7">
        <v>67</v>
      </c>
      <c r="BQ2" s="7">
        <v>68</v>
      </c>
      <c r="BR2" s="7">
        <v>69</v>
      </c>
      <c r="BS2" s="7">
        <v>70</v>
      </c>
      <c r="BT2" s="7">
        <v>71</v>
      </c>
      <c r="BU2" s="7">
        <v>72</v>
      </c>
      <c r="BV2" s="7">
        <v>73</v>
      </c>
      <c r="BW2" s="7">
        <v>74</v>
      </c>
      <c r="BX2" s="7">
        <v>75</v>
      </c>
      <c r="BY2" s="7">
        <v>76</v>
      </c>
      <c r="BZ2" s="7">
        <v>77</v>
      </c>
      <c r="CA2" s="7">
        <v>78</v>
      </c>
      <c r="CB2" s="7">
        <v>79</v>
      </c>
      <c r="CC2" s="7">
        <v>80</v>
      </c>
      <c r="CD2" s="7">
        <v>81</v>
      </c>
      <c r="CE2" s="7">
        <v>82</v>
      </c>
      <c r="CF2" s="7">
        <v>83</v>
      </c>
      <c r="CG2" s="7">
        <v>84</v>
      </c>
      <c r="CH2" s="7">
        <v>85</v>
      </c>
      <c r="CI2" s="7">
        <v>86</v>
      </c>
      <c r="CJ2" s="7">
        <v>87</v>
      </c>
      <c r="CK2" s="7">
        <v>88</v>
      </c>
      <c r="CL2" s="7">
        <v>89</v>
      </c>
      <c r="CM2" s="7">
        <v>90</v>
      </c>
      <c r="CN2" s="7">
        <v>91</v>
      </c>
      <c r="CO2" s="7">
        <v>92</v>
      </c>
      <c r="CP2" s="7">
        <v>93</v>
      </c>
      <c r="CQ2" s="7">
        <v>94</v>
      </c>
      <c r="CR2" s="7">
        <v>95</v>
      </c>
      <c r="CS2" s="7">
        <v>96</v>
      </c>
      <c r="CT2" s="7">
        <v>97</v>
      </c>
      <c r="CU2" s="7">
        <v>98</v>
      </c>
      <c r="CV2" s="7">
        <v>99</v>
      </c>
      <c r="CW2" s="7">
        <v>100</v>
      </c>
      <c r="CX2" s="7">
        <v>101</v>
      </c>
      <c r="CY2" s="7">
        <v>102</v>
      </c>
      <c r="CZ2" s="7">
        <v>103</v>
      </c>
      <c r="DA2" s="7">
        <v>104</v>
      </c>
      <c r="DB2" s="7">
        <v>105</v>
      </c>
      <c r="DC2" s="7">
        <v>106</v>
      </c>
      <c r="DD2" s="7">
        <v>107</v>
      </c>
      <c r="DE2" s="7">
        <v>108</v>
      </c>
      <c r="DF2" s="7">
        <v>109</v>
      </c>
      <c r="DG2" s="7">
        <v>110</v>
      </c>
      <c r="DH2" s="7">
        <v>111</v>
      </c>
      <c r="DI2" s="7">
        <v>112</v>
      </c>
      <c r="DJ2" s="7">
        <v>113</v>
      </c>
      <c r="DK2" s="7">
        <v>114</v>
      </c>
      <c r="DL2" s="7">
        <v>115</v>
      </c>
      <c r="DM2" s="7">
        <v>116</v>
      </c>
      <c r="DN2" s="7">
        <v>117</v>
      </c>
      <c r="DO2" s="7">
        <v>118</v>
      </c>
      <c r="DP2" s="7">
        <v>119</v>
      </c>
      <c r="DQ2" s="7">
        <v>120</v>
      </c>
    </row>
    <row r="3" spans="1:121" x14ac:dyDescent="0.25">
      <c r="A3" s="17" t="s">
        <v>104</v>
      </c>
      <c r="B3" t="s">
        <v>79</v>
      </c>
      <c r="C3" t="s">
        <v>80</v>
      </c>
      <c r="D3" t="s">
        <v>81</v>
      </c>
      <c r="E3" t="s">
        <v>83</v>
      </c>
      <c r="F3" t="s">
        <v>284</v>
      </c>
      <c r="G3" t="s">
        <v>85</v>
      </c>
      <c r="H3" t="s">
        <v>285</v>
      </c>
      <c r="I3" t="s">
        <v>286</v>
      </c>
      <c r="J3" t="s">
        <v>287</v>
      </c>
      <c r="K3" t="s">
        <v>288</v>
      </c>
      <c r="L3" t="s">
        <v>285</v>
      </c>
      <c r="M3" t="s">
        <v>290</v>
      </c>
      <c r="N3" t="s">
        <v>291</v>
      </c>
      <c r="O3" t="s">
        <v>292</v>
      </c>
      <c r="P3" t="s">
        <v>293</v>
      </c>
      <c r="Q3" t="s">
        <v>294</v>
      </c>
      <c r="R3" t="s">
        <v>295</v>
      </c>
      <c r="S3" t="s">
        <v>297</v>
      </c>
      <c r="T3" t="s">
        <v>298</v>
      </c>
      <c r="U3" t="s">
        <v>299</v>
      </c>
      <c r="V3" t="s">
        <v>300</v>
      </c>
      <c r="W3" t="s">
        <v>301</v>
      </c>
      <c r="X3" t="s">
        <v>302</v>
      </c>
      <c r="Y3" t="s">
        <v>303</v>
      </c>
      <c r="Z3" t="s">
        <v>304</v>
      </c>
      <c r="AA3" t="s">
        <v>305</v>
      </c>
      <c r="AB3" t="s">
        <v>306</v>
      </c>
      <c r="AC3" t="s">
        <v>308</v>
      </c>
      <c r="AD3" t="s">
        <v>309</v>
      </c>
      <c r="AE3" t="s">
        <v>310</v>
      </c>
      <c r="AF3" t="s">
        <v>311</v>
      </c>
      <c r="AG3" t="s">
        <v>312</v>
      </c>
      <c r="AH3" t="s">
        <v>313</v>
      </c>
      <c r="AI3" t="s">
        <v>314</v>
      </c>
      <c r="AJ3" t="s">
        <v>315</v>
      </c>
      <c r="AK3" t="s">
        <v>316</v>
      </c>
      <c r="AL3" t="s">
        <v>317</v>
      </c>
      <c r="AM3" t="s">
        <v>318</v>
      </c>
      <c r="AN3" t="s">
        <v>319</v>
      </c>
      <c r="AO3" t="s">
        <v>320</v>
      </c>
      <c r="AP3" t="s">
        <v>321</v>
      </c>
      <c r="AQ3" t="s">
        <v>322</v>
      </c>
      <c r="AR3" t="s">
        <v>88</v>
      </c>
      <c r="AS3" t="s">
        <v>90</v>
      </c>
      <c r="AT3" t="s">
        <v>91</v>
      </c>
      <c r="AU3" t="s">
        <v>323</v>
      </c>
      <c r="AV3" t="s">
        <v>324</v>
      </c>
      <c r="AW3" t="s">
        <v>325</v>
      </c>
      <c r="AX3" t="s">
        <v>326</v>
      </c>
      <c r="AY3" t="s">
        <v>327</v>
      </c>
      <c r="AZ3" t="s">
        <v>328</v>
      </c>
      <c r="BA3" t="s">
        <v>329</v>
      </c>
      <c r="BB3" t="s">
        <v>330</v>
      </c>
      <c r="BC3" t="s">
        <v>331</v>
      </c>
      <c r="BD3" t="s">
        <v>332</v>
      </c>
      <c r="BE3" t="s">
        <v>333</v>
      </c>
      <c r="BF3" t="s">
        <v>334</v>
      </c>
      <c r="BG3" t="s">
        <v>335</v>
      </c>
      <c r="BH3" t="s">
        <v>336</v>
      </c>
      <c r="BI3" t="s">
        <v>337</v>
      </c>
      <c r="BJ3" t="s">
        <v>338</v>
      </c>
      <c r="BK3" t="s">
        <v>339</v>
      </c>
      <c r="BL3" t="s">
        <v>340</v>
      </c>
      <c r="BM3" t="s">
        <v>341</v>
      </c>
      <c r="BN3" t="s">
        <v>342</v>
      </c>
      <c r="BO3" t="s">
        <v>343</v>
      </c>
      <c r="BP3" t="s">
        <v>344</v>
      </c>
      <c r="BQ3" t="s">
        <v>345</v>
      </c>
      <c r="BR3" t="s">
        <v>346</v>
      </c>
      <c r="BS3" t="s">
        <v>347</v>
      </c>
      <c r="BT3" t="s">
        <v>348</v>
      </c>
      <c r="BU3" t="s">
        <v>349</v>
      </c>
      <c r="BV3" t="s">
        <v>9</v>
      </c>
      <c r="BW3" t="s">
        <v>350</v>
      </c>
      <c r="BX3" t="s">
        <v>351</v>
      </c>
      <c r="BY3" t="s">
        <v>352</v>
      </c>
      <c r="BZ3" t="s">
        <v>353</v>
      </c>
      <c r="CA3" t="s">
        <v>354</v>
      </c>
      <c r="CB3" t="s">
        <v>355</v>
      </c>
      <c r="CC3" t="s">
        <v>356</v>
      </c>
      <c r="CD3" t="s">
        <v>357</v>
      </c>
      <c r="CE3" t="s">
        <v>358</v>
      </c>
      <c r="CF3" t="s">
        <v>359</v>
      </c>
    </row>
    <row r="4" spans="1:121" x14ac:dyDescent="0.25">
      <c r="A4" s="17">
        <v>41364</v>
      </c>
    </row>
    <row r="5" spans="1:121" x14ac:dyDescent="0.25">
      <c r="A5" s="17">
        <v>41394</v>
      </c>
      <c r="B5" s="37">
        <f>IFERROR(YHHistoricalPricesAdjusted!B5/YHHistoricalPricesAdjusted!B4-1,  "")</f>
        <v>2.7099196847935048E-4</v>
      </c>
      <c r="C5" s="37">
        <f>IFERROR(YHHistoricalPricesAdjusted!C5/YHHistoricalPricesAdjusted!C4-1,  "")</f>
        <v>-3.5899557231892087E-2</v>
      </c>
      <c r="D5" s="37">
        <f>IFERROR(YHHistoricalPricesAdjusted!D5/YHHistoricalPricesAdjusted!D4-1,  "")</f>
        <v>-5.0445540775273634E-2</v>
      </c>
      <c r="E5" s="37">
        <f>IFERROR(YHHistoricalPricesAdjusted!E5/YHHistoricalPricesAdjusted!E4-1,  "")</f>
        <v>0.10633805558395792</v>
      </c>
      <c r="F5" s="37">
        <f>IFERROR(YHHistoricalPricesAdjusted!F5/YHHistoricalPricesAdjusted!F4-1,  "")</f>
        <v>2.4576224904109045E-2</v>
      </c>
      <c r="G5" s="37">
        <f>IFERROR(YHHistoricalPricesAdjusted!G5/YHHistoricalPricesAdjusted!G4-1,  "")</f>
        <v>4.5321579892820152E-2</v>
      </c>
      <c r="H5" s="37">
        <f>IFERROR(YHHistoricalPricesAdjusted!H5/YHHistoricalPricesAdjusted!H4-1,  "")</f>
        <v>5.4313568008222068E-2</v>
      </c>
      <c r="I5" s="37">
        <f>IFERROR(YHHistoricalPricesAdjusted!I5/YHHistoricalPricesAdjusted!I4-1,  "")</f>
        <v>-1.9802032713878148E-2</v>
      </c>
      <c r="J5" s="37">
        <f>IFERROR(YHHistoricalPricesAdjusted!J5/YHHistoricalPricesAdjusted!J4-1,  "")</f>
        <v>2.4657932437670782E-2</v>
      </c>
      <c r="K5" s="37">
        <f>IFERROR(YHHistoricalPricesAdjusted!K5/YHHistoricalPricesAdjusted!K4-1,  "")</f>
        <v>0.14710616730382142</v>
      </c>
      <c r="L5" s="37">
        <f>IFERROR(YHHistoricalPricesAdjusted!L5/YHHistoricalPricesAdjusted!L4-1,  "")</f>
        <v>5.4313568008222068E-2</v>
      </c>
      <c r="M5" s="37">
        <f>IFERROR(YHHistoricalPricesAdjusted!M5/YHHistoricalPricesAdjusted!M4-1,  "")</f>
        <v>4.2472833725358816E-2</v>
      </c>
      <c r="N5" s="37">
        <f>IFERROR(YHHistoricalPricesAdjusted!N5/YHHistoricalPricesAdjusted!N4-1,  "")</f>
        <v>5.0240439873566523E-2</v>
      </c>
      <c r="O5" s="37">
        <f>IFERROR(YHHistoricalPricesAdjusted!O5/YHHistoricalPricesAdjusted!O4-1,  "")</f>
        <v>0.42491431578026684</v>
      </c>
      <c r="P5" s="37">
        <f>IFERROR(YHHistoricalPricesAdjusted!P5/YHHistoricalPricesAdjusted!P4-1,  "")</f>
        <v>-1.2429823787492245E-2</v>
      </c>
      <c r="Q5" s="37">
        <f>IFERROR(YHHistoricalPricesAdjusted!Q5/YHHistoricalPricesAdjusted!Q4-1,  "")</f>
        <v>2.6847437520427508E-2</v>
      </c>
      <c r="R5" s="37">
        <f>IFERROR(YHHistoricalPricesAdjusted!R5/YHHistoricalPricesAdjusted!R4-1,  "")</f>
        <v>8.4197082932436995E-2</v>
      </c>
      <c r="S5" s="37">
        <f>IFERROR(YHHistoricalPricesAdjusted!S5/YHHistoricalPricesAdjusted!S4-1,  "")</f>
        <v>-0.11080218003037823</v>
      </c>
      <c r="T5" s="37">
        <f>IFERROR(YHHistoricalPricesAdjusted!T5/YHHistoricalPricesAdjusted!T4-1,  "")</f>
        <v>1.1327564966692849E-2</v>
      </c>
      <c r="U5" s="37">
        <f>IFERROR(YHHistoricalPricesAdjusted!U5/YHHistoricalPricesAdjusted!U4-1,  "")</f>
        <v>-1.6677179264708908E-2</v>
      </c>
      <c r="V5" s="37">
        <f>IFERROR(YHHistoricalPricesAdjusted!V5/YHHistoricalPricesAdjusted!V4-1,  "")</f>
        <v>1.1265704803048671E-2</v>
      </c>
      <c r="W5" s="37">
        <f>IFERROR(YHHistoricalPricesAdjusted!W5/YHHistoricalPricesAdjusted!W4-1,  "")</f>
        <v>3.3216065365036851E-2</v>
      </c>
      <c r="X5" s="37">
        <f>IFERROR(YHHistoricalPricesAdjusted!X5/YHHistoricalPricesAdjusted!X4-1,  "")</f>
        <v>4.8797154304633938E-2</v>
      </c>
      <c r="Y5" s="37">
        <f>IFERROR(YHHistoricalPricesAdjusted!Y5/YHHistoricalPricesAdjusted!Y4-1,  "")</f>
        <v>4.5382095633903941E-2</v>
      </c>
      <c r="Z5" s="37">
        <f>IFERROR(YHHistoricalPricesAdjusted!Z5/YHHistoricalPricesAdjusted!Z4-1,  "")</f>
        <v>7.2766150488956516E-3</v>
      </c>
      <c r="AA5" s="37">
        <f>IFERROR(YHHistoricalPricesAdjusted!AA5/YHHistoricalPricesAdjusted!AA4-1,  "")</f>
        <v>7.3597971297732157E-2</v>
      </c>
      <c r="AB5" s="37">
        <f>IFERROR(YHHistoricalPricesAdjusted!AB5/YHHistoricalPricesAdjusted!AB4-1,  "")</f>
        <v>5.1619970826074058E-2</v>
      </c>
      <c r="AC5" s="37">
        <f>IFERROR(YHHistoricalPricesAdjusted!AC5/YHHistoricalPricesAdjusted!AC4-1,  "")</f>
        <v>-1.821324548345693E-2</v>
      </c>
      <c r="AD5" s="37">
        <f>IFERROR(YHHistoricalPricesAdjusted!AD5/YHHistoricalPricesAdjusted!AD4-1,  "")</f>
        <v>4.2586491663698656E-2</v>
      </c>
      <c r="AE5" s="37">
        <f>IFERROR(YHHistoricalPricesAdjusted!AE5/YHHistoricalPricesAdjusted!AE4-1,  "")</f>
        <v>9.7092165222476989E-2</v>
      </c>
      <c r="AF5" s="37">
        <f>IFERROR(YHHistoricalPricesAdjusted!AF5/YHHistoricalPricesAdjusted!AF4-1,  "")</f>
        <v>3.0840024379622077E-2</v>
      </c>
      <c r="AG5" s="37">
        <f>IFERROR(YHHistoricalPricesAdjusted!AG5/YHHistoricalPricesAdjusted!AG4-1,  "")</f>
        <v>0.14786659784315859</v>
      </c>
      <c r="AH5" s="37">
        <f>IFERROR(YHHistoricalPricesAdjusted!AH5/YHHistoricalPricesAdjusted!AH4-1,  "")</f>
        <v>5.6940386728263848E-2</v>
      </c>
      <c r="AI5" s="37">
        <f>IFERROR(YHHistoricalPricesAdjusted!AI5/YHHistoricalPricesAdjusted!AI4-1,  "")</f>
        <v>1.9654360637407109E-2</v>
      </c>
      <c r="AJ5" s="37">
        <f>IFERROR(YHHistoricalPricesAdjusted!AJ5/YHHistoricalPricesAdjusted!AJ4-1,  "")</f>
        <v>-6.7777748562034446E-2</v>
      </c>
      <c r="AK5" s="37">
        <f>IFERROR(YHHistoricalPricesAdjusted!AK5/YHHistoricalPricesAdjusted!AK4-1,  "")</f>
        <v>-6.3924516341323678E-2</v>
      </c>
      <c r="AL5" s="37">
        <f>IFERROR(YHHistoricalPricesAdjusted!AL5/YHHistoricalPricesAdjusted!AL4-1,  "")</f>
        <v>-1.8297547568566941E-2</v>
      </c>
      <c r="AM5" s="37">
        <f>IFERROR(YHHistoricalPricesAdjusted!AM5/YHHistoricalPricesAdjusted!AM4-1,  "")</f>
        <v>-7.4119084741477437E-2</v>
      </c>
      <c r="AN5" s="37">
        <f>IFERROR(YHHistoricalPricesAdjusted!AN5/YHHistoricalPricesAdjusted!AN4-1,  "")</f>
        <v>-1.272264289012659E-2</v>
      </c>
      <c r="AO5" s="37">
        <f>IFERROR(YHHistoricalPricesAdjusted!AO5/YHHistoricalPricesAdjusted!AO4-1,  "")</f>
        <v>3.8972338785264071E-2</v>
      </c>
      <c r="AP5" s="37">
        <f>IFERROR(YHHistoricalPricesAdjusted!AP5/YHHistoricalPricesAdjusted!AP4-1,  "")</f>
        <v>7.7432414555148821E-2</v>
      </c>
      <c r="AQ5" s="37">
        <f>IFERROR(YHHistoricalPricesAdjusted!AQ5/YHHistoricalPricesAdjusted!AQ4-1,  "")</f>
        <v>0.11452422000374707</v>
      </c>
      <c r="AR5" s="37">
        <f>IFERROR(YHHistoricalPricesAdjusted!AR5/YHHistoricalPricesAdjusted!AR4-1,  "")</f>
        <v>-3.6303714600016135E-2</v>
      </c>
      <c r="AS5" s="37">
        <f>IFERROR(YHHistoricalPricesAdjusted!AS5/YHHistoricalPricesAdjusted!AS4-1,  "")</f>
        <v>7.5379603752629976E-3</v>
      </c>
      <c r="AT5" s="37">
        <f>IFERROR(YHHistoricalPricesAdjusted!AT5/YHHistoricalPricesAdjusted!AT4-1,  "")</f>
        <v>9.2239501411508495E-3</v>
      </c>
      <c r="AU5" s="37">
        <f>IFERROR(YHHistoricalPricesAdjusted!AU5/YHHistoricalPricesAdjusted!AU4-1,  "")</f>
        <v>1.061770880882773E-2</v>
      </c>
      <c r="AV5" s="37">
        <f>IFERROR(YHHistoricalPricesAdjusted!AV5/YHHistoricalPricesAdjusted!AV4-1,  "")</f>
        <v>-2.5658615344826607E-2</v>
      </c>
      <c r="AW5" s="37">
        <f>IFERROR(YHHistoricalPricesAdjusted!AW5/YHHistoricalPricesAdjusted!AW4-1,  "")</f>
        <v>5.5998834644681805E-2</v>
      </c>
      <c r="AX5" s="37">
        <f>IFERROR(YHHistoricalPricesAdjusted!AX5/YHHistoricalPricesAdjusted!AX4-1,  "")</f>
        <v>3.5955434848452539E-2</v>
      </c>
      <c r="AY5" s="37">
        <f>IFERROR(YHHistoricalPricesAdjusted!AY5/YHHistoricalPricesAdjusted!AY4-1,  "")</f>
        <v>2.7920184439290008E-2</v>
      </c>
      <c r="AZ5" s="37">
        <f>IFERROR(YHHistoricalPricesAdjusted!AZ5/YHHistoricalPricesAdjusted!AZ4-1,  "")</f>
        <v>4.4710767620609548E-2</v>
      </c>
      <c r="BA5" s="37">
        <f>IFERROR(YHHistoricalPricesAdjusted!BA5/YHHistoricalPricesAdjusted!BA4-1,  "")</f>
        <v>7.6409842030396247E-2</v>
      </c>
      <c r="BB5" s="37">
        <f>IFERROR(YHHistoricalPricesAdjusted!BB5/YHHistoricalPricesAdjusted!BB4-1,  "")</f>
        <v>3.2659012085022754E-2</v>
      </c>
      <c r="BC5" s="37">
        <f>IFERROR(YHHistoricalPricesAdjusted!BC5/YHHistoricalPricesAdjusted!BC4-1,  "")</f>
        <v>1.0673203073700455E-2</v>
      </c>
      <c r="BD5" s="37">
        <f>IFERROR(YHHistoricalPricesAdjusted!BD5/YHHistoricalPricesAdjusted!BD4-1,  "")</f>
        <v>-8.125268064615998E-3</v>
      </c>
      <c r="BE5" s="37">
        <f>IFERROR(YHHistoricalPricesAdjusted!BE5/YHHistoricalPricesAdjusted!BE4-1,  "")</f>
        <v>5.4701252435129799E-2</v>
      </c>
      <c r="BF5" s="37">
        <f>IFERROR(YHHistoricalPricesAdjusted!BF5/YHHistoricalPricesAdjusted!BF4-1,  "")</f>
        <v>-7.3390561571869961E-3</v>
      </c>
      <c r="BG5" s="37">
        <f>IFERROR(YHHistoricalPricesAdjusted!BG5/YHHistoricalPricesAdjusted!BG4-1,  "")</f>
        <v>-1.3443210328433097E-2</v>
      </c>
      <c r="BH5" s="37">
        <f>IFERROR(YHHistoricalPricesAdjusted!BH5/YHHistoricalPricesAdjusted!BH4-1,  "")</f>
        <v>2.6763999056691468E-2</v>
      </c>
      <c r="BI5" s="37">
        <f>IFERROR(YHHistoricalPricesAdjusted!BI5/YHHistoricalPricesAdjusted!BI4-1,  "")</f>
        <v>2.1806319907915928E-2</v>
      </c>
      <c r="BJ5" s="37">
        <f>IFERROR(YHHistoricalPricesAdjusted!BJ5/YHHistoricalPricesAdjusted!BJ4-1,  "")</f>
        <v>6.4611150015758678E-2</v>
      </c>
      <c r="BK5" s="37">
        <f>IFERROR(YHHistoricalPricesAdjusted!BK5/YHHistoricalPricesAdjusted!BK4-1,  "")</f>
        <v>1.4081975793697632E-2</v>
      </c>
      <c r="BL5" s="37">
        <f>IFERROR(YHHistoricalPricesAdjusted!BL5/YHHistoricalPricesAdjusted!BL4-1,  "")</f>
        <v>-1.5050144113917141E-2</v>
      </c>
      <c r="BM5" s="37">
        <f>IFERROR(YHHistoricalPricesAdjusted!BM5/YHHistoricalPricesAdjusted!BM4-1,  "")</f>
        <v>-2.4021434002914011E-2</v>
      </c>
      <c r="BN5" s="37">
        <f>IFERROR(YHHistoricalPricesAdjusted!BN5/YHHistoricalPricesAdjusted!BN4-1,  "")</f>
        <v>-1.8938950204721916E-2</v>
      </c>
      <c r="BO5" s="37">
        <f>IFERROR(YHHistoricalPricesAdjusted!BO5/YHHistoricalPricesAdjusted!BO4-1,  "")</f>
        <v>6.5995688213813519E-2</v>
      </c>
      <c r="BP5" s="37">
        <f>IFERROR(YHHistoricalPricesAdjusted!BP5/YHHistoricalPricesAdjusted!BP4-1,  "")</f>
        <v>-6.0168100458172336E-2</v>
      </c>
      <c r="BQ5" s="37">
        <f>IFERROR(YHHistoricalPricesAdjusted!BQ5/YHHistoricalPricesAdjusted!BQ4-1,  "")</f>
        <v>-8.134013279815866E-2</v>
      </c>
      <c r="BR5" s="37">
        <f>IFERROR(YHHistoricalPricesAdjusted!BR5/YHHistoricalPricesAdjusted!BR4-1,  "")</f>
        <v>-2.6020135587564108E-2</v>
      </c>
      <c r="BS5" s="37">
        <f>IFERROR(YHHistoricalPricesAdjusted!BS5/YHHistoricalPricesAdjusted!BS4-1,  "")</f>
        <v>5.367687943711541E-2</v>
      </c>
      <c r="BT5" s="37">
        <f>IFERROR(YHHistoricalPricesAdjusted!BT5/YHHistoricalPricesAdjusted!BT4-1,  "")</f>
        <v>-1.0184574364850985E-2</v>
      </c>
      <c r="BU5" s="37">
        <f>IFERROR(YHHistoricalPricesAdjusted!BU5/YHHistoricalPricesAdjusted!BU4-1,  "")</f>
        <v>-1.6891212508109099E-2</v>
      </c>
      <c r="BV5" s="37">
        <f>IFERROR(YHHistoricalPricesAdjusted!BV5/YHHistoricalPricesAdjusted!BV4-1,  "")</f>
        <v>0.15693787600785858</v>
      </c>
      <c r="BW5" s="37">
        <f>IFERROR(YHHistoricalPricesAdjusted!BW5/YHHistoricalPricesAdjusted!BW4-1,  "")</f>
        <v>9.6611667289136838E-2</v>
      </c>
      <c r="BX5" s="37">
        <f>IFERROR(YHHistoricalPricesAdjusted!BX5/YHHistoricalPricesAdjusted!BX4-1,  "")</f>
        <v>9.6846084296044133E-2</v>
      </c>
      <c r="BY5" s="37">
        <f>IFERROR(YHHistoricalPricesAdjusted!BY5/YHHistoricalPricesAdjusted!BY4-1,  "")</f>
        <v>-8.0467460716882044E-2</v>
      </c>
      <c r="BZ5" s="37">
        <f>IFERROR(YHHistoricalPricesAdjusted!BZ5/YHHistoricalPricesAdjusted!BZ4-1,  "")</f>
        <v>-9.1684685745438199E-2</v>
      </c>
      <c r="CA5" s="37">
        <f>IFERROR(YHHistoricalPricesAdjusted!CA5/YHHistoricalPricesAdjusted!CA4-1,  "")</f>
        <v>-5.2017423812946495E-2</v>
      </c>
      <c r="CB5" s="37">
        <f>IFERROR(YHHistoricalPricesAdjusted!CB5/YHHistoricalPricesAdjusted!CB4-1,  "")</f>
        <v>-6.877880296681016E-3</v>
      </c>
      <c r="CC5" s="37">
        <f>IFERROR(YHHistoricalPricesAdjusted!CC5/YHHistoricalPricesAdjusted!CC4-1,  "")</f>
        <v>7.3265980534463981E-2</v>
      </c>
      <c r="CD5" s="37">
        <f>IFERROR(YHHistoricalPricesAdjusted!CD5/YHHistoricalPricesAdjusted!CD4-1,  "")</f>
        <v>8.5613760750586465E-2</v>
      </c>
      <c r="CE5" s="37">
        <f>IFERROR(YHHistoricalPricesAdjusted!CE5/YHHistoricalPricesAdjusted!CE4-1,  "")</f>
        <v>-0.12377820501013082</v>
      </c>
      <c r="CF5" s="37">
        <f>IFERROR(YHHistoricalPricesAdjusted!CF5/YHHistoricalPricesAdjusted!CF4-1,  "")</f>
        <v>-5.6112224448897852E-2</v>
      </c>
    </row>
    <row r="6" spans="1:121" x14ac:dyDescent="0.25">
      <c r="A6" s="17">
        <v>41425</v>
      </c>
      <c r="B6" s="37">
        <f>IFERROR(YHHistoricalPricesAdjusted!B6/YHHistoricalPricesAdjusted!B5-1,  "")</f>
        <v>1.569627256771633E-2</v>
      </c>
      <c r="C6" s="37">
        <f>IFERROR(YHHistoricalPricesAdjusted!C6/YHHistoricalPricesAdjusted!C5-1,  "")</f>
        <v>4.6208748823511892E-2</v>
      </c>
      <c r="D6" s="37">
        <f>IFERROR(YHHistoricalPricesAdjusted!D6/YHHistoricalPricesAdjusted!D5-1,  "")</f>
        <v>2.705646290095487E-2</v>
      </c>
      <c r="E6" s="37">
        <f>IFERROR(YHHistoricalPricesAdjusted!E6/YHHistoricalPricesAdjusted!E5-1,  "")</f>
        <v>3.8192092076665407E-3</v>
      </c>
      <c r="F6" s="37">
        <f>IFERROR(YHHistoricalPricesAdjusted!F6/YHHistoricalPricesAdjusted!F5-1,  "")</f>
        <v>-5.4532923479989281E-2</v>
      </c>
      <c r="G6" s="37">
        <f>IFERROR(YHHistoricalPricesAdjusted!G6/YHHistoricalPricesAdjusted!G5-1,  "")</f>
        <v>-3.7056206585868834E-2</v>
      </c>
      <c r="H6" s="37">
        <f>IFERROR(YHHistoricalPricesAdjusted!H6/YHHistoricalPricesAdjusted!H5-1,  "")</f>
        <v>-5.5279978100019722E-2</v>
      </c>
      <c r="I6" s="37">
        <f>IFERROR(YHHistoricalPricesAdjusted!I6/YHHistoricalPricesAdjusted!I5-1,  "")</f>
        <v>2.6154492049634825E-3</v>
      </c>
      <c r="J6" s="37">
        <f>IFERROR(YHHistoricalPricesAdjusted!J6/YHHistoricalPricesAdjusted!J5-1,  "")</f>
        <v>4.9571628660137756E-2</v>
      </c>
      <c r="K6" s="37">
        <f>IFERROR(YHHistoricalPricesAdjusted!K6/YHHistoricalPricesAdjusted!K5-1,  "")</f>
        <v>1.0748309986798654E-2</v>
      </c>
      <c r="L6" s="37">
        <f>IFERROR(YHHistoricalPricesAdjusted!L6/YHHistoricalPricesAdjusted!L5-1,  "")</f>
        <v>-5.5279978100019722E-2</v>
      </c>
      <c r="M6" s="37">
        <f>IFERROR(YHHistoricalPricesAdjusted!M6/YHHistoricalPricesAdjusted!M5-1,  "")</f>
        <v>-2.0613745483062607E-2</v>
      </c>
      <c r="N6" s="37">
        <f>IFERROR(YHHistoricalPricesAdjusted!N6/YHHistoricalPricesAdjusted!N5-1,  "")</f>
        <v>-6.0280160355437928E-2</v>
      </c>
      <c r="O6" s="37">
        <f>IFERROR(YHHistoricalPricesAdjusted!O6/YHHistoricalPricesAdjusted!O5-1,  "")</f>
        <v>0.8107056562064956</v>
      </c>
      <c r="P6" s="37">
        <f>IFERROR(YHHistoricalPricesAdjusted!P6/YHHistoricalPricesAdjusted!P5-1,  "")</f>
        <v>1.6631472699327077E-2</v>
      </c>
      <c r="Q6" s="37">
        <f>IFERROR(YHHistoricalPricesAdjusted!Q6/YHHistoricalPricesAdjusted!Q5-1,  "")</f>
        <v>6.0650425708199673E-3</v>
      </c>
      <c r="R6" s="37">
        <f>IFERROR(YHHistoricalPricesAdjusted!R6/YHHistoricalPricesAdjusted!R5-1,  "")</f>
        <v>2.9599351054578893E-2</v>
      </c>
      <c r="S6" s="37">
        <f>IFERROR(YHHistoricalPricesAdjusted!S6/YHHistoricalPricesAdjusted!S5-1,  "")</f>
        <v>0.12340667347857281</v>
      </c>
      <c r="T6" s="37">
        <f>IFERROR(YHHistoricalPricesAdjusted!T6/YHHistoricalPricesAdjusted!T5-1,  "")</f>
        <v>4.0160945352176958E-2</v>
      </c>
      <c r="U6" s="37">
        <f>IFERROR(YHHistoricalPricesAdjusted!U6/YHHistoricalPricesAdjusted!U5-1,  "")</f>
        <v>9.25715595070562E-2</v>
      </c>
      <c r="V6" s="37">
        <f>IFERROR(YHHistoricalPricesAdjusted!V6/YHHistoricalPricesAdjusted!V5-1,  "")</f>
        <v>-5.4444937894845613E-2</v>
      </c>
      <c r="W6" s="37">
        <f>IFERROR(YHHistoricalPricesAdjusted!W6/YHHistoricalPricesAdjusted!W5-1,  "")</f>
        <v>-8.4938258752055296E-3</v>
      </c>
      <c r="X6" s="37">
        <f>IFERROR(YHHistoricalPricesAdjusted!X6/YHHistoricalPricesAdjusted!X5-1,  "")</f>
        <v>4.2337462639383094E-2</v>
      </c>
      <c r="Y6" s="37">
        <f>IFERROR(YHHistoricalPricesAdjusted!Y6/YHHistoricalPricesAdjusted!Y5-1,  "")</f>
        <v>-1.231989793297672E-2</v>
      </c>
      <c r="Z6" s="37">
        <f>IFERROR(YHHistoricalPricesAdjusted!Z6/YHHistoricalPricesAdjusted!Z5-1,  "")</f>
        <v>-6.3295550770029463E-2</v>
      </c>
      <c r="AA6" s="37">
        <f>IFERROR(YHHistoricalPricesAdjusted!AA6/YHHistoricalPricesAdjusted!AA5-1,  "")</f>
        <v>-6.3826863797570299E-3</v>
      </c>
      <c r="AB6" s="37">
        <f>IFERROR(YHHistoricalPricesAdjusted!AB6/YHHistoricalPricesAdjusted!AB5-1,  "")</f>
        <v>4.505271253314258E-2</v>
      </c>
      <c r="AC6" s="37">
        <f>IFERROR(YHHistoricalPricesAdjusted!AC6/YHHistoricalPricesAdjusted!AC5-1,  "")</f>
        <v>-2.0807154181310072E-2</v>
      </c>
      <c r="AD6" s="37">
        <f>IFERROR(YHHistoricalPricesAdjusted!AD6/YHHistoricalPricesAdjusted!AD5-1,  "")</f>
        <v>3.8294122057666469E-2</v>
      </c>
      <c r="AE6" s="37">
        <f>IFERROR(YHHistoricalPricesAdjusted!AE6/YHHistoricalPricesAdjusted!AE5-1,  "")</f>
        <v>-4.3426325897369944E-3</v>
      </c>
      <c r="AF6" s="37">
        <f>IFERROR(YHHistoricalPricesAdjusted!AF6/YHHistoricalPricesAdjusted!AF5-1,  "")</f>
        <v>-3.3057851239669422E-2</v>
      </c>
      <c r="AG6" s="37">
        <f>IFERROR(YHHistoricalPricesAdjusted!AG6/YHHistoricalPricesAdjusted!AG5-1,  "")</f>
        <v>0.16608329618529116</v>
      </c>
      <c r="AH6" s="37">
        <f>IFERROR(YHHistoricalPricesAdjusted!AH6/YHHistoricalPricesAdjusted!AH5-1,  "")</f>
        <v>7.2392579884276609E-2</v>
      </c>
      <c r="AI6" s="37">
        <f>IFERROR(YHHistoricalPricesAdjusted!AI6/YHHistoricalPricesAdjusted!AI5-1,  "")</f>
        <v>-2.4384994047059183E-2</v>
      </c>
      <c r="AJ6" s="37">
        <f>IFERROR(YHHistoricalPricesAdjusted!AJ6/YHHistoricalPricesAdjusted!AJ5-1,  "")</f>
        <v>2.9907033760143475E-2</v>
      </c>
      <c r="AK6" s="37">
        <f>IFERROR(YHHistoricalPricesAdjusted!AK6/YHHistoricalPricesAdjusted!AK5-1,  "")</f>
        <v>-3.262327671137355E-2</v>
      </c>
      <c r="AL6" s="37">
        <f>IFERROR(YHHistoricalPricesAdjusted!AL6/YHHistoricalPricesAdjusted!AL5-1,  "")</f>
        <v>-2.8087901318425201E-2</v>
      </c>
      <c r="AM6" s="37">
        <f>IFERROR(YHHistoricalPricesAdjusted!AM6/YHHistoricalPricesAdjusted!AM5-1,  "")</f>
        <v>4.7900318478251824E-2</v>
      </c>
      <c r="AN6" s="37">
        <f>IFERROR(YHHistoricalPricesAdjusted!AN6/YHHistoricalPricesAdjusted!AN5-1,  "")</f>
        <v>-3.6551051189992689E-2</v>
      </c>
      <c r="AO6" s="37">
        <f>IFERROR(YHHistoricalPricesAdjusted!AO6/YHHistoricalPricesAdjusted!AO5-1,  "")</f>
        <v>4.5011817761075212E-2</v>
      </c>
      <c r="AP6" s="37">
        <f>IFERROR(YHHistoricalPricesAdjusted!AP6/YHHistoricalPricesAdjusted!AP5-1,  "")</f>
        <v>7.3731786684270606E-2</v>
      </c>
      <c r="AQ6" s="37">
        <f>IFERROR(YHHistoricalPricesAdjusted!AQ6/YHHistoricalPricesAdjusted!AQ5-1,  "")</f>
        <v>-6.0299071778963098E-3</v>
      </c>
      <c r="AR6" s="37">
        <f>IFERROR(YHHistoricalPricesAdjusted!AR6/YHHistoricalPricesAdjusted!AR5-1,  "")</f>
        <v>-4.2357705973770199E-2</v>
      </c>
      <c r="AS6" s="37">
        <f>IFERROR(YHHistoricalPricesAdjusted!AS6/YHHistoricalPricesAdjusted!AS5-1,  "")</f>
        <v>-1.59604029137419E-2</v>
      </c>
      <c r="AT6" s="37">
        <f>IFERROR(YHHistoricalPricesAdjusted!AT6/YHHistoricalPricesAdjusted!AT5-1,  "")</f>
        <v>-2.0170366703139986E-2</v>
      </c>
      <c r="AU6" s="37">
        <f>IFERROR(YHHistoricalPricesAdjusted!AU6/YHHistoricalPricesAdjusted!AU5-1,  "")</f>
        <v>-4.6322588764308503E-2</v>
      </c>
      <c r="AV6" s="37">
        <f>IFERROR(YHHistoricalPricesAdjusted!AV6/YHHistoricalPricesAdjusted!AV5-1,  "")</f>
        <v>-3.8621677145438404E-3</v>
      </c>
      <c r="AW6" s="37">
        <f>IFERROR(YHHistoricalPricesAdjusted!AW6/YHHistoricalPricesAdjusted!AW5-1,  "")</f>
        <v>-7.814185664621065E-2</v>
      </c>
      <c r="AX6" s="37">
        <f>IFERROR(YHHistoricalPricesAdjusted!AX6/YHHistoricalPricesAdjusted!AX5-1,  "")</f>
        <v>-0.10997320562799096</v>
      </c>
      <c r="AY6" s="37">
        <f>IFERROR(YHHistoricalPricesAdjusted!AY6/YHHistoricalPricesAdjusted!AY5-1,  "")</f>
        <v>-8.9778252518608492E-2</v>
      </c>
      <c r="AZ6" s="37">
        <f>IFERROR(YHHistoricalPricesAdjusted!AZ6/YHHistoricalPricesAdjusted!AZ5-1,  "")</f>
        <v>-1.870878205903248E-2</v>
      </c>
      <c r="BA6" s="37">
        <f>IFERROR(YHHistoricalPricesAdjusted!BA6/YHHistoricalPricesAdjusted!BA5-1,  "")</f>
        <v>-8.6031754030969521E-2</v>
      </c>
      <c r="BB6" s="37">
        <f>IFERROR(YHHistoricalPricesAdjusted!BB6/YHHistoricalPricesAdjusted!BB5-1,  "")</f>
        <v>0.1208189037688272</v>
      </c>
      <c r="BC6" s="37">
        <f>IFERROR(YHHistoricalPricesAdjusted!BC6/YHHistoricalPricesAdjusted!BC5-1,  "")</f>
        <v>0.10966699826397042</v>
      </c>
      <c r="BD6" s="37">
        <f>IFERROR(YHHistoricalPricesAdjusted!BD6/YHHistoricalPricesAdjusted!BD5-1,  "")</f>
        <v>5.746171286201629E-2</v>
      </c>
      <c r="BE6" s="37">
        <f>IFERROR(YHHistoricalPricesAdjusted!BE6/YHHistoricalPricesAdjusted!BE5-1,  "")</f>
        <v>0.11423068944610404</v>
      </c>
      <c r="BF6" s="37">
        <f>IFERROR(YHHistoricalPricesAdjusted!BF6/YHHistoricalPricesAdjusted!BF5-1,  "")</f>
        <v>0.10960489706529963</v>
      </c>
      <c r="BG6" s="37">
        <f>IFERROR(YHHistoricalPricesAdjusted!BG6/YHHistoricalPricesAdjusted!BG5-1,  "")</f>
        <v>5.3485565860949214E-2</v>
      </c>
      <c r="BH6" s="37">
        <f>IFERROR(YHHistoricalPricesAdjusted!BH6/YHHistoricalPricesAdjusted!BH5-1,  "")</f>
        <v>6.7666886186512176E-2</v>
      </c>
      <c r="BI6" s="37">
        <f>IFERROR(YHHistoricalPricesAdjusted!BI6/YHHistoricalPricesAdjusted!BI5-1,  "")</f>
        <v>4.3038769823768641E-2</v>
      </c>
      <c r="BJ6" s="37">
        <f>IFERROR(YHHistoricalPricesAdjusted!BJ6/YHHistoricalPricesAdjusted!BJ5-1,  "")</f>
        <v>2.2663354966256044E-2</v>
      </c>
      <c r="BK6" s="37">
        <f>IFERROR(YHHistoricalPricesAdjusted!BK6/YHHistoricalPricesAdjusted!BK5-1,  "")</f>
        <v>0.10999183259889511</v>
      </c>
      <c r="BL6" s="37">
        <f>IFERROR(YHHistoricalPricesAdjusted!BL6/YHHistoricalPricesAdjusted!BL5-1,  "")</f>
        <v>5.3098970776877641E-2</v>
      </c>
      <c r="BM6" s="37">
        <f>IFERROR(YHHistoricalPricesAdjusted!BM6/YHHistoricalPricesAdjusted!BM5-1,  "")</f>
        <v>6.6902323324148805E-2</v>
      </c>
      <c r="BN6" s="37">
        <f>IFERROR(YHHistoricalPricesAdjusted!BN6/YHHistoricalPricesAdjusted!BN5-1,  "")</f>
        <v>1.4440479924498817E-2</v>
      </c>
      <c r="BO6" s="37">
        <f>IFERROR(YHHistoricalPricesAdjusted!BO6/YHHistoricalPricesAdjusted!BO5-1,  "")</f>
        <v>8.627597617408056E-2</v>
      </c>
      <c r="BP6" s="37">
        <f>IFERROR(YHHistoricalPricesAdjusted!BP6/YHHistoricalPricesAdjusted!BP5-1,  "")</f>
        <v>3.9591630960689628E-2</v>
      </c>
      <c r="BQ6" s="37">
        <f>IFERROR(YHHistoricalPricesAdjusted!BQ6/YHHistoricalPricesAdjusted!BQ5-1,  "")</f>
        <v>0.1244478755486258</v>
      </c>
      <c r="BR6" s="37">
        <f>IFERROR(YHHistoricalPricesAdjusted!BR6/YHHistoricalPricesAdjusted!BR5-1,  "")</f>
        <v>6.2768813478010221E-2</v>
      </c>
      <c r="BS6" s="37">
        <f>IFERROR(YHHistoricalPricesAdjusted!BS6/YHHistoricalPricesAdjusted!BS5-1,  "")</f>
        <v>2.4895938265874662E-2</v>
      </c>
      <c r="BT6" s="37">
        <f>IFERROR(YHHistoricalPricesAdjusted!BT6/YHHistoricalPricesAdjusted!BT5-1,  "")</f>
        <v>-2.1221906914387745E-2</v>
      </c>
      <c r="BU6" s="37">
        <f>IFERROR(YHHistoricalPricesAdjusted!BU6/YHHistoricalPricesAdjusted!BU5-1,  "")</f>
        <v>9.2993680445373483E-2</v>
      </c>
      <c r="BV6" s="37">
        <f>IFERROR(YHHistoricalPricesAdjusted!BV6/YHHistoricalPricesAdjusted!BV5-1,  "")</f>
        <v>5.4380920691586843E-2</v>
      </c>
      <c r="BW6" s="37">
        <f>IFERROR(YHHistoricalPricesAdjusted!BW6/YHHistoricalPricesAdjusted!BW5-1,  "")</f>
        <v>1.3778724023767897E-2</v>
      </c>
      <c r="BX6" s="37">
        <f>IFERROR(YHHistoricalPricesAdjusted!BX6/YHHistoricalPricesAdjusted!BX5-1,  "")</f>
        <v>-9.1280615746053062E-2</v>
      </c>
      <c r="BY6" s="37">
        <f>IFERROR(YHHistoricalPricesAdjusted!BY6/YHHistoricalPricesAdjusted!BY5-1,  "")</f>
        <v>2.9676501345743178E-2</v>
      </c>
      <c r="BZ6" s="37">
        <f>IFERROR(YHHistoricalPricesAdjusted!BZ6/YHHistoricalPricesAdjusted!BZ5-1,  "")</f>
        <v>-1.7529817952432025E-2</v>
      </c>
      <c r="CA6" s="37">
        <f>IFERROR(YHHistoricalPricesAdjusted!CA6/YHHistoricalPricesAdjusted!CA5-1,  "")</f>
        <v>6.2591278948465057E-3</v>
      </c>
      <c r="CB6" s="37">
        <f>IFERROR(YHHistoricalPricesAdjusted!CB6/YHHistoricalPricesAdjusted!CB5-1,  "")</f>
        <v>-7.865447590088448E-2</v>
      </c>
      <c r="CC6" s="37">
        <f>IFERROR(YHHistoricalPricesAdjusted!CC6/YHHistoricalPricesAdjusted!CC5-1,  "")</f>
        <v>5.0835197325139525E-2</v>
      </c>
      <c r="CD6" s="37">
        <f>IFERROR(YHHistoricalPricesAdjusted!CD6/YHHistoricalPricesAdjusted!CD5-1,  "")</f>
        <v>-0.12315448325531142</v>
      </c>
      <c r="CE6" s="37">
        <f>IFERROR(YHHistoricalPricesAdjusted!CE6/YHHistoricalPricesAdjusted!CE5-1,  "")</f>
        <v>0.18543653948457361</v>
      </c>
      <c r="CF6" s="37">
        <f>IFERROR(YHHistoricalPricesAdjusted!CF6/YHHistoricalPricesAdjusted!CF5-1,  "")</f>
        <v>0.23991507430997872</v>
      </c>
    </row>
    <row r="7" spans="1:121" x14ac:dyDescent="0.25">
      <c r="A7" s="17">
        <v>41455</v>
      </c>
      <c r="B7" s="37">
        <f>IFERROR(YHHistoricalPricesAdjusted!B7/YHHistoricalPricesAdjusted!B6-1,  "")</f>
        <v>-7.5751121899172214E-2</v>
      </c>
      <c r="C7" s="37">
        <f>IFERROR(YHHistoricalPricesAdjusted!C7/YHHistoricalPricesAdjusted!C6-1,  "")</f>
        <v>-5.5744727761385393E-3</v>
      </c>
      <c r="D7" s="37">
        <f>IFERROR(YHHistoricalPricesAdjusted!D7/YHHistoricalPricesAdjusted!D6-1,  "")</f>
        <v>-7.6983969312248934E-2</v>
      </c>
      <c r="E7" s="37">
        <f>IFERROR(YHHistoricalPricesAdjusted!E7/YHHistoricalPricesAdjusted!E6-1,  "")</f>
        <v>1.1096568671935536E-3</v>
      </c>
      <c r="F7" s="37">
        <f>IFERROR(YHHistoricalPricesAdjusted!F7/YHHistoricalPricesAdjusted!F6-1,  "")</f>
        <v>3.3195072366620781E-2</v>
      </c>
      <c r="G7" s="37">
        <f>IFERROR(YHHistoricalPricesAdjusted!G7/YHHistoricalPricesAdjusted!G6-1,  "")</f>
        <v>1.2934190641396004E-3</v>
      </c>
      <c r="H7" s="37">
        <f>IFERROR(YHHistoricalPricesAdjusted!H7/YHHistoricalPricesAdjusted!H6-1,  "")</f>
        <v>3.0005428397099632E-3</v>
      </c>
      <c r="I7" s="37">
        <f>IFERROR(YHHistoricalPricesAdjusted!I7/YHHistoricalPricesAdjusted!I6-1,  "")</f>
        <v>1.1873707148937651E-2</v>
      </c>
      <c r="J7" s="37">
        <f>IFERROR(YHHistoricalPricesAdjusted!J7/YHHistoricalPricesAdjusted!J6-1,  "")</f>
        <v>2.2400225806381124E-2</v>
      </c>
      <c r="K7" s="37">
        <f>IFERROR(YHHistoricalPricesAdjusted!K7/YHHistoricalPricesAdjusted!K6-1,  "")</f>
        <v>2.645661152055423E-2</v>
      </c>
      <c r="L7" s="37">
        <f>IFERROR(YHHistoricalPricesAdjusted!L7/YHHistoricalPricesAdjusted!L6-1,  "")</f>
        <v>3.0005428397099632E-3</v>
      </c>
      <c r="M7" s="37">
        <f>IFERROR(YHHistoricalPricesAdjusted!M7/YHHistoricalPricesAdjusted!M6-1,  "")</f>
        <v>1.2628435313599695E-2</v>
      </c>
      <c r="N7" s="37">
        <f>IFERROR(YHHistoricalPricesAdjusted!N7/YHHistoricalPricesAdjusted!N6-1,  "")</f>
        <v>-8.5172171339183977E-3</v>
      </c>
      <c r="O7" s="37">
        <f>IFERROR(YHHistoricalPricesAdjusted!O7/YHHistoricalPricesAdjusted!O6-1,  "")</f>
        <v>9.8199660429630464E-2</v>
      </c>
      <c r="P7" s="37">
        <f>IFERROR(YHHistoricalPricesAdjusted!P7/YHHistoricalPricesAdjusted!P6-1,  "")</f>
        <v>5.5819288702794179E-3</v>
      </c>
      <c r="Q7" s="37">
        <f>IFERROR(YHHistoricalPricesAdjusted!Q7/YHHistoricalPricesAdjusted!Q6-1,  "")</f>
        <v>-2.8151786169224313E-2</v>
      </c>
      <c r="R7" s="37">
        <f>IFERROR(YHHistoricalPricesAdjusted!R7/YHHistoricalPricesAdjusted!R6-1,  "")</f>
        <v>-6.0852677604278926E-2</v>
      </c>
      <c r="S7" s="37">
        <f>IFERROR(YHHistoricalPricesAdjusted!S7/YHHistoricalPricesAdjusted!S6-1,  "")</f>
        <v>3.638403943830526E-2</v>
      </c>
      <c r="T7" s="37">
        <f>IFERROR(YHHistoricalPricesAdjusted!T7/YHHistoricalPricesAdjusted!T6-1,  "")</f>
        <v>-6.389359700045194E-2</v>
      </c>
      <c r="U7" s="37">
        <f>IFERROR(YHHistoricalPricesAdjusted!U7/YHHistoricalPricesAdjusted!U6-1,  "")</f>
        <v>-6.9187165622317748E-2</v>
      </c>
      <c r="V7" s="37">
        <f>IFERROR(YHHistoricalPricesAdjusted!V7/YHHistoricalPricesAdjusted!V6-1,  "")</f>
        <v>-1.8282741210281395E-2</v>
      </c>
      <c r="W7" s="37">
        <f>IFERROR(YHHistoricalPricesAdjusted!W7/YHHistoricalPricesAdjusted!W6-1,  "")</f>
        <v>-0.11525810074818033</v>
      </c>
      <c r="X7" s="37">
        <f>IFERROR(YHHistoricalPricesAdjusted!X7/YHHistoricalPricesAdjusted!X6-1,  "")</f>
        <v>2.8917323794551697E-2</v>
      </c>
      <c r="Y7" s="37">
        <f>IFERROR(YHHistoricalPricesAdjusted!Y7/YHHistoricalPricesAdjusted!Y6-1,  "")</f>
        <v>2.7624644883810445E-2</v>
      </c>
      <c r="Z7" s="37">
        <f>IFERROR(YHHistoricalPricesAdjusted!Z7/YHHistoricalPricesAdjusted!Z6-1,  "")</f>
        <v>3.721990631187766E-2</v>
      </c>
      <c r="AA7" s="37">
        <f>IFERROR(YHHistoricalPricesAdjusted!AA7/YHHistoricalPricesAdjusted!AA6-1,  "")</f>
        <v>-5.3535752409681336E-3</v>
      </c>
      <c r="AB7" s="37">
        <f>IFERROR(YHHistoricalPricesAdjusted!AB7/YHHistoricalPricesAdjusted!AB6-1,  "")</f>
        <v>4.5505425530292243E-2</v>
      </c>
      <c r="AC7" s="37">
        <f>IFERROR(YHHistoricalPricesAdjusted!AC7/YHHistoricalPricesAdjusted!AC6-1,  "")</f>
        <v>-7.6804929800064814E-2</v>
      </c>
      <c r="AD7" s="37">
        <f>IFERROR(YHHistoricalPricesAdjusted!AD7/YHHistoricalPricesAdjusted!AD6-1,  "")</f>
        <v>-3.0812289322617814E-2</v>
      </c>
      <c r="AE7" s="37">
        <f>IFERROR(YHHistoricalPricesAdjusted!AE7/YHHistoricalPricesAdjusted!AE6-1,  "")</f>
        <v>-1.0076673487040999E-2</v>
      </c>
      <c r="AF7" s="37">
        <f>IFERROR(YHHistoricalPricesAdjusted!AF7/YHHistoricalPricesAdjusted!AF6-1,  "")</f>
        <v>-4.4444410256410216E-2</v>
      </c>
      <c r="AG7" s="37">
        <f>IFERROR(YHHistoricalPricesAdjusted!AG7/YHHistoricalPricesAdjusted!AG6-1,  "")</f>
        <v>2.4167879474435106E-2</v>
      </c>
      <c r="AH7" s="37">
        <f>IFERROR(YHHistoricalPricesAdjusted!AH7/YHHistoricalPricesAdjusted!AH6-1,  "")</f>
        <v>-1.5128700313051802E-2</v>
      </c>
      <c r="AI7" s="37">
        <f>IFERROR(YHHistoricalPricesAdjusted!AI7/YHHistoricalPricesAdjusted!AI6-1,  "")</f>
        <v>-3.5266246137265811E-2</v>
      </c>
      <c r="AJ7" s="37">
        <f>IFERROR(YHHistoricalPricesAdjusted!AJ7/YHHistoricalPricesAdjusted!AJ6-1,  "")</f>
        <v>4.8213200261750577E-2</v>
      </c>
      <c r="AK7" s="37">
        <f>IFERROR(YHHistoricalPricesAdjusted!AK7/YHHistoricalPricesAdjusted!AK6-1,  "")</f>
        <v>-1.0585301275970238E-2</v>
      </c>
      <c r="AL7" s="37">
        <f>IFERROR(YHHistoricalPricesAdjusted!AL7/YHHistoricalPricesAdjusted!AL6-1,  "")</f>
        <v>-4.352378111163191E-2</v>
      </c>
      <c r="AM7" s="37">
        <f>IFERROR(YHHistoricalPricesAdjusted!AM7/YHHistoricalPricesAdjusted!AM6-1,  "")</f>
        <v>1.8784458791198944E-3</v>
      </c>
      <c r="AN7" s="37">
        <f>IFERROR(YHHistoricalPricesAdjusted!AN7/YHHistoricalPricesAdjusted!AN6-1,  "")</f>
        <v>-1.8482500677156954E-2</v>
      </c>
      <c r="AO7" s="37">
        <f>IFERROR(YHHistoricalPricesAdjusted!AO7/YHHistoricalPricesAdjusted!AO6-1,  "")</f>
        <v>6.6073462947120465E-3</v>
      </c>
      <c r="AP7" s="37">
        <f>IFERROR(YHHistoricalPricesAdjusted!AP7/YHHistoricalPricesAdjusted!AP6-1,  "")</f>
        <v>-1.8896388990277235E-2</v>
      </c>
      <c r="AQ7" s="37">
        <f>IFERROR(YHHistoricalPricesAdjusted!AQ7/YHHistoricalPricesAdjusted!AQ6-1,  "")</f>
        <v>9.2797950138503449E-3</v>
      </c>
      <c r="AR7" s="37">
        <f>IFERROR(YHHistoricalPricesAdjusted!AR7/YHHistoricalPricesAdjusted!AR6-1,  "")</f>
        <v>2.3529718473940031E-2</v>
      </c>
      <c r="AS7" s="37">
        <f>IFERROR(YHHistoricalPricesAdjusted!AS7/YHHistoricalPricesAdjusted!AS6-1,  "")</f>
        <v>-3.0575700262051031E-3</v>
      </c>
      <c r="AT7" s="37">
        <f>IFERROR(YHHistoricalPricesAdjusted!AT7/YHHistoricalPricesAdjusted!AT6-1,  "")</f>
        <v>1.326159819246242E-2</v>
      </c>
      <c r="AU7" s="37">
        <f>IFERROR(YHHistoricalPricesAdjusted!AU7/YHHistoricalPricesAdjusted!AU6-1,  "")</f>
        <v>3.9113719594511265E-2</v>
      </c>
      <c r="AV7" s="37">
        <f>IFERROR(YHHistoricalPricesAdjusted!AV7/YHHistoricalPricesAdjusted!AV6-1,  "")</f>
        <v>2.0228372136881667E-2</v>
      </c>
      <c r="AW7" s="37">
        <f>IFERROR(YHHistoricalPricesAdjusted!AW7/YHHistoricalPricesAdjusted!AW6-1,  "")</f>
        <v>8.6966934431621512E-2</v>
      </c>
      <c r="AX7" s="37">
        <f>IFERROR(YHHistoricalPricesAdjusted!AX7/YHHistoricalPricesAdjusted!AX6-1,  "")</f>
        <v>1.9334638940508908E-2</v>
      </c>
      <c r="AY7" s="37">
        <f>IFERROR(YHHistoricalPricesAdjusted!AY7/YHHistoricalPricesAdjusted!AY6-1,  "")</f>
        <v>1.6017293667302424E-2</v>
      </c>
      <c r="AZ7" s="37">
        <f>IFERROR(YHHistoricalPricesAdjusted!AZ7/YHHistoricalPricesAdjusted!AZ6-1,  "")</f>
        <v>5.658120496047081E-3</v>
      </c>
      <c r="BA7" s="37">
        <f>IFERROR(YHHistoricalPricesAdjusted!BA7/YHHistoricalPricesAdjusted!BA6-1,  "")</f>
        <v>6.0051706242434388E-3</v>
      </c>
      <c r="BB7" s="37">
        <f>IFERROR(YHHistoricalPricesAdjusted!BB7/YHHistoricalPricesAdjusted!BB6-1,  "")</f>
        <v>-3.2973069290025636E-2</v>
      </c>
      <c r="BC7" s="37">
        <f>IFERROR(YHHistoricalPricesAdjusted!BC7/YHHistoricalPricesAdjusted!BC6-1,  "")</f>
        <v>-5.8565162919401059E-2</v>
      </c>
      <c r="BD7" s="37">
        <f>IFERROR(YHHistoricalPricesAdjusted!BD7/YHHistoricalPricesAdjusted!BD6-1,  "")</f>
        <v>3.3443968250584488E-2</v>
      </c>
      <c r="BE7" s="37">
        <f>IFERROR(YHHistoricalPricesAdjusted!BE7/YHHistoricalPricesAdjusted!BE6-1,  "")</f>
        <v>-7.7121412671303236E-2</v>
      </c>
      <c r="BF7" s="37">
        <f>IFERROR(YHHistoricalPricesAdjusted!BF7/YHHistoricalPricesAdjusted!BF6-1,  "")</f>
        <v>-6.386995710469201E-2</v>
      </c>
      <c r="BG7" s="37">
        <f>IFERROR(YHHistoricalPricesAdjusted!BG7/YHHistoricalPricesAdjusted!BG6-1,  "")</f>
        <v>3.1089529433441232E-2</v>
      </c>
      <c r="BH7" s="37">
        <f>IFERROR(YHHistoricalPricesAdjusted!BH7/YHHistoricalPricesAdjusted!BH6-1,  "")</f>
        <v>2.5769910080574832E-2</v>
      </c>
      <c r="BI7" s="37">
        <f>IFERROR(YHHistoricalPricesAdjusted!BI7/YHHistoricalPricesAdjusted!BI6-1,  "")</f>
        <v>7.4529198572037547E-3</v>
      </c>
      <c r="BJ7" s="37">
        <f>IFERROR(YHHistoricalPricesAdjusted!BJ7/YHHistoricalPricesAdjusted!BJ6-1,  "")</f>
        <v>-0.10138904635497503</v>
      </c>
      <c r="BK7" s="37">
        <f>IFERROR(YHHistoricalPricesAdjusted!BK7/YHHistoricalPricesAdjusted!BK6-1,  "")</f>
        <v>-1.2547890110857551E-2</v>
      </c>
      <c r="BL7" s="37">
        <f>IFERROR(YHHistoricalPricesAdjusted!BL7/YHHistoricalPricesAdjusted!BL6-1,  "")</f>
        <v>-2.6892634558849382E-3</v>
      </c>
      <c r="BM7" s="37">
        <f>IFERROR(YHHistoricalPricesAdjusted!BM7/YHHistoricalPricesAdjusted!BM6-1,  "")</f>
        <v>1.6460255287795933E-2</v>
      </c>
      <c r="BN7" s="37">
        <f>IFERROR(YHHistoricalPricesAdjusted!BN7/YHHistoricalPricesAdjusted!BN6-1,  "")</f>
        <v>2.3940330897697759E-2</v>
      </c>
      <c r="BO7" s="37">
        <f>IFERROR(YHHistoricalPricesAdjusted!BO7/YHHistoricalPricesAdjusted!BO6-1,  "")</f>
        <v>-1.3688387183127815E-2</v>
      </c>
      <c r="BP7" s="37">
        <f>IFERROR(YHHistoricalPricesAdjusted!BP7/YHHistoricalPricesAdjusted!BP6-1,  "")</f>
        <v>0</v>
      </c>
      <c r="BQ7" s="37">
        <f>IFERROR(YHHistoricalPricesAdjusted!BQ7/YHHistoricalPricesAdjusted!BQ6-1,  "")</f>
        <v>-8.9540216573474329E-2</v>
      </c>
      <c r="BR7" s="37">
        <f>IFERROR(YHHistoricalPricesAdjusted!BR7/YHHistoricalPricesAdjusted!BR6-1,  "")</f>
        <v>-2.2524901546037812E-2</v>
      </c>
      <c r="BS7" s="37">
        <f>IFERROR(YHHistoricalPricesAdjusted!BS7/YHHistoricalPricesAdjusted!BS6-1,  "")</f>
        <v>-2.4825662947541738E-2</v>
      </c>
      <c r="BT7" s="37">
        <f>IFERROR(YHHistoricalPricesAdjusted!BT7/YHHistoricalPricesAdjusted!BT6-1,  "")</f>
        <v>-4.8620258431887775E-2</v>
      </c>
      <c r="BU7" s="37">
        <f>IFERROR(YHHistoricalPricesAdjusted!BU7/YHHistoricalPricesAdjusted!BU6-1,  "")</f>
        <v>4.0369460399650947E-2</v>
      </c>
      <c r="BV7" s="37">
        <f>IFERROR(YHHistoricalPricesAdjusted!BV7/YHHistoricalPricesAdjusted!BV6-1,  "")</f>
        <v>-3.3753497212712924E-3</v>
      </c>
      <c r="BW7" s="37">
        <f>IFERROR(YHHistoricalPricesAdjusted!BW7/YHHistoricalPricesAdjusted!BW6-1,  "")</f>
        <v>7.3414746459892211E-3</v>
      </c>
      <c r="BX7" s="37">
        <f>IFERROR(YHHistoricalPricesAdjusted!BX7/YHHistoricalPricesAdjusted!BX6-1,  "")</f>
        <v>3.8366518166575325E-2</v>
      </c>
      <c r="BY7" s="37">
        <f>IFERROR(YHHistoricalPricesAdjusted!BY7/YHHistoricalPricesAdjusted!BY6-1,  "")</f>
        <v>-9.8039258301948595E-2</v>
      </c>
      <c r="BZ7" s="37">
        <f>IFERROR(YHHistoricalPricesAdjusted!BZ7/YHHistoricalPricesAdjusted!BZ6-1,  "")</f>
        <v>4.4490045600252159E-2</v>
      </c>
      <c r="CA7" s="37">
        <f>IFERROR(YHHistoricalPricesAdjusted!CA7/YHHistoricalPricesAdjusted!CA6-1,  "")</f>
        <v>-8.5009330292348251E-3</v>
      </c>
      <c r="CB7" s="37">
        <f>IFERROR(YHHistoricalPricesAdjusted!CB7/YHHistoricalPricesAdjusted!CB6-1,  "")</f>
        <v>-1.8791973154362429E-2</v>
      </c>
      <c r="CC7" s="37">
        <f>IFERROR(YHHistoricalPricesAdjusted!CC7/YHHistoricalPricesAdjusted!CC6-1,  "")</f>
        <v>-2.4787977644131209E-2</v>
      </c>
      <c r="CD7" s="37">
        <f>IFERROR(YHHistoricalPricesAdjusted!CD7/YHHistoricalPricesAdjusted!CD6-1,  "")</f>
        <v>2.1765872689938348E-2</v>
      </c>
      <c r="CE7" s="37">
        <f>IFERROR(YHHistoricalPricesAdjusted!CE7/YHHistoricalPricesAdjusted!CE6-1,  "")</f>
        <v>1.5561240040298685E-2</v>
      </c>
      <c r="CF7" s="37">
        <f>IFERROR(YHHistoricalPricesAdjusted!CF7/YHHistoricalPricesAdjusted!CF6-1,  "")</f>
        <v>0.22688356164383561</v>
      </c>
    </row>
    <row r="8" spans="1:121" x14ac:dyDescent="0.25">
      <c r="A8" s="17">
        <v>41486</v>
      </c>
      <c r="B8" s="37">
        <f>IFERROR(YHHistoricalPricesAdjusted!B8/YHHistoricalPricesAdjusted!B7-1,  "")</f>
        <v>0.14122492239324691</v>
      </c>
      <c r="C8" s="37">
        <f>IFERROR(YHHistoricalPricesAdjusted!C8/YHHistoricalPricesAdjusted!C7-1,  "")</f>
        <v>5.9276773233079005E-2</v>
      </c>
      <c r="D8" s="37">
        <f>IFERROR(YHHistoricalPricesAdjusted!D8/YHHistoricalPricesAdjusted!D7-1,  "")</f>
        <v>2.0563970933259235E-2</v>
      </c>
      <c r="E8" s="37">
        <f>IFERROR(YHHistoricalPricesAdjusted!E8/YHHistoricalPricesAdjusted!E7-1,  "")</f>
        <v>2.3753009157188698E-2</v>
      </c>
      <c r="F8" s="37">
        <f>IFERROR(YHHistoricalPricesAdjusted!F8/YHHistoricalPricesAdjusted!F7-1,  "")</f>
        <v>-9.2931879720431487E-3</v>
      </c>
      <c r="G8" s="37">
        <f>IFERROR(YHHistoricalPricesAdjusted!G8/YHHistoricalPricesAdjusted!G7-1,  "")</f>
        <v>4.6314870451436008E-2</v>
      </c>
      <c r="H8" s="37">
        <f>IFERROR(YHHistoricalPricesAdjusted!H8/YHHistoricalPricesAdjusted!H7-1,  "")</f>
        <v>6.1588895711224279E-3</v>
      </c>
      <c r="I8" s="37">
        <f>IFERROR(YHHistoricalPricesAdjusted!I8/YHHistoricalPricesAdjusted!I7-1,  "")</f>
        <v>5.7782915064146456E-2</v>
      </c>
      <c r="J8" s="37">
        <f>IFERROR(YHHistoricalPricesAdjusted!J8/YHHistoricalPricesAdjusted!J7-1,  "")</f>
        <v>7.0598266081327576E-3</v>
      </c>
      <c r="K8" s="37">
        <f>IFERROR(YHHistoricalPricesAdjusted!K8/YHHistoricalPricesAdjusted!K7-1,  "")</f>
        <v>1.0276794052732185E-2</v>
      </c>
      <c r="L8" s="37">
        <f>IFERROR(YHHistoricalPricesAdjusted!L8/YHHistoricalPricesAdjusted!L7-1,  "")</f>
        <v>6.1588895711224279E-3</v>
      </c>
      <c r="M8" s="37">
        <f>IFERROR(YHHistoricalPricesAdjusted!M8/YHHistoricalPricesAdjusted!M7-1,  "")</f>
        <v>2.8546775597972474E-2</v>
      </c>
      <c r="N8" s="37">
        <f>IFERROR(YHHistoricalPricesAdjusted!N8/YHHistoricalPricesAdjusted!N7-1,  "")</f>
        <v>2.7866422759419418E-3</v>
      </c>
      <c r="O8" s="37">
        <f>IFERROR(YHHistoricalPricesAdjusted!O8/YHHistoricalPricesAdjusted!O7-1,  "")</f>
        <v>0.25074513551839495</v>
      </c>
      <c r="P8" s="37">
        <f>IFERROR(YHHistoricalPricesAdjusted!P8/YHHistoricalPricesAdjusted!P7-1,  "")</f>
        <v>3.763149199579785E-2</v>
      </c>
      <c r="Q8" s="37">
        <f>IFERROR(YHHistoricalPricesAdjusted!Q8/YHHistoricalPricesAdjusted!Q7-1,  "")</f>
        <v>6.3799132242079448E-2</v>
      </c>
      <c r="R8" s="37">
        <f>IFERROR(YHHistoricalPricesAdjusted!R8/YHHistoricalPricesAdjusted!R7-1,  "")</f>
        <v>-1.3759975417102832E-2</v>
      </c>
      <c r="S8" s="37">
        <f>IFERROR(YHHistoricalPricesAdjusted!S8/YHHistoricalPricesAdjusted!S7-1,  "")</f>
        <v>7.8933570065670811E-2</v>
      </c>
      <c r="T8" s="37">
        <f>IFERROR(YHHistoricalPricesAdjusted!T8/YHHistoricalPricesAdjusted!T7-1,  "")</f>
        <v>7.8336449195204994E-2</v>
      </c>
      <c r="U8" s="37">
        <f>IFERROR(YHHistoricalPricesAdjusted!U8/YHHistoricalPricesAdjusted!U7-1,  "")</f>
        <v>-6.7854712757442481E-4</v>
      </c>
      <c r="V8" s="37">
        <f>IFERROR(YHHistoricalPricesAdjusted!V8/YHHistoricalPricesAdjusted!V7-1,  "")</f>
        <v>-2.0268068492879099E-4</v>
      </c>
      <c r="W8" s="37">
        <f>IFERROR(YHHistoricalPricesAdjusted!W8/YHHistoricalPricesAdjusted!W7-1,  "")</f>
        <v>-0.23638739965322986</v>
      </c>
      <c r="X8" s="37">
        <f>IFERROR(YHHistoricalPricesAdjusted!X8/YHHistoricalPricesAdjusted!X7-1,  "")</f>
        <v>4.015745442968921E-2</v>
      </c>
      <c r="Y8" s="37">
        <f>IFERROR(YHHistoricalPricesAdjusted!Y8/YHHistoricalPricesAdjusted!Y7-1,  "")</f>
        <v>8.8981944380811751E-2</v>
      </c>
      <c r="Z8" s="37">
        <f>IFERROR(YHHistoricalPricesAdjusted!Z8/YHHistoricalPricesAdjusted!Z7-1,  "")</f>
        <v>4.3555872042938537E-2</v>
      </c>
      <c r="AA8" s="37">
        <f>IFERROR(YHHistoricalPricesAdjusted!AA8/YHHistoricalPricesAdjusted!AA7-1,  "")</f>
        <v>4.6553061799847084E-2</v>
      </c>
      <c r="AB8" s="37">
        <f>IFERROR(YHHistoricalPricesAdjusted!AB8/YHHistoricalPricesAdjusted!AB7-1,  "")</f>
        <v>0.12237054340963249</v>
      </c>
      <c r="AC8" s="37">
        <f>IFERROR(YHHistoricalPricesAdjusted!AC8/YHHistoricalPricesAdjusted!AC7-1,  "")</f>
        <v>8.1530749479696185E-2</v>
      </c>
      <c r="AD8" s="37">
        <f>IFERROR(YHHistoricalPricesAdjusted!AD8/YHHistoricalPricesAdjusted!AD7-1,  "")</f>
        <v>4.4653514671185057E-2</v>
      </c>
      <c r="AE8" s="37">
        <f>IFERROR(YHHistoricalPricesAdjusted!AE8/YHHistoricalPricesAdjusted!AE7-1,  "")</f>
        <v>0.13840777879064126</v>
      </c>
      <c r="AF8" s="37">
        <f>IFERROR(YHHistoricalPricesAdjusted!AF8/YHHistoricalPricesAdjusted!AF7-1,  "")</f>
        <v>0.17191412622847491</v>
      </c>
      <c r="AG8" s="37">
        <f>IFERROR(YHHistoricalPricesAdjusted!AG8/YHHistoricalPricesAdjusted!AG7-1,  "")</f>
        <v>6.377745471049634E-2</v>
      </c>
      <c r="AH8" s="37">
        <f>IFERROR(YHHistoricalPricesAdjusted!AH8/YHHistoricalPricesAdjusted!AH7-1,  "")</f>
        <v>2.5192634506919553E-2</v>
      </c>
      <c r="AI8" s="37">
        <f>IFERROR(YHHistoricalPricesAdjusted!AI8/YHHistoricalPricesAdjusted!AI7-1,  "")</f>
        <v>2.972502782519082E-2</v>
      </c>
      <c r="AJ8" s="37">
        <f>IFERROR(YHHistoricalPricesAdjusted!AJ8/YHHistoricalPricesAdjusted!AJ7-1,  "")</f>
        <v>-0.21645897504108225</v>
      </c>
      <c r="AK8" s="37">
        <f>IFERROR(YHHistoricalPricesAdjusted!AK8/YHHistoricalPricesAdjusted!AK7-1,  "")</f>
        <v>8.8589936655408597E-2</v>
      </c>
      <c r="AL8" s="37">
        <f>IFERROR(YHHistoricalPricesAdjusted!AL8/YHHistoricalPricesAdjusted!AL7-1,  "")</f>
        <v>5.2420774244118729E-2</v>
      </c>
      <c r="AM8" s="37">
        <f>IFERROR(YHHistoricalPricesAdjusted!AM8/YHHistoricalPricesAdjusted!AM7-1,  "")</f>
        <v>0.12562510576712205</v>
      </c>
      <c r="AN8" s="37">
        <f>IFERROR(YHHistoricalPricesAdjusted!AN8/YHHistoricalPricesAdjusted!AN7-1,  "")</f>
        <v>0.12115951713760853</v>
      </c>
      <c r="AO8" s="37">
        <f>IFERROR(YHHistoricalPricesAdjusted!AO8/YHHistoricalPricesAdjusted!AO7-1,  "")</f>
        <v>2.7936399217621366E-2</v>
      </c>
      <c r="AP8" s="37">
        <f>IFERROR(YHHistoricalPricesAdjusted!AP8/YHHistoricalPricesAdjusted!AP7-1,  "")</f>
        <v>7.9793566969667218E-2</v>
      </c>
      <c r="AQ8" s="37">
        <f>IFERROR(YHHistoricalPricesAdjusted!AQ8/YHHistoricalPricesAdjusted!AQ7-1,  "")</f>
        <v>0.13152183946993001</v>
      </c>
      <c r="AR8" s="37">
        <f>IFERROR(YHHistoricalPricesAdjusted!AR8/YHHistoricalPricesAdjusted!AR7-1,  "")</f>
        <v>0.19657180144330688</v>
      </c>
      <c r="AS8" s="37">
        <f>IFERROR(YHHistoricalPricesAdjusted!AS8/YHHistoricalPricesAdjusted!AS7-1,  "")</f>
        <v>0.11737554169804465</v>
      </c>
      <c r="AT8" s="37">
        <f>IFERROR(YHHistoricalPricesAdjusted!AT8/YHHistoricalPricesAdjusted!AT7-1,  "")</f>
        <v>8.2134894354561228E-2</v>
      </c>
      <c r="AU8" s="37">
        <f>IFERROR(YHHistoricalPricesAdjusted!AU8/YHHistoricalPricesAdjusted!AU7-1,  "")</f>
        <v>3.5168418973320126E-2</v>
      </c>
      <c r="AV8" s="37">
        <f>IFERROR(YHHistoricalPricesAdjusted!AV8/YHHistoricalPricesAdjusted!AV7-1,  "")</f>
        <v>4.1811870193549927E-2</v>
      </c>
      <c r="AW8" s="37">
        <f>IFERROR(YHHistoricalPricesAdjusted!AW8/YHHistoricalPricesAdjusted!AW7-1,  "")</f>
        <v>6.2959971033349271E-2</v>
      </c>
      <c r="AX8" s="37">
        <f>IFERROR(YHHistoricalPricesAdjusted!AX8/YHHistoricalPricesAdjusted!AX7-1,  "")</f>
        <v>5.1851688804322338E-2</v>
      </c>
      <c r="AY8" s="37">
        <f>IFERROR(YHHistoricalPricesAdjusted!AY8/YHHistoricalPricesAdjusted!AY7-1,  "")</f>
        <v>1.6088709784774169E-2</v>
      </c>
      <c r="AZ8" s="37">
        <f>IFERROR(YHHistoricalPricesAdjusted!AZ8/YHHistoricalPricesAdjusted!AZ7-1,  "")</f>
        <v>8.019821066499988E-2</v>
      </c>
      <c r="BA8" s="37">
        <f>IFERROR(YHHistoricalPricesAdjusted!BA8/YHHistoricalPricesAdjusted!BA7-1,  "")</f>
        <v>6.5585438511808869E-2</v>
      </c>
      <c r="BB8" s="37">
        <f>IFERROR(YHHistoricalPricesAdjusted!BB8/YHHistoricalPricesAdjusted!BB7-1,  "")</f>
        <v>5.5692139292621956E-2</v>
      </c>
      <c r="BC8" s="37">
        <f>IFERROR(YHHistoricalPricesAdjusted!BC8/YHHistoricalPricesAdjusted!BC7-1,  "")</f>
        <v>0.13615361920249902</v>
      </c>
      <c r="BD8" s="37">
        <f>IFERROR(YHHistoricalPricesAdjusted!BD8/YHHistoricalPricesAdjusted!BD7-1,  "")</f>
        <v>-3.1409192512534934E-2</v>
      </c>
      <c r="BE8" s="37">
        <f>IFERROR(YHHistoricalPricesAdjusted!BE8/YHHistoricalPricesAdjusted!BE7-1,  "")</f>
        <v>8.692927892197444E-2</v>
      </c>
      <c r="BF8" s="37">
        <f>IFERROR(YHHistoricalPricesAdjusted!BF8/YHHistoricalPricesAdjusted!BF7-1,  "")</f>
        <v>8.4495933986831639E-2</v>
      </c>
      <c r="BG8" s="37">
        <f>IFERROR(YHHistoricalPricesAdjusted!BG8/YHHistoricalPricesAdjusted!BG7-1,  "")</f>
        <v>3.9014278009744441E-2</v>
      </c>
      <c r="BH8" s="37">
        <f>IFERROR(YHHistoricalPricesAdjusted!BH8/YHHistoricalPricesAdjusted!BH7-1,  "")</f>
        <v>5.4034267055239393E-2</v>
      </c>
      <c r="BI8" s="37">
        <f>IFERROR(YHHistoricalPricesAdjusted!BI8/YHHistoricalPricesAdjusted!BI7-1,  "")</f>
        <v>6.2854502128147915E-2</v>
      </c>
      <c r="BJ8" s="37">
        <f>IFERROR(YHHistoricalPricesAdjusted!BJ8/YHHistoricalPricesAdjusted!BJ7-1,  "")</f>
        <v>0.1313758917966823</v>
      </c>
      <c r="BK8" s="37">
        <f>IFERROR(YHHistoricalPricesAdjusted!BK8/YHHistoricalPricesAdjusted!BK7-1,  "")</f>
        <v>-1.3242278775790317E-2</v>
      </c>
      <c r="BL8" s="37">
        <f>IFERROR(YHHistoricalPricesAdjusted!BL8/YHHistoricalPricesAdjusted!BL7-1,  "")</f>
        <v>7.3891118405453815E-2</v>
      </c>
      <c r="BM8" s="37">
        <f>IFERROR(YHHistoricalPricesAdjusted!BM8/YHHistoricalPricesAdjusted!BM7-1,  "")</f>
        <v>4.587841519377367E-2</v>
      </c>
      <c r="BN8" s="37">
        <f>IFERROR(YHHistoricalPricesAdjusted!BN8/YHHistoricalPricesAdjusted!BN7-1,  "")</f>
        <v>6.4386503659071392E-2</v>
      </c>
      <c r="BO8" s="37">
        <f>IFERROR(YHHistoricalPricesAdjusted!BO8/YHHistoricalPricesAdjusted!BO7-1,  "")</f>
        <v>4.7360107649085492E-2</v>
      </c>
      <c r="BP8" s="37">
        <f>IFERROR(YHHistoricalPricesAdjusted!BP8/YHHistoricalPricesAdjusted!BP7-1,  "")</f>
        <v>1.4007451285547257E-2</v>
      </c>
      <c r="BQ8" s="37">
        <f>IFERROR(YHHistoricalPricesAdjusted!BQ8/YHHistoricalPricesAdjusted!BQ7-1,  "")</f>
        <v>0.1173704957111672</v>
      </c>
      <c r="BR8" s="37">
        <f>IFERROR(YHHistoricalPricesAdjusted!BR8/YHHistoricalPricesAdjusted!BR7-1,  "")</f>
        <v>0.10852986499382378</v>
      </c>
      <c r="BS8" s="37">
        <f>IFERROR(YHHistoricalPricesAdjusted!BS8/YHHistoricalPricesAdjusted!BS7-1,  "")</f>
        <v>4.1119677377762676E-2</v>
      </c>
      <c r="BT8" s="37">
        <f>IFERROR(YHHistoricalPricesAdjusted!BT8/YHHistoricalPricesAdjusted!BT7-1,  "")</f>
        <v>6.2845282293860105E-2</v>
      </c>
      <c r="BU8" s="37">
        <f>IFERROR(YHHistoricalPricesAdjusted!BU8/YHHistoricalPricesAdjusted!BU7-1,  "")</f>
        <v>5.2031277253035135E-2</v>
      </c>
      <c r="BV8" s="37">
        <f>IFERROR(YHHistoricalPricesAdjusted!BV8/YHHistoricalPricesAdjusted!BV7-1,  "")</f>
        <v>-7.8170278270375926E-2</v>
      </c>
      <c r="BW8" s="37">
        <f>IFERROR(YHHistoricalPricesAdjusted!BW8/YHHistoricalPricesAdjusted!BW7-1,  "")</f>
        <v>-3.6731281831027141E-2</v>
      </c>
      <c r="BX8" s="37">
        <f>IFERROR(YHHistoricalPricesAdjusted!BX8/YHHistoricalPricesAdjusted!BX7-1,  "")</f>
        <v>-1.7083802356307687E-2</v>
      </c>
      <c r="BY8" s="37">
        <f>IFERROR(YHHistoricalPricesAdjusted!BY8/YHHistoricalPricesAdjusted!BY7-1,  "")</f>
        <v>0.145887899423782</v>
      </c>
      <c r="BZ8" s="37">
        <f>IFERROR(YHHistoricalPricesAdjusted!BZ8/YHHistoricalPricesAdjusted!BZ7-1,  "")</f>
        <v>4.7182140152108198E-2</v>
      </c>
      <c r="CA8" s="37">
        <f>IFERROR(YHHistoricalPricesAdjusted!CA8/YHHistoricalPricesAdjusted!CA7-1,  "")</f>
        <v>8.2601421999163538E-2</v>
      </c>
      <c r="CB8" s="37">
        <f>IFERROR(YHHistoricalPricesAdjusted!CB8/YHHistoricalPricesAdjusted!CB7-1,  "")</f>
        <v>9.2202437543158267E-2</v>
      </c>
      <c r="CC8" s="37">
        <f>IFERROR(YHHistoricalPricesAdjusted!CC8/YHHistoricalPricesAdjusted!CC7-1,  "")</f>
        <v>2.8489889058292528E-2</v>
      </c>
      <c r="CD8" s="37">
        <f>IFERROR(YHHistoricalPricesAdjusted!CD8/YHHistoricalPricesAdjusted!CD7-1,  "")</f>
        <v>0.4790996977130102</v>
      </c>
      <c r="CE8" s="37">
        <f>IFERROR(YHHistoricalPricesAdjusted!CE8/YHHistoricalPricesAdjusted!CE7-1,  "")</f>
        <v>4.9002658841584168E-2</v>
      </c>
      <c r="CF8" s="37">
        <f>IFERROR(YHHistoricalPricesAdjusted!CF8/YHHistoricalPricesAdjusted!CF7-1,  "")</f>
        <v>-7.6064200976971419E-2</v>
      </c>
    </row>
    <row r="9" spans="1:121" x14ac:dyDescent="0.25">
      <c r="A9" s="17">
        <v>41517</v>
      </c>
      <c r="B9" s="37">
        <f>IFERROR(YHHistoricalPricesAdjusted!B9/YHHistoricalPricesAdjusted!B8-1,  "")</f>
        <v>7.6658056092325122E-2</v>
      </c>
      <c r="C9" s="37">
        <f>IFERROR(YHHistoricalPricesAdjusted!C9/YHHistoricalPricesAdjusted!C8-1,  "")</f>
        <v>-5.0471923358027193E-2</v>
      </c>
      <c r="D9" s="37">
        <f>IFERROR(YHHistoricalPricesAdjusted!D9/YHHistoricalPricesAdjusted!D8-1,  "")</f>
        <v>-6.5473719626899407E-2</v>
      </c>
      <c r="E9" s="37">
        <f>IFERROR(YHHistoricalPricesAdjusted!E9/YHHistoricalPricesAdjusted!E8-1,  "")</f>
        <v>-5.9087420340416474E-2</v>
      </c>
      <c r="F9" s="37">
        <f>IFERROR(YHHistoricalPricesAdjusted!F9/YHHistoricalPricesAdjusted!F8-1,  "")</f>
        <v>-3.7928026270178217E-2</v>
      </c>
      <c r="G9" s="37">
        <f>IFERROR(YHHistoricalPricesAdjusted!G9/YHHistoricalPricesAdjusted!G8-1,  "")</f>
        <v>-6.363862227920758E-2</v>
      </c>
      <c r="H9" s="37">
        <f>IFERROR(YHHistoricalPricesAdjusted!H9/YHHistoricalPricesAdjusted!H8-1,  "")</f>
        <v>-4.7405482706364355E-2</v>
      </c>
      <c r="I9" s="37">
        <f>IFERROR(YHHistoricalPricesAdjusted!I9/YHHistoricalPricesAdjusted!I8-1,  "")</f>
        <v>-1.2606101564939909E-2</v>
      </c>
      <c r="J9" s="37">
        <f>IFERROR(YHHistoricalPricesAdjusted!J9/YHHistoricalPricesAdjusted!J8-1,  "")</f>
        <v>-1.3073176041361823E-2</v>
      </c>
      <c r="K9" s="37">
        <f>IFERROR(YHHistoricalPricesAdjusted!K9/YHHistoricalPricesAdjusted!K8-1,  "")</f>
        <v>-9.1058831257185835E-3</v>
      </c>
      <c r="L9" s="37">
        <f>IFERROR(YHHistoricalPricesAdjusted!L9/YHHistoricalPricesAdjusted!L8-1,  "")</f>
        <v>-4.7405482706364355E-2</v>
      </c>
      <c r="M9" s="37">
        <f>IFERROR(YHHistoricalPricesAdjusted!M9/YHHistoricalPricesAdjusted!M8-1,  "")</f>
        <v>-4.5606911333136435E-2</v>
      </c>
      <c r="N9" s="37">
        <f>IFERROR(YHHistoricalPricesAdjusted!N9/YHHistoricalPricesAdjusted!N8-1,  "")</f>
        <v>-3.2310214648253233E-2</v>
      </c>
      <c r="O9" s="37">
        <f>IFERROR(YHHistoricalPricesAdjusted!O9/YHHistoricalPricesAdjusted!O8-1,  "")</f>
        <v>0.25856420359371612</v>
      </c>
      <c r="P9" s="37">
        <f>IFERROR(YHHistoricalPricesAdjusted!P9/YHHistoricalPricesAdjusted!P8-1,  "")</f>
        <v>-7.029331907902503E-2</v>
      </c>
      <c r="Q9" s="37">
        <f>IFERROR(YHHistoricalPricesAdjusted!Q9/YHHistoricalPricesAdjusted!Q8-1,  "")</f>
        <v>-4.337135318094465E-2</v>
      </c>
      <c r="R9" s="37">
        <f>IFERROR(YHHistoricalPricesAdjusted!R9/YHHistoricalPricesAdjusted!R8-1,  "")</f>
        <v>-1.016247348569943E-2</v>
      </c>
      <c r="S9" s="37">
        <f>IFERROR(YHHistoricalPricesAdjusted!S9/YHHistoricalPricesAdjusted!S8-1,  "")</f>
        <v>-2.7302239735073952E-2</v>
      </c>
      <c r="T9" s="37">
        <f>IFERROR(YHHistoricalPricesAdjusted!T9/YHHistoricalPricesAdjusted!T8-1,  "")</f>
        <v>-2.069912016844111E-2</v>
      </c>
      <c r="U9" s="37">
        <f>IFERROR(YHHistoricalPricesAdjusted!U9/YHHistoricalPricesAdjusted!U8-1,  "")</f>
        <v>5.8055660521441066E-3</v>
      </c>
      <c r="V9" s="37">
        <f>IFERROR(YHHistoricalPricesAdjusted!V9/YHHistoricalPricesAdjusted!V8-1,  "")</f>
        <v>-5.1626900594442526E-3</v>
      </c>
      <c r="W9" s="37">
        <f>IFERROR(YHHistoricalPricesAdjusted!W9/YHHistoricalPricesAdjusted!W8-1,  "")</f>
        <v>1.8413777492600758E-2</v>
      </c>
      <c r="X9" s="37">
        <f>IFERROR(YHHistoricalPricesAdjusted!X9/YHHistoricalPricesAdjusted!X8-1,  "")</f>
        <v>4.8955240673060674E-2</v>
      </c>
      <c r="Y9" s="37">
        <f>IFERROR(YHHistoricalPricesAdjusted!Y9/YHHistoricalPricesAdjusted!Y8-1,  "")</f>
        <v>-7.5828789694005971E-2</v>
      </c>
      <c r="Z9" s="37">
        <f>IFERROR(YHHistoricalPricesAdjusted!Z9/YHHistoricalPricesAdjusted!Z8-1,  "")</f>
        <v>-2.7025221934852128E-2</v>
      </c>
      <c r="AA9" s="37">
        <f>IFERROR(YHHistoricalPricesAdjusted!AA9/YHHistoricalPricesAdjusted!AA8-1,  "")</f>
        <v>-1.8268424151832163E-2</v>
      </c>
      <c r="AB9" s="37">
        <f>IFERROR(YHHistoricalPricesAdjusted!AB9/YHHistoricalPricesAdjusted!AB8-1,  "")</f>
        <v>-1.5236520106674756E-2</v>
      </c>
      <c r="AC9" s="37">
        <f>IFERROR(YHHistoricalPricesAdjusted!AC9/YHHistoricalPricesAdjusted!AC8-1,  "")</f>
        <v>-2.0769242268425692E-2</v>
      </c>
      <c r="AD9" s="37">
        <f>IFERROR(YHHistoricalPricesAdjusted!AD9/YHHistoricalPricesAdjusted!AD8-1,  "")</f>
        <v>-3.1451277458718785E-2</v>
      </c>
      <c r="AE9" s="37">
        <f>IFERROR(YHHistoricalPricesAdjusted!AE9/YHHistoricalPricesAdjusted!AE8-1,  "")</f>
        <v>-5.365002001868413E-2</v>
      </c>
      <c r="AF9" s="37">
        <f>IFERROR(YHHistoricalPricesAdjusted!AF9/YHHistoricalPricesAdjusted!AF8-1,  "")</f>
        <v>4.4268201976243038E-3</v>
      </c>
      <c r="AG9" s="37">
        <f>IFERROR(YHHistoricalPricesAdjusted!AG9/YHHistoricalPricesAdjusted!AG8-1,  "")</f>
        <v>6.7773945299109961E-3</v>
      </c>
      <c r="AH9" s="37">
        <f>IFERROR(YHHistoricalPricesAdjusted!AH9/YHHistoricalPricesAdjusted!AH8-1,  "")</f>
        <v>-5.7446149750614572E-2</v>
      </c>
      <c r="AI9" s="37">
        <f>IFERROR(YHHistoricalPricesAdjusted!AI9/YHHistoricalPricesAdjusted!AI8-1,  "")</f>
        <v>-3.8008227207517842E-2</v>
      </c>
      <c r="AJ9" s="37">
        <f>IFERROR(YHHistoricalPricesAdjusted!AJ9/YHHistoricalPricesAdjusted!AJ8-1,  "")</f>
        <v>-7.8505215105613146E-3</v>
      </c>
      <c r="AK9" s="37">
        <f>IFERROR(YHHistoricalPricesAdjusted!AK9/YHHistoricalPricesAdjusted!AK8-1,  "")</f>
        <v>-4.7190975544161629E-2</v>
      </c>
      <c r="AL9" s="37">
        <f>IFERROR(YHHistoricalPricesAdjusted!AL9/YHHistoricalPricesAdjusted!AL8-1,  "")</f>
        <v>-2.8363836054948299E-2</v>
      </c>
      <c r="AM9" s="37">
        <f>IFERROR(YHHistoricalPricesAdjusted!AM9/YHHistoricalPricesAdjusted!AM8-1,  "")</f>
        <v>6.3298047269662483E-2</v>
      </c>
      <c r="AN9" s="37">
        <f>IFERROR(YHHistoricalPricesAdjusted!AN9/YHHistoricalPricesAdjusted!AN8-1,  "")</f>
        <v>-4.0883943624899777E-2</v>
      </c>
      <c r="AO9" s="37">
        <f>IFERROR(YHHistoricalPricesAdjusted!AO9/YHHistoricalPricesAdjusted!AO8-1,  "")</f>
        <v>-3.1843288025213523E-2</v>
      </c>
      <c r="AP9" s="37">
        <f>IFERROR(YHHistoricalPricesAdjusted!AP9/YHHistoricalPricesAdjusted!AP8-1,  "")</f>
        <v>-1.8216675408546434E-2</v>
      </c>
      <c r="AQ9" s="37">
        <f>IFERROR(YHHistoricalPricesAdjusted!AQ9/YHHistoricalPricesAdjusted!AQ8-1,  "")</f>
        <v>-9.9448810473565796E-3</v>
      </c>
      <c r="AR9" s="37">
        <f>IFERROR(YHHistoricalPricesAdjusted!AR9/YHHistoricalPricesAdjusted!AR8-1,  "")</f>
        <v>-0.1809407233309992</v>
      </c>
      <c r="AS9" s="37">
        <f>IFERROR(YHHistoricalPricesAdjusted!AS9/YHHistoricalPricesAdjusted!AS8-1,  "")</f>
        <v>-8.486243584719555E-2</v>
      </c>
      <c r="AT9" s="37">
        <f>IFERROR(YHHistoricalPricesAdjusted!AT9/YHHistoricalPricesAdjusted!AT8-1,  "")</f>
        <v>-0.10307157658238197</v>
      </c>
      <c r="AU9" s="37">
        <f>IFERROR(YHHistoricalPricesAdjusted!AU9/YHHistoricalPricesAdjusted!AU8-1,  "")</f>
        <v>-4.5454337598696215E-2</v>
      </c>
      <c r="AV9" s="37">
        <f>IFERROR(YHHistoricalPricesAdjusted!AV9/YHHistoricalPricesAdjusted!AV8-1,  "")</f>
        <v>1.872890262746485E-2</v>
      </c>
      <c r="AW9" s="37">
        <f>IFERROR(YHHistoricalPricesAdjusted!AW9/YHHistoricalPricesAdjusted!AW8-1,  "")</f>
        <v>-7.2162365886542568E-2</v>
      </c>
      <c r="AX9" s="37">
        <f>IFERROR(YHHistoricalPricesAdjusted!AX9/YHHistoricalPricesAdjusted!AX8-1,  "")</f>
        <v>-7.6056320447346226E-2</v>
      </c>
      <c r="AY9" s="37">
        <f>IFERROR(YHHistoricalPricesAdjusted!AY9/YHHistoricalPricesAdjusted!AY8-1,  "")</f>
        <v>-7.1810756668251874E-2</v>
      </c>
      <c r="AZ9" s="37">
        <f>IFERROR(YHHistoricalPricesAdjusted!AZ9/YHHistoricalPricesAdjusted!AZ8-1,  "")</f>
        <v>-3.6631231154309996E-2</v>
      </c>
      <c r="BA9" s="37">
        <f>IFERROR(YHHistoricalPricesAdjusted!BA9/YHHistoricalPricesAdjusted!BA8-1,  "")</f>
        <v>-5.4172506746764326E-2</v>
      </c>
      <c r="BB9" s="37">
        <f>IFERROR(YHHistoricalPricesAdjusted!BB9/YHHistoricalPricesAdjusted!BB8-1,  "")</f>
        <v>-8.6695008092609216E-2</v>
      </c>
      <c r="BC9" s="37">
        <f>IFERROR(YHHistoricalPricesAdjusted!BC9/YHHistoricalPricesAdjusted!BC8-1,  "")</f>
        <v>-3.2876645468853383E-2</v>
      </c>
      <c r="BD9" s="37">
        <f>IFERROR(YHHistoricalPricesAdjusted!BD9/YHHistoricalPricesAdjusted!BD8-1,  "")</f>
        <v>-1.4631812519865117E-2</v>
      </c>
      <c r="BE9" s="37">
        <f>IFERROR(YHHistoricalPricesAdjusted!BE9/YHHistoricalPricesAdjusted!BE8-1,  "")</f>
        <v>-7.3072477631547894E-2</v>
      </c>
      <c r="BF9" s="37">
        <f>IFERROR(YHHistoricalPricesAdjusted!BF9/YHHistoricalPricesAdjusted!BF8-1,  "")</f>
        <v>-7.2547917832431086E-2</v>
      </c>
      <c r="BG9" s="37">
        <f>IFERROR(YHHistoricalPricesAdjusted!BG9/YHHistoricalPricesAdjusted!BG8-1,  "")</f>
        <v>-3.1886357243757213E-2</v>
      </c>
      <c r="BH9" s="37">
        <f>IFERROR(YHHistoricalPricesAdjusted!BH9/YHHistoricalPricesAdjusted!BH8-1,  "")</f>
        <v>-5.5632126191326958E-2</v>
      </c>
      <c r="BI9" s="37">
        <f>IFERROR(YHHistoricalPricesAdjusted!BI9/YHHistoricalPricesAdjusted!BI8-1,  "")</f>
        <v>2.8461901947141044E-3</v>
      </c>
      <c r="BJ9" s="37">
        <f>IFERROR(YHHistoricalPricesAdjusted!BJ9/YHHistoricalPricesAdjusted!BJ8-1,  "")</f>
        <v>7.0462601260246061E-4</v>
      </c>
      <c r="BK9" s="37">
        <f>IFERROR(YHHistoricalPricesAdjusted!BK9/YHHistoricalPricesAdjusted!BK8-1,  "")</f>
        <v>-2.2240515781729586E-2</v>
      </c>
      <c r="BL9" s="37">
        <f>IFERROR(YHHistoricalPricesAdjusted!BL9/YHHistoricalPricesAdjusted!BL8-1,  "")</f>
        <v>-3.278549153203747E-2</v>
      </c>
      <c r="BM9" s="37">
        <f>IFERROR(YHHistoricalPricesAdjusted!BM9/YHHistoricalPricesAdjusted!BM8-1,  "")</f>
        <v>-4.1094134602270072E-2</v>
      </c>
      <c r="BN9" s="37">
        <f>IFERROR(YHHistoricalPricesAdjusted!BN9/YHHistoricalPricesAdjusted!BN8-1,  "")</f>
        <v>-2.7026836764427631E-2</v>
      </c>
      <c r="BO9" s="37">
        <f>IFERROR(YHHistoricalPricesAdjusted!BO9/YHHistoricalPricesAdjusted!BO8-1,  "")</f>
        <v>-7.9120236674041777E-3</v>
      </c>
      <c r="BP9" s="37">
        <f>IFERROR(YHHistoricalPricesAdjusted!BP9/YHHistoricalPricesAdjusted!BP8-1,  "")</f>
        <v>-1.6679197379902755E-2</v>
      </c>
      <c r="BQ9" s="37">
        <f>IFERROR(YHHistoricalPricesAdjusted!BQ9/YHHistoricalPricesAdjusted!BQ8-1,  "")</f>
        <v>1.6585491114839979E-2</v>
      </c>
      <c r="BR9" s="37">
        <f>IFERROR(YHHistoricalPricesAdjusted!BR9/YHHistoricalPricesAdjusted!BR8-1,  "")</f>
        <v>-7.4719271991996461E-4</v>
      </c>
      <c r="BS9" s="37">
        <f>IFERROR(YHHistoricalPricesAdjusted!BS9/YHHistoricalPricesAdjusted!BS8-1,  "")</f>
        <v>-7.6358037832395809E-2</v>
      </c>
      <c r="BT9" s="37">
        <f>IFERROR(YHHistoricalPricesAdjusted!BT9/YHHistoricalPricesAdjusted!BT8-1,  "")</f>
        <v>-1.2345679547137944E-2</v>
      </c>
      <c r="BU9" s="37">
        <f>IFERROR(YHHistoricalPricesAdjusted!BU9/YHHistoricalPricesAdjusted!BU8-1,  "")</f>
        <v>3.9119252044711894E-2</v>
      </c>
      <c r="BV9" s="37">
        <f>IFERROR(YHHistoricalPricesAdjusted!BV9/YHHistoricalPricesAdjusted!BV8-1,  "")</f>
        <v>4.899489144901481E-2</v>
      </c>
      <c r="BW9" s="37">
        <f>IFERROR(YHHistoricalPricesAdjusted!BW9/YHHistoricalPricesAdjusted!BW8-1,  "")</f>
        <v>-5.8269333140372526E-2</v>
      </c>
      <c r="BX9" s="37">
        <f>IFERROR(YHHistoricalPricesAdjusted!BX9/YHHistoricalPricesAdjusted!BX8-1,  "")</f>
        <v>-3.2730881332619366E-2</v>
      </c>
      <c r="BY9" s="37">
        <f>IFERROR(YHHistoricalPricesAdjusted!BY9/YHHistoricalPricesAdjusted!BY8-1,  "")</f>
        <v>0.12297145142857135</v>
      </c>
      <c r="BZ9" s="37">
        <f>IFERROR(YHHistoricalPricesAdjusted!BZ9/YHHistoricalPricesAdjusted!BZ8-1,  "")</f>
        <v>-3.3926908400370159E-3</v>
      </c>
      <c r="CA9" s="37">
        <f>IFERROR(YHHistoricalPricesAdjusted!CA9/YHHistoricalPricesAdjusted!CA8-1,  "")</f>
        <v>-2.414525787135402E-2</v>
      </c>
      <c r="CB9" s="37">
        <f>IFERROR(YHHistoricalPricesAdjusted!CB9/YHHistoricalPricesAdjusted!CB8-1,  "")</f>
        <v>5.1853797688065972E-2</v>
      </c>
      <c r="CC9" s="37">
        <f>IFERROR(YHHistoricalPricesAdjusted!CC9/YHHistoricalPricesAdjusted!CC8-1,  "")</f>
        <v>2.1468258517045813E-2</v>
      </c>
      <c r="CD9" s="37">
        <f>IFERROR(YHHistoricalPricesAdjusted!CD9/YHHistoricalPricesAdjusted!CD8-1,  "")</f>
        <v>0.12201092722855766</v>
      </c>
      <c r="CE9" s="37">
        <f>IFERROR(YHHistoricalPricesAdjusted!CE9/YHHistoricalPricesAdjusted!CE8-1,  "")</f>
        <v>-0.13006218772839218</v>
      </c>
      <c r="CF9" s="37">
        <f>IFERROR(YHHistoricalPricesAdjusted!CF9/YHHistoricalPricesAdjusted!CF8-1,  "")</f>
        <v>2.4924471299093698E-2</v>
      </c>
    </row>
    <row r="10" spans="1:121" x14ac:dyDescent="0.25">
      <c r="A10" s="17">
        <v>41547</v>
      </c>
      <c r="B10" s="37">
        <f>IFERROR(YHHistoricalPricesAdjusted!B10/YHHistoricalPricesAdjusted!B9-1,  "")</f>
        <v>2.5602093580801011E-2</v>
      </c>
      <c r="C10" s="37">
        <f>IFERROR(YHHistoricalPricesAdjusted!C10/YHHistoricalPricesAdjusted!C9-1,  "")</f>
        <v>3.241146028235864E-2</v>
      </c>
      <c r="D10" s="37">
        <f>IFERROR(YHHistoricalPricesAdjusted!D10/YHHistoricalPricesAdjusted!D9-1,  "")</f>
        <v>2.1043891905488277E-2</v>
      </c>
      <c r="E10" s="37">
        <f>IFERROR(YHHistoricalPricesAdjusted!E10/YHHistoricalPricesAdjusted!E9-1,  "")</f>
        <v>6.0167661603332645E-2</v>
      </c>
      <c r="F10" s="37">
        <f>IFERROR(YHHistoricalPricesAdjusted!F10/YHHistoricalPricesAdjusted!F9-1,  "")</f>
        <v>2.7842831469236273E-2</v>
      </c>
      <c r="G10" s="37">
        <f>IFERROR(YHHistoricalPricesAdjusted!G10/YHHistoricalPricesAdjusted!G9-1,  "")</f>
        <v>1.9582316151180779E-2</v>
      </c>
      <c r="H10" s="37">
        <f>IFERROR(YHHistoricalPricesAdjusted!H10/YHHistoricalPricesAdjusted!H9-1,  "")</f>
        <v>-7.8572427889785912E-3</v>
      </c>
      <c r="I10" s="37">
        <f>IFERROR(YHHistoricalPricesAdjusted!I10/YHHistoricalPricesAdjusted!I9-1,  "")</f>
        <v>0.1086050065300026</v>
      </c>
      <c r="J10" s="37">
        <f>IFERROR(YHHistoricalPricesAdjusted!J10/YHHistoricalPricesAdjusted!J9-1,  "")</f>
        <v>8.023978612950855E-2</v>
      </c>
      <c r="K10" s="37">
        <f>IFERROR(YHHistoricalPricesAdjusted!K10/YHHistoricalPricesAdjusted!K9-1,  "")</f>
        <v>5.9938840088500367E-2</v>
      </c>
      <c r="L10" s="37">
        <f>IFERROR(YHHistoricalPricesAdjusted!L10/YHHistoricalPricesAdjusted!L9-1,  "")</f>
        <v>-7.8572427889785912E-3</v>
      </c>
      <c r="M10" s="37">
        <f>IFERROR(YHHistoricalPricesAdjusted!M10/YHHistoricalPricesAdjusted!M9-1,  "")</f>
        <v>-2.884661251634113E-3</v>
      </c>
      <c r="N10" s="37">
        <f>IFERROR(YHHistoricalPricesAdjusted!N10/YHHistoricalPricesAdjusted!N9-1,  "")</f>
        <v>7.5154708191106812E-2</v>
      </c>
      <c r="O10" s="37">
        <f>IFERROR(YHHistoricalPricesAdjusted!O10/YHHistoricalPricesAdjusted!O9-1,  "")</f>
        <v>0.14420115384615384</v>
      </c>
      <c r="P10" s="37">
        <f>IFERROR(YHHistoricalPricesAdjusted!P10/YHHistoricalPricesAdjusted!P9-1,  "")</f>
        <v>-6.0269968973568622E-3</v>
      </c>
      <c r="Q10" s="37">
        <f>IFERROR(YHHistoricalPricesAdjusted!Q10/YHHistoricalPricesAdjusted!Q9-1,  "")</f>
        <v>1.7219478000578547E-2</v>
      </c>
      <c r="R10" s="37">
        <f>IFERROR(YHHistoricalPricesAdjusted!R10/YHHistoricalPricesAdjusted!R9-1,  "")</f>
        <v>5.9742445139565614E-2</v>
      </c>
      <c r="S10" s="37">
        <f>IFERROR(YHHistoricalPricesAdjusted!S10/YHHistoricalPricesAdjusted!S9-1,  "")</f>
        <v>3.439428649547982E-2</v>
      </c>
      <c r="T10" s="37">
        <f>IFERROR(YHHistoricalPricesAdjusted!T10/YHHistoricalPricesAdjusted!T9-1,  "")</f>
        <v>4.1640572437285917E-2</v>
      </c>
      <c r="U10" s="37">
        <f>IFERROR(YHHistoricalPricesAdjusted!U10/YHHistoricalPricesAdjusted!U9-1,  "")</f>
        <v>9.1390612335535693E-3</v>
      </c>
      <c r="V10" s="37">
        <f>IFERROR(YHHistoricalPricesAdjusted!V10/YHHistoricalPricesAdjusted!V9-1,  "")</f>
        <v>6.6196789674298762E-2</v>
      </c>
      <c r="W10" s="37">
        <f>IFERROR(YHHistoricalPricesAdjusted!W10/YHHistoricalPricesAdjusted!W9-1,  "")</f>
        <v>3.2893020198433653E-2</v>
      </c>
      <c r="X10" s="37">
        <f>IFERROR(YHHistoricalPricesAdjusted!X10/YHHistoricalPricesAdjusted!X9-1,  "")</f>
        <v>5.2417930623869902E-2</v>
      </c>
      <c r="Y10" s="37">
        <f>IFERROR(YHHistoricalPricesAdjusted!Y10/YHHistoricalPricesAdjusted!Y9-1,  "")</f>
        <v>1.0799134673035393E-2</v>
      </c>
      <c r="Z10" s="37">
        <f>IFERROR(YHHistoricalPricesAdjusted!Z10/YHHistoricalPricesAdjusted!Z9-1,  "")</f>
        <v>1.8433155567425974E-2</v>
      </c>
      <c r="AA10" s="37">
        <f>IFERROR(YHHistoricalPricesAdjusted!AA10/YHHistoricalPricesAdjusted!AA9-1,  "")</f>
        <v>6.7668655806678579E-3</v>
      </c>
      <c r="AB10" s="37">
        <f>IFERROR(YHHistoricalPricesAdjusted!AB10/YHHistoricalPricesAdjusted!AB9-1,  "")</f>
        <v>-1.8123778769988386E-3</v>
      </c>
      <c r="AC10" s="37">
        <f>IFERROR(YHHistoricalPricesAdjusted!AC10/YHHistoricalPricesAdjusted!AC9-1,  "")</f>
        <v>0.11940298154509343</v>
      </c>
      <c r="AD10" s="37">
        <f>IFERROR(YHHistoricalPricesAdjusted!AD10/YHHistoricalPricesAdjusted!AD9-1,  "")</f>
        <v>0.1076664455110059</v>
      </c>
      <c r="AE10" s="37">
        <f>IFERROR(YHHistoricalPricesAdjusted!AE10/YHHistoricalPricesAdjusted!AE9-1,  "")</f>
        <v>0.11197283249342371</v>
      </c>
      <c r="AF10" s="37">
        <f>IFERROR(YHHistoricalPricesAdjusted!AF10/YHHistoricalPricesAdjusted!AF9-1,  "")</f>
        <v>0.15501514490812407</v>
      </c>
      <c r="AG10" s="37">
        <f>IFERROR(YHHistoricalPricesAdjusted!AG10/YHHistoricalPricesAdjusted!AG9-1,  "")</f>
        <v>6.5642390499306424E-2</v>
      </c>
      <c r="AH10" s="37">
        <f>IFERROR(YHHistoricalPricesAdjusted!AH10/YHHistoricalPricesAdjusted!AH9-1,  "")</f>
        <v>1.8257397497001948E-2</v>
      </c>
      <c r="AI10" s="37">
        <f>IFERROR(YHHistoricalPricesAdjusted!AI10/YHHistoricalPricesAdjusted!AI9-1,  "")</f>
        <v>5.622415309948825E-2</v>
      </c>
      <c r="AJ10" s="37">
        <f>IFERROR(YHHistoricalPricesAdjusted!AJ10/YHHistoricalPricesAdjusted!AJ9-1,  "")</f>
        <v>0.11141169003677742</v>
      </c>
      <c r="AK10" s="37">
        <f>IFERROR(YHHistoricalPricesAdjusted!AK10/YHHistoricalPricesAdjusted!AK9-1,  "")</f>
        <v>3.217651387604592E-2</v>
      </c>
      <c r="AL10" s="37">
        <f>IFERROR(YHHistoricalPricesAdjusted!AL10/YHHistoricalPricesAdjusted!AL9-1,  "")</f>
        <v>4.5440560417306042E-2</v>
      </c>
      <c r="AM10" s="37">
        <f>IFERROR(YHHistoricalPricesAdjusted!AM10/YHHistoricalPricesAdjusted!AM9-1,  "")</f>
        <v>-8.3551103255219417E-3</v>
      </c>
      <c r="AN10" s="37">
        <f>IFERROR(YHHistoricalPricesAdjusted!AN10/YHHistoricalPricesAdjusted!AN9-1,  "")</f>
        <v>-1.0138241358682909E-2</v>
      </c>
      <c r="AO10" s="37">
        <f>IFERROR(YHHistoricalPricesAdjusted!AO10/YHHistoricalPricesAdjusted!AO9-1,  "")</f>
        <v>2.2239527819437832E-2</v>
      </c>
      <c r="AP10" s="37">
        <f>IFERROR(YHHistoricalPricesAdjusted!AP10/YHHistoricalPricesAdjusted!AP9-1,  "")</f>
        <v>0.1059566938928842</v>
      </c>
      <c r="AQ10" s="37">
        <f>IFERROR(YHHistoricalPricesAdjusted!AQ10/YHHistoricalPricesAdjusted!AQ9-1,  "")</f>
        <v>5.0542603187265556E-2</v>
      </c>
      <c r="AR10" s="37">
        <f>IFERROR(YHHistoricalPricesAdjusted!AR10/YHHistoricalPricesAdjusted!AR9-1,  "")</f>
        <v>6.1577237379300209E-2</v>
      </c>
      <c r="AS10" s="37">
        <f>IFERROR(YHHistoricalPricesAdjusted!AS10/YHHistoricalPricesAdjusted!AS9-1,  "")</f>
        <v>2.6056577588213781E-2</v>
      </c>
      <c r="AT10" s="37">
        <f>IFERROR(YHHistoricalPricesAdjusted!AT10/YHHistoricalPricesAdjusted!AT9-1,  "")</f>
        <v>2.5388684440370124E-2</v>
      </c>
      <c r="AU10" s="37">
        <f>IFERROR(YHHistoricalPricesAdjusted!AU10/YHHistoricalPricesAdjusted!AU9-1,  "")</f>
        <v>2.004684858211192E-2</v>
      </c>
      <c r="AV10" s="37">
        <f>IFERROR(YHHistoricalPricesAdjusted!AV10/YHHistoricalPricesAdjusted!AV9-1,  "")</f>
        <v>6.4361230544367931E-2</v>
      </c>
      <c r="AW10" s="37">
        <f>IFERROR(YHHistoricalPricesAdjusted!AW10/YHHistoricalPricesAdjusted!AW9-1,  "")</f>
        <v>5.6969143387484156E-3</v>
      </c>
      <c r="AX10" s="37">
        <f>IFERROR(YHHistoricalPricesAdjusted!AX10/YHHistoricalPricesAdjusted!AX9-1,  "")</f>
        <v>2.9324745630300297E-2</v>
      </c>
      <c r="AY10" s="37">
        <f>IFERROR(YHHistoricalPricesAdjusted!AY10/YHHistoricalPricesAdjusted!AY9-1,  "")</f>
        <v>7.5473267380221642E-4</v>
      </c>
      <c r="AZ10" s="37">
        <f>IFERROR(YHHistoricalPricesAdjusted!AZ10/YHHistoricalPricesAdjusted!AZ9-1,  "")</f>
        <v>1.3977574885315702E-2</v>
      </c>
      <c r="BA10" s="37">
        <f>IFERROR(YHHistoricalPricesAdjusted!BA10/YHHistoricalPricesAdjusted!BA9-1,  "")</f>
        <v>-1.3309239888598889E-2</v>
      </c>
      <c r="BB10" s="37">
        <f>IFERROR(YHHistoricalPricesAdjusted!BB10/YHHistoricalPricesAdjusted!BB9-1,  "")</f>
        <v>2.2956744210499869E-2</v>
      </c>
      <c r="BC10" s="37">
        <f>IFERROR(YHHistoricalPricesAdjusted!BC10/YHHistoricalPricesAdjusted!BC9-1,  "")</f>
        <v>-2.2663016575537931E-2</v>
      </c>
      <c r="BD10" s="37">
        <f>IFERROR(YHHistoricalPricesAdjusted!BD10/YHHistoricalPricesAdjusted!BD9-1,  "")</f>
        <v>0.10376011980492339</v>
      </c>
      <c r="BE10" s="37">
        <f>IFERROR(YHHistoricalPricesAdjusted!BE10/YHHistoricalPricesAdjusted!BE9-1,  "")</f>
        <v>3.9169952438560252E-3</v>
      </c>
      <c r="BF10" s="37">
        <f>IFERROR(YHHistoricalPricesAdjusted!BF10/YHHistoricalPricesAdjusted!BF9-1,  "")</f>
        <v>4.3370439594192733E-2</v>
      </c>
      <c r="BG10" s="37">
        <f>IFERROR(YHHistoricalPricesAdjusted!BG10/YHHistoricalPricesAdjusted!BG9-1,  "")</f>
        <v>1.2455183081095722E-2</v>
      </c>
      <c r="BH10" s="37">
        <f>IFERROR(YHHistoricalPricesAdjusted!BH10/YHHistoricalPricesAdjusted!BH9-1,  "")</f>
        <v>1.2742904212897255E-2</v>
      </c>
      <c r="BI10" s="37">
        <f>IFERROR(YHHistoricalPricesAdjusted!BI10/YHHistoricalPricesAdjusted!BI9-1,  "")</f>
        <v>0.110051702082405</v>
      </c>
      <c r="BJ10" s="37">
        <f>IFERROR(YHHistoricalPricesAdjusted!BJ10/YHHistoricalPricesAdjusted!BJ9-1,  "")</f>
        <v>0.14908595782430445</v>
      </c>
      <c r="BK10" s="37">
        <f>IFERROR(YHHistoricalPricesAdjusted!BK10/YHHistoricalPricesAdjusted!BK9-1,  "")</f>
        <v>5.0201569678290259E-2</v>
      </c>
      <c r="BL10" s="37">
        <f>IFERROR(YHHistoricalPricesAdjusted!BL10/YHHistoricalPricesAdjusted!BL9-1,  "")</f>
        <v>5.7145475295001802E-2</v>
      </c>
      <c r="BM10" s="37">
        <f>IFERROR(YHHistoricalPricesAdjusted!BM10/YHHistoricalPricesAdjusted!BM9-1,  "")</f>
        <v>4.8881212540628161E-2</v>
      </c>
      <c r="BN10" s="37">
        <f>IFERROR(YHHistoricalPricesAdjusted!BN10/YHHistoricalPricesAdjusted!BN9-1,  "")</f>
        <v>5.7997161518014151E-2</v>
      </c>
      <c r="BO10" s="37">
        <f>IFERROR(YHHistoricalPricesAdjusted!BO10/YHHistoricalPricesAdjusted!BO9-1,  "")</f>
        <v>6.7160999270348798E-2</v>
      </c>
      <c r="BP10" s="37">
        <f>IFERROR(YHHistoricalPricesAdjusted!BP10/YHHistoricalPricesAdjusted!BP9-1,  "")</f>
        <v>7.4130961769302672E-2</v>
      </c>
      <c r="BQ10" s="37">
        <f>IFERROR(YHHistoricalPricesAdjusted!BQ10/YHHistoricalPricesAdjusted!BQ9-1,  "")</f>
        <v>8.3961154537950833E-2</v>
      </c>
      <c r="BR10" s="37">
        <f>IFERROR(YHHistoricalPricesAdjusted!BR10/YHHistoricalPricesAdjusted!BR9-1,  "")</f>
        <v>9.903999823261378E-2</v>
      </c>
      <c r="BS10" s="37">
        <f>IFERROR(YHHistoricalPricesAdjusted!BS10/YHHistoricalPricesAdjusted!BS9-1,  "")</f>
        <v>0.10751951211135213</v>
      </c>
      <c r="BT10" s="37">
        <f>IFERROR(YHHistoricalPricesAdjusted!BT10/YHHistoricalPricesAdjusted!BT9-1,  "")</f>
        <v>-8.7712723145294547E-4</v>
      </c>
      <c r="BU10" s="37">
        <f>IFERROR(YHHistoricalPricesAdjusted!BU10/YHHistoricalPricesAdjusted!BU9-1,  "")</f>
        <v>0.12353444659567603</v>
      </c>
      <c r="BV10" s="37">
        <f>IFERROR(YHHistoricalPricesAdjusted!BV10/YHHistoricalPricesAdjusted!BV9-1,  "")</f>
        <v>3.4284493525096327E-3</v>
      </c>
      <c r="BW10" s="37">
        <f>IFERROR(YHHistoricalPricesAdjusted!BW10/YHHistoricalPricesAdjusted!BW9-1,  "")</f>
        <v>5.2969526347188101E-2</v>
      </c>
      <c r="BX10" s="37">
        <f>IFERROR(YHHistoricalPricesAdjusted!BX10/YHHistoricalPricesAdjusted!BX9-1,  "")</f>
        <v>-1.4985381901210126E-2</v>
      </c>
      <c r="BY10" s="37">
        <f>IFERROR(YHHistoricalPricesAdjusted!BY10/YHHistoricalPricesAdjusted!BY9-1,  "")</f>
        <v>5.6584550038987214E-2</v>
      </c>
      <c r="BZ10" s="37">
        <f>IFERROR(YHHistoricalPricesAdjusted!BZ10/YHHistoricalPricesAdjusted!BZ9-1,  "")</f>
        <v>4.3758825492882458E-2</v>
      </c>
      <c r="CA10" s="37">
        <f>IFERROR(YHHistoricalPricesAdjusted!CA10/YHHistoricalPricesAdjusted!CA9-1,  "")</f>
        <v>-8.6698357086302469E-2</v>
      </c>
      <c r="CB10" s="37">
        <f>IFERROR(YHHistoricalPricesAdjusted!CB10/YHHistoricalPricesAdjusted!CB9-1,  "")</f>
        <v>3.0245223973140556E-2</v>
      </c>
      <c r="CC10" s="37">
        <f>IFERROR(YHHistoricalPricesAdjusted!CC10/YHHistoricalPricesAdjusted!CC9-1,  "")</f>
        <v>6.0234092724805066E-2</v>
      </c>
      <c r="CD10" s="37">
        <f>IFERROR(YHHistoricalPricesAdjusted!CD10/YHHistoricalPricesAdjusted!CD9-1,  "")</f>
        <v>0.21651728707877727</v>
      </c>
      <c r="CE10" s="37">
        <f>IFERROR(YHHistoricalPricesAdjusted!CE10/YHHistoricalPricesAdjusted!CE9-1,  "")</f>
        <v>-6.0429708017255557E-2</v>
      </c>
      <c r="CF10" s="37">
        <f>IFERROR(YHHistoricalPricesAdjusted!CF10/YHHistoricalPricesAdjusted!CF9-1,  "")</f>
        <v>0.28739859985261607</v>
      </c>
    </row>
    <row r="11" spans="1:121" x14ac:dyDescent="0.25">
      <c r="A11" s="17">
        <v>41578</v>
      </c>
      <c r="B11" s="37">
        <f>IFERROR(YHHistoricalPricesAdjusted!B11/YHHistoricalPricesAdjusted!B10-1,  "")</f>
        <v>9.6381804395889503E-2</v>
      </c>
      <c r="C11" s="37">
        <f>IFERROR(YHHistoricalPricesAdjusted!C11/YHHistoricalPricesAdjusted!C10-1,  "")</f>
        <v>0.10260885711356238</v>
      </c>
      <c r="D11" s="37">
        <f>IFERROR(YHHistoricalPricesAdjusted!D11/YHHistoricalPricesAdjusted!D10-1,  "")</f>
        <v>-3.2238509474901367E-2</v>
      </c>
      <c r="E11" s="37">
        <f>IFERROR(YHHistoricalPricesAdjusted!E11/YHHistoricalPricesAdjusted!E10-1,  "")</f>
        <v>6.3575568257641768E-2</v>
      </c>
      <c r="F11" s="37">
        <f>IFERROR(YHHistoricalPricesAdjusted!F11/YHHistoricalPricesAdjusted!F10-1,  "")</f>
        <v>3.2221444128843757E-3</v>
      </c>
      <c r="G11" s="37">
        <f>IFERROR(YHHistoricalPricesAdjusted!G11/YHHistoricalPricesAdjusted!G10-1,  "")</f>
        <v>3.772286133115843E-2</v>
      </c>
      <c r="H11" s="37">
        <f>IFERROR(YHHistoricalPricesAdjusted!H11/YHHistoricalPricesAdjusted!H10-1,  "")</f>
        <v>5.2211611100178024E-2</v>
      </c>
      <c r="I11" s="37">
        <f>IFERROR(YHHistoricalPricesAdjusted!I11/YHHistoricalPricesAdjusted!I10-1,  "")</f>
        <v>1.666025335892507E-2</v>
      </c>
      <c r="J11" s="37">
        <f>IFERROR(YHHistoricalPricesAdjusted!J11/YHHistoricalPricesAdjusted!J10-1,  "")</f>
        <v>-3.0140871606080255E-2</v>
      </c>
      <c r="K11" s="37">
        <f>IFERROR(YHHistoricalPricesAdjusted!K11/YHHistoricalPricesAdjusted!K10-1,  "")</f>
        <v>2.0060769706233827E-2</v>
      </c>
      <c r="L11" s="37">
        <f>IFERROR(YHHistoricalPricesAdjusted!L11/YHHistoricalPricesAdjusted!L10-1,  "")</f>
        <v>5.2211611100178024E-2</v>
      </c>
      <c r="M11" s="37">
        <f>IFERROR(YHHistoricalPricesAdjusted!M11/YHHistoricalPricesAdjusted!M10-1,  "")</f>
        <v>6.5273774345140145E-2</v>
      </c>
      <c r="N11" s="37">
        <f>IFERROR(YHHistoricalPricesAdjusted!N11/YHHistoricalPricesAdjusted!N10-1,  "")</f>
        <v>5.2993237608023547E-2</v>
      </c>
      <c r="O11" s="37">
        <f>IFERROR(YHHistoricalPricesAdjusted!O11/YHHistoricalPricesAdjusted!O10-1,  "")</f>
        <v>-0.1728809735967568</v>
      </c>
      <c r="P11" s="37">
        <f>IFERROR(YHHistoricalPricesAdjusted!P11/YHHistoricalPricesAdjusted!P10-1,  "")</f>
        <v>4.1608575604525022E-2</v>
      </c>
      <c r="Q11" s="37">
        <f>IFERROR(YHHistoricalPricesAdjusted!Q11/YHHistoricalPricesAdjusted!Q10-1,  "")</f>
        <v>-1.2675030123147635E-2</v>
      </c>
      <c r="R11" s="37">
        <f>IFERROR(YHHistoricalPricesAdjusted!R11/YHHistoricalPricesAdjusted!R10-1,  "")</f>
        <v>3.1946661143641197E-2</v>
      </c>
      <c r="S11" s="37">
        <f>IFERROR(YHHistoricalPricesAdjusted!S11/YHHistoricalPricesAdjusted!S10-1,  "")</f>
        <v>3.0800772493070783E-2</v>
      </c>
      <c r="T11" s="37">
        <f>IFERROR(YHHistoricalPricesAdjusted!T11/YHHistoricalPricesAdjusted!T10-1,  "")</f>
        <v>9.0217612144023462E-3</v>
      </c>
      <c r="U11" s="37">
        <f>IFERROR(YHHistoricalPricesAdjusted!U11/YHHistoricalPricesAdjusted!U10-1,  "")</f>
        <v>5.5589291781398265E-2</v>
      </c>
      <c r="V11" s="37">
        <f>IFERROR(YHHistoricalPricesAdjusted!V11/YHHistoricalPricesAdjusted!V10-1,  "")</f>
        <v>4.8863178697360343E-3</v>
      </c>
      <c r="W11" s="37">
        <f>IFERROR(YHHistoricalPricesAdjusted!W11/YHHistoricalPricesAdjusted!W10-1,  "")</f>
        <v>6.5783532080383011E-2</v>
      </c>
      <c r="X11" s="37">
        <f>IFERROR(YHHistoricalPricesAdjusted!X11/YHHistoricalPricesAdjusted!X10-1,  "")</f>
        <v>6.7054576161820867E-2</v>
      </c>
      <c r="Y11" s="37">
        <f>IFERROR(YHHistoricalPricesAdjusted!Y11/YHHistoricalPricesAdjusted!Y10-1,  "")</f>
        <v>6.8289067022742511E-2</v>
      </c>
      <c r="Z11" s="37">
        <f>IFERROR(YHHistoricalPricesAdjusted!Z11/YHHistoricalPricesAdjusted!Z10-1,  "")</f>
        <v>6.8221393583545842E-2</v>
      </c>
      <c r="AA11" s="37">
        <f>IFERROR(YHHistoricalPricesAdjusted!AA11/YHHistoricalPricesAdjusted!AA10-1,  "")</f>
        <v>-4.4394373076749649E-2</v>
      </c>
      <c r="AB11" s="37">
        <f>IFERROR(YHHistoricalPricesAdjusted!AB11/YHHistoricalPricesAdjusted!AB10-1,  "")</f>
        <v>-4.3191184181525233E-2</v>
      </c>
      <c r="AC11" s="37">
        <f>IFERROR(YHHistoricalPricesAdjusted!AC11/YHHistoricalPricesAdjusted!AC10-1,  "")</f>
        <v>0.10269003543510036</v>
      </c>
      <c r="AD11" s="37">
        <f>IFERROR(YHHistoricalPricesAdjusted!AD11/YHHistoricalPricesAdjusted!AD10-1,  "")</f>
        <v>7.427682990000406E-2</v>
      </c>
      <c r="AE11" s="37">
        <f>IFERROR(YHHistoricalPricesAdjusted!AE11/YHHistoricalPricesAdjusted!AE10-1,  "")</f>
        <v>0.12263791052981388</v>
      </c>
      <c r="AF11" s="37">
        <f>IFERROR(YHHistoricalPricesAdjusted!AF11/YHHistoricalPricesAdjusted!AF10-1,  "")</f>
        <v>3.0921026315789524E-2</v>
      </c>
      <c r="AG11" s="37">
        <f>IFERROR(YHHistoricalPricesAdjusted!AG11/YHHistoricalPricesAdjusted!AG10-1,  "")</f>
        <v>7.3472530140835213E-2</v>
      </c>
      <c r="AH11" s="37">
        <f>IFERROR(YHHistoricalPricesAdjusted!AH11/YHHistoricalPricesAdjusted!AH10-1,  "")</f>
        <v>3.2299708852567166E-2</v>
      </c>
      <c r="AI11" s="37">
        <f>IFERROR(YHHistoricalPricesAdjusted!AI11/YHHistoricalPricesAdjusted!AI10-1,  "")</f>
        <v>7.1802078570524897E-2</v>
      </c>
      <c r="AJ11" s="37">
        <f>IFERROR(YHHistoricalPricesAdjusted!AJ11/YHHistoricalPricesAdjusted!AJ10-1,  "")</f>
        <v>0.13819734833108344</v>
      </c>
      <c r="AK11" s="37">
        <f>IFERROR(YHHistoricalPricesAdjusted!AK11/YHHistoricalPricesAdjusted!AK10-1,  "")</f>
        <v>8.9059955944655433E-2</v>
      </c>
      <c r="AL11" s="37">
        <f>IFERROR(YHHistoricalPricesAdjusted!AL11/YHHistoricalPricesAdjusted!AL10-1,  "")</f>
        <v>4.7929477273680465E-3</v>
      </c>
      <c r="AM11" s="37">
        <f>IFERROR(YHHistoricalPricesAdjusted!AM11/YHHistoricalPricesAdjusted!AM10-1,  "")</f>
        <v>0.15745125781152303</v>
      </c>
      <c r="AN11" s="37">
        <f>IFERROR(YHHistoricalPricesAdjusted!AN11/YHHistoricalPricesAdjusted!AN10-1,  "")</f>
        <v>0.10800741482837872</v>
      </c>
      <c r="AO11" s="37">
        <f>IFERROR(YHHistoricalPricesAdjusted!AO11/YHHistoricalPricesAdjusted!AO10-1,  "")</f>
        <v>-2.5363833850674422E-2</v>
      </c>
      <c r="AP11" s="37">
        <f>IFERROR(YHHistoricalPricesAdjusted!AP11/YHHistoricalPricesAdjusted!AP10-1,  "")</f>
        <v>-1.0037521055954124E-2</v>
      </c>
      <c r="AQ11" s="37">
        <f>IFERROR(YHHistoricalPricesAdjusted!AQ11/YHHistoricalPricesAdjusted!AQ10-1,  "")</f>
        <v>0.22894119810469782</v>
      </c>
      <c r="AR11" s="37">
        <f>IFERROR(YHHistoricalPricesAdjusted!AR11/YHHistoricalPricesAdjusted!AR10-1,  "")</f>
        <v>3.3381695211610385E-2</v>
      </c>
      <c r="AS11" s="37">
        <f>IFERROR(YHHistoricalPricesAdjusted!AS11/YHHistoricalPricesAdjusted!AS10-1,  "")</f>
        <v>7.2834671145751262E-2</v>
      </c>
      <c r="AT11" s="37">
        <f>IFERROR(YHHistoricalPricesAdjusted!AT11/YHHistoricalPricesAdjusted!AT10-1,  "")</f>
        <v>1.8196444312612803E-2</v>
      </c>
      <c r="AU11" s="37">
        <f>IFERROR(YHHistoricalPricesAdjusted!AU11/YHHistoricalPricesAdjusted!AU10-1,  "")</f>
        <v>3.8517522970751727E-2</v>
      </c>
      <c r="AV11" s="37">
        <f>IFERROR(YHHistoricalPricesAdjusted!AV11/YHHistoricalPricesAdjusted!AV10-1,  "")</f>
        <v>-3.4204925111118722E-3</v>
      </c>
      <c r="AW11" s="37">
        <f>IFERROR(YHHistoricalPricesAdjusted!AW11/YHHistoricalPricesAdjusted!AW10-1,  "")</f>
        <v>5.7260180681430572E-2</v>
      </c>
      <c r="AX11" s="37">
        <f>IFERROR(YHHistoricalPricesAdjusted!AX11/YHHistoricalPricesAdjusted!AX10-1,  "")</f>
        <v>7.4124172150126677E-2</v>
      </c>
      <c r="AY11" s="37">
        <f>IFERROR(YHHistoricalPricesAdjusted!AY11/YHHistoricalPricesAdjusted!AY10-1,  "")</f>
        <v>-6.5564663073125473E-3</v>
      </c>
      <c r="AZ11" s="37">
        <f>IFERROR(YHHistoricalPricesAdjusted!AZ11/YHHistoricalPricesAdjusted!AZ10-1,  "")</f>
        <v>7.2422499318582023E-2</v>
      </c>
      <c r="BA11" s="37">
        <f>IFERROR(YHHistoricalPricesAdjusted!BA11/YHHistoricalPricesAdjusted!BA10-1,  "")</f>
        <v>5.8260570607135964E-2</v>
      </c>
      <c r="BB11" s="37">
        <f>IFERROR(YHHistoricalPricesAdjusted!BB11/YHHistoricalPricesAdjusted!BB10-1,  "")</f>
        <v>-2.9020939051102035E-3</v>
      </c>
      <c r="BC11" s="37">
        <f>IFERROR(YHHistoricalPricesAdjusted!BC11/YHHistoricalPricesAdjusted!BC10-1,  "")</f>
        <v>1.3029959061067631E-2</v>
      </c>
      <c r="BD11" s="37">
        <f>IFERROR(YHHistoricalPricesAdjusted!BD11/YHHistoricalPricesAdjusted!BD10-1,  "")</f>
        <v>2.9146963817935578E-2</v>
      </c>
      <c r="BE11" s="37">
        <f>IFERROR(YHHistoricalPricesAdjusted!BE11/YHHistoricalPricesAdjusted!BE10-1,  "")</f>
        <v>5.5658229580934915E-3</v>
      </c>
      <c r="BF11" s="37">
        <f>IFERROR(YHHistoricalPricesAdjusted!BF11/YHHistoricalPricesAdjusted!BF10-1,  "")</f>
        <v>1.6749969584066049E-2</v>
      </c>
      <c r="BG11" s="37">
        <f>IFERROR(YHHistoricalPricesAdjusted!BG11/YHHistoricalPricesAdjusted!BG10-1,  "")</f>
        <v>2.7753509547400856E-2</v>
      </c>
      <c r="BH11" s="37">
        <f>IFERROR(YHHistoricalPricesAdjusted!BH11/YHHistoricalPricesAdjusted!BH10-1,  "")</f>
        <v>3.3155811206708741E-2</v>
      </c>
      <c r="BI11" s="37">
        <f>IFERROR(YHHistoricalPricesAdjusted!BI11/YHHistoricalPricesAdjusted!BI10-1,  "")</f>
        <v>6.5875745380061579E-2</v>
      </c>
      <c r="BJ11" s="37">
        <f>IFERROR(YHHistoricalPricesAdjusted!BJ11/YHHistoricalPricesAdjusted!BJ10-1,  "")</f>
        <v>9.0575082237981386E-2</v>
      </c>
      <c r="BK11" s="37">
        <f>IFERROR(YHHistoricalPricesAdjusted!BK11/YHHistoricalPricesAdjusted!BK10-1,  "")</f>
        <v>8.3157098442740329E-2</v>
      </c>
      <c r="BL11" s="37">
        <f>IFERROR(YHHistoricalPricesAdjusted!BL11/YHHistoricalPricesAdjusted!BL10-1,  "")</f>
        <v>5.3931746642448264E-2</v>
      </c>
      <c r="BM11" s="37">
        <f>IFERROR(YHHistoricalPricesAdjusted!BM11/YHHistoricalPricesAdjusted!BM10-1,  "")</f>
        <v>4.4436472893414125E-2</v>
      </c>
      <c r="BN11" s="37">
        <f>IFERROR(YHHistoricalPricesAdjusted!BN11/YHHistoricalPricesAdjusted!BN10-1,  "")</f>
        <v>4.0457398298303637E-2</v>
      </c>
      <c r="BO11" s="37">
        <f>IFERROR(YHHistoricalPricesAdjusted!BO11/YHHistoricalPricesAdjusted!BO10-1,  "")</f>
        <v>3.8688793304533231E-2</v>
      </c>
      <c r="BP11" s="37">
        <f>IFERROR(YHHistoricalPricesAdjusted!BP11/YHHistoricalPricesAdjusted!BP10-1,  "")</f>
        <v>-4.5608488715302209E-2</v>
      </c>
      <c r="BQ11" s="37">
        <f>IFERROR(YHHistoricalPricesAdjusted!BQ11/YHHistoricalPricesAdjusted!BQ10-1,  "")</f>
        <v>-4.4027983961554273E-2</v>
      </c>
      <c r="BR11" s="37">
        <f>IFERROR(YHHistoricalPricesAdjusted!BR11/YHHistoricalPricesAdjusted!BR10-1,  "")</f>
        <v>5.9770187311015688E-2</v>
      </c>
      <c r="BS11" s="37">
        <f>IFERROR(YHHistoricalPricesAdjusted!BS11/YHHistoricalPricesAdjusted!BS10-1,  "")</f>
        <v>-2.0915382663892701E-2</v>
      </c>
      <c r="BT11" s="37">
        <f>IFERROR(YHHistoricalPricesAdjusted!BT11/YHHistoricalPricesAdjusted!BT10-1,  "")</f>
        <v>6.0359963556629426E-2</v>
      </c>
      <c r="BU11" s="37">
        <f>IFERROR(YHHistoricalPricesAdjusted!BU11/YHHistoricalPricesAdjusted!BU10-1,  "")</f>
        <v>8.9703692731408102E-2</v>
      </c>
      <c r="BV11" s="37">
        <f>IFERROR(YHHistoricalPricesAdjusted!BV11/YHHistoricalPricesAdjusted!BV10-1,  "")</f>
        <v>6.4002526514015834E-2</v>
      </c>
      <c r="BW11" s="37">
        <f>IFERROR(YHHistoricalPricesAdjusted!BW11/YHHistoricalPricesAdjusted!BW10-1,  "")</f>
        <v>6.762651449453827E-2</v>
      </c>
      <c r="BX11" s="37">
        <f>IFERROR(YHHistoricalPricesAdjusted!BX11/YHHistoricalPricesAdjusted!BX10-1,  "")</f>
        <v>8.2279917146708126E-2</v>
      </c>
      <c r="BY11" s="37">
        <f>IFERROR(YHHistoricalPricesAdjusted!BY11/YHHistoricalPricesAdjusted!BY10-1,  "")</f>
        <v>2.7932980157965748E-2</v>
      </c>
      <c r="BZ11" s="37">
        <f>IFERROR(YHHistoricalPricesAdjusted!BZ11/YHHistoricalPricesAdjusted!BZ10-1,  "")</f>
        <v>7.6911784595780963E-2</v>
      </c>
      <c r="CA11" s="37">
        <f>IFERROR(YHHistoricalPricesAdjusted!CA11/YHHistoricalPricesAdjusted!CA10-1,  "")</f>
        <v>-6.2201973606458072E-2</v>
      </c>
      <c r="CB11" s="37">
        <f>IFERROR(YHHistoricalPricesAdjusted!CB11/YHHistoricalPricesAdjusted!CB10-1,  "")</f>
        <v>1.0748960150795961E-2</v>
      </c>
      <c r="CC11" s="37">
        <f>IFERROR(YHHistoricalPricesAdjusted!CC11/YHHistoricalPricesAdjusted!CC10-1,  "")</f>
        <v>-2.3778964364846056E-2</v>
      </c>
      <c r="CD11" s="37">
        <f>IFERROR(YHHistoricalPricesAdjusted!CD11/YHHistoricalPricesAdjusted!CD10-1,  "")</f>
        <v>-3.9818833366500606E-4</v>
      </c>
      <c r="CE11" s="37">
        <f>IFERROR(YHHistoricalPricesAdjusted!CE11/YHHistoricalPricesAdjusted!CE10-1,  "")</f>
        <v>0.17782568679239863</v>
      </c>
      <c r="CF11" s="37">
        <f>IFERROR(YHHistoricalPricesAdjusted!CF11/YHHistoricalPricesAdjusted!CF10-1,  "")</f>
        <v>1.2020664683495275E-2</v>
      </c>
    </row>
    <row r="12" spans="1:121" x14ac:dyDescent="0.25">
      <c r="A12" s="17">
        <v>41608</v>
      </c>
      <c r="B12" s="37">
        <f>IFERROR(YHHistoricalPricesAdjusted!B12/YHHistoricalPricesAdjusted!B11-1,  "")</f>
        <v>6.3841574124023026E-2</v>
      </c>
      <c r="C12" s="37">
        <f>IFERROR(YHHistoricalPricesAdjusted!C12/YHHistoricalPricesAdjusted!C11-1,  "")</f>
        <v>1.9892791213859562E-2</v>
      </c>
      <c r="D12" s="37">
        <f>IFERROR(YHHistoricalPricesAdjusted!D12/YHHistoricalPricesAdjusted!D11-1,  "")</f>
        <v>2.6225039568641417E-3</v>
      </c>
      <c r="E12" s="37">
        <f>IFERROR(YHHistoricalPricesAdjusted!E12/YHHistoricalPricesAdjusted!E11-1,  "")</f>
        <v>2.8429970162319407E-2</v>
      </c>
      <c r="F12" s="37">
        <f>IFERROR(YHHistoricalPricesAdjusted!F12/YHHistoricalPricesAdjusted!F11-1,  "")</f>
        <v>8.8065137186277287E-3</v>
      </c>
      <c r="G12" s="37">
        <f>IFERROR(YHHistoricalPricesAdjusted!G12/YHHistoricalPricesAdjusted!G11-1,  "")</f>
        <v>5.5505067520460694E-2</v>
      </c>
      <c r="H12" s="37">
        <f>IFERROR(YHHistoricalPricesAdjusted!H12/YHHistoricalPricesAdjusted!H11-1,  "")</f>
        <v>1.5668427518746419E-2</v>
      </c>
      <c r="I12" s="37">
        <f>IFERROR(YHHistoricalPricesAdjusted!I12/YHHistoricalPricesAdjusted!I11-1,  "")</f>
        <v>5.7393189206965678E-2</v>
      </c>
      <c r="J12" s="37">
        <f>IFERROR(YHHistoricalPricesAdjusted!J12/YHHistoricalPricesAdjusted!J11-1,  "")</f>
        <v>3.0526078569334425E-2</v>
      </c>
      <c r="K12" s="37">
        <f>IFERROR(YHHistoricalPricesAdjusted!K12/YHHistoricalPricesAdjusted!K11-1,  "")</f>
        <v>-3.3765998409029052E-2</v>
      </c>
      <c r="L12" s="37">
        <f>IFERROR(YHHistoricalPricesAdjusted!L12/YHHistoricalPricesAdjusted!L11-1,  "")</f>
        <v>1.5668427518746419E-2</v>
      </c>
      <c r="M12" s="37">
        <f>IFERROR(YHHistoricalPricesAdjusted!M12/YHHistoricalPricesAdjusted!M11-1,  "")</f>
        <v>4.3999927314384291E-3</v>
      </c>
      <c r="N12" s="37">
        <f>IFERROR(YHHistoricalPricesAdjusted!N12/YHHistoricalPricesAdjusted!N11-1,  "")</f>
        <v>6.00598554143843E-2</v>
      </c>
      <c r="O12" s="37">
        <f>IFERROR(YHHistoricalPricesAdjusted!O12/YHHistoricalPricesAdjusted!O11-1,  "")</f>
        <v>-0.20420159179440289</v>
      </c>
      <c r="P12" s="37">
        <f>IFERROR(YHHistoricalPricesAdjusted!P12/YHHistoricalPricesAdjusted!P11-1,  "")</f>
        <v>4.3070650936489541E-2</v>
      </c>
      <c r="Q12" s="37">
        <f>IFERROR(YHHistoricalPricesAdjusted!Q12/YHHistoricalPricesAdjusted!Q11-1,  "")</f>
        <v>2.0673617604584082E-2</v>
      </c>
      <c r="R12" s="37">
        <f>IFERROR(YHHistoricalPricesAdjusted!R12/YHHistoricalPricesAdjusted!R11-1,  "")</f>
        <v>-2.643603497308411E-2</v>
      </c>
      <c r="S12" s="37">
        <f>IFERROR(YHHistoricalPricesAdjusted!S12/YHHistoricalPricesAdjusted!S11-1,  "")</f>
        <v>4.8035433643481618E-2</v>
      </c>
      <c r="T12" s="37">
        <f>IFERROR(YHHistoricalPricesAdjusted!T12/YHHistoricalPricesAdjusted!T11-1,  "")</f>
        <v>6.8965762512640083E-2</v>
      </c>
      <c r="U12" s="37">
        <f>IFERROR(YHHistoricalPricesAdjusted!U12/YHHistoricalPricesAdjusted!U11-1,  "")</f>
        <v>3.8072327675031437E-2</v>
      </c>
      <c r="V12" s="37">
        <f>IFERROR(YHHistoricalPricesAdjusted!V12/YHHistoricalPricesAdjusted!V11-1,  "")</f>
        <v>8.4991493843293631E-2</v>
      </c>
      <c r="W12" s="37">
        <f>IFERROR(YHHistoricalPricesAdjusted!W12/YHHistoricalPricesAdjusted!W11-1,  "")</f>
        <v>4.4710813001389349E-2</v>
      </c>
      <c r="X12" s="37">
        <f>IFERROR(YHHistoricalPricesAdjusted!X12/YHHistoricalPricesAdjusted!X11-1,  "")</f>
        <v>-2.3843060497440449E-3</v>
      </c>
      <c r="Y12" s="37">
        <f>IFERROR(YHHistoricalPricesAdjusted!Y12/YHHistoricalPricesAdjusted!Y11-1,  "")</f>
        <v>2.2135882796581408E-2</v>
      </c>
      <c r="Z12" s="37">
        <f>IFERROR(YHHistoricalPricesAdjusted!Z12/YHHistoricalPricesAdjusted!Z11-1,  "")</f>
        <v>3.3887330106281865E-2</v>
      </c>
      <c r="AA12" s="37">
        <f>IFERROR(YHHistoricalPricesAdjusted!AA12/YHHistoricalPricesAdjusted!AA11-1,  "")</f>
        <v>0.10512319101766887</v>
      </c>
      <c r="AB12" s="37">
        <f>IFERROR(YHHistoricalPricesAdjusted!AB12/YHHistoricalPricesAdjusted!AB11-1,  "")</f>
        <v>9.1122227769585118E-2</v>
      </c>
      <c r="AC12" s="37">
        <f>IFERROR(YHHistoricalPricesAdjusted!AC12/YHHistoricalPricesAdjusted!AC11-1,  "")</f>
        <v>-1.5273638299900028E-2</v>
      </c>
      <c r="AD12" s="37">
        <f>IFERROR(YHHistoricalPricesAdjusted!AD12/YHHistoricalPricesAdjusted!AD11-1,  "")</f>
        <v>2.3212371847959545E-2</v>
      </c>
      <c r="AE12" s="37">
        <f>IFERROR(YHHistoricalPricesAdjusted!AE12/YHHistoricalPricesAdjusted!AE11-1,  "")</f>
        <v>4.2815195757405888E-2</v>
      </c>
      <c r="AF12" s="37">
        <f>IFERROR(YHHistoricalPricesAdjusted!AF12/YHHistoricalPricesAdjusted!AF11-1,  "")</f>
        <v>0.21250800797723057</v>
      </c>
      <c r="AG12" s="37">
        <f>IFERROR(YHHistoricalPricesAdjusted!AG12/YHHistoricalPricesAdjusted!AG11-1,  "")</f>
        <v>5.4922724771623299E-2</v>
      </c>
      <c r="AH12" s="37">
        <f>IFERROR(YHHistoricalPricesAdjusted!AH12/YHHistoricalPricesAdjusted!AH11-1,  "")</f>
        <v>3.5691333273994541E-2</v>
      </c>
      <c r="AI12" s="37">
        <f>IFERROR(YHHistoricalPricesAdjusted!AI12/YHHistoricalPricesAdjusted!AI11-1,  "")</f>
        <v>4.3034583914104196E-2</v>
      </c>
      <c r="AJ12" s="37">
        <f>IFERROR(YHHistoricalPricesAdjusted!AJ12/YHHistoricalPricesAdjusted!AJ11-1,  "")</f>
        <v>8.004058523997859E-2</v>
      </c>
      <c r="AK12" s="37">
        <f>IFERROR(YHHistoricalPricesAdjusted!AK12/YHHistoricalPricesAdjusted!AK11-1,  "")</f>
        <v>7.9969899123508048E-2</v>
      </c>
      <c r="AL12" s="37">
        <f>IFERROR(YHHistoricalPricesAdjusted!AL12/YHHistoricalPricesAdjusted!AL11-1,  "")</f>
        <v>6.1328786583768391E-2</v>
      </c>
      <c r="AM12" s="37">
        <f>IFERROR(YHHistoricalPricesAdjusted!AM12/YHHistoricalPricesAdjusted!AM11-1,  "")</f>
        <v>0.19608751372173328</v>
      </c>
      <c r="AN12" s="37">
        <f>IFERROR(YHHistoricalPricesAdjusted!AN12/YHHistoricalPricesAdjusted!AN11-1,  "")</f>
        <v>1.6176432702099675E-2</v>
      </c>
      <c r="AO12" s="37">
        <f>IFERROR(YHHistoricalPricesAdjusted!AO12/YHHistoricalPricesAdjusted!AO11-1,  "")</f>
        <v>7.0277324373302585E-2</v>
      </c>
      <c r="AP12" s="37">
        <f>IFERROR(YHHistoricalPricesAdjusted!AP12/YHHistoricalPricesAdjusted!AP11-1,  "")</f>
        <v>3.0867953939830661E-2</v>
      </c>
      <c r="AQ12" s="37">
        <f>IFERROR(YHHistoricalPricesAdjusted!AQ12/YHHistoricalPricesAdjusted!AQ11-1,  "")</f>
        <v>-5.9016379891596582E-3</v>
      </c>
      <c r="AR12" s="37">
        <f>IFERROR(YHHistoricalPricesAdjusted!AR12/YHHistoricalPricesAdjusted!AR11-1,  "")</f>
        <v>2.4578805301834761E-2</v>
      </c>
      <c r="AS12" s="37">
        <f>IFERROR(YHHistoricalPricesAdjusted!AS12/YHHistoricalPricesAdjusted!AS11-1,  "")</f>
        <v>4.8623847559598365E-2</v>
      </c>
      <c r="AT12" s="37">
        <f>IFERROR(YHHistoricalPricesAdjusted!AT12/YHHistoricalPricesAdjusted!AT11-1,  "")</f>
        <v>-4.4082753587828982E-2</v>
      </c>
      <c r="AU12" s="37">
        <f>IFERROR(YHHistoricalPricesAdjusted!AU12/YHHistoricalPricesAdjusted!AU11-1,  "")</f>
        <v>-1.2129731933675281E-2</v>
      </c>
      <c r="AV12" s="37">
        <f>IFERROR(YHHistoricalPricesAdjusted!AV12/YHHistoricalPricesAdjusted!AV11-1,  "")</f>
        <v>8.4243172774586261E-2</v>
      </c>
      <c r="AW12" s="37">
        <f>IFERROR(YHHistoricalPricesAdjusted!AW12/YHHistoricalPricesAdjusted!AW11-1,  "")</f>
        <v>-1.8878280393371805E-3</v>
      </c>
      <c r="AX12" s="37">
        <f>IFERROR(YHHistoricalPricesAdjusted!AX12/YHHistoricalPricesAdjusted!AX11-1,  "")</f>
        <v>-2.4675936149848088E-2</v>
      </c>
      <c r="AY12" s="37">
        <f>IFERROR(YHHistoricalPricesAdjusted!AY12/YHHistoricalPricesAdjusted!AY11-1,  "")</f>
        <v>5.3323043735562514E-3</v>
      </c>
      <c r="AZ12" s="37">
        <f>IFERROR(YHHistoricalPricesAdjusted!AZ12/YHHistoricalPricesAdjusted!AZ11-1,  "")</f>
        <v>-2.9624645154590401E-2</v>
      </c>
      <c r="BA12" s="37">
        <f>IFERROR(YHHistoricalPricesAdjusted!BA12/YHHistoricalPricesAdjusted!BA11-1,  "")</f>
        <v>-3.4712106588317138E-2</v>
      </c>
      <c r="BB12" s="37">
        <f>IFERROR(YHHistoricalPricesAdjusted!BB12/YHHistoricalPricesAdjusted!BB11-1,  "")</f>
        <v>0.11838479621584308</v>
      </c>
      <c r="BC12" s="37">
        <f>IFERROR(YHHistoricalPricesAdjusted!BC12/YHHistoricalPricesAdjusted!BC11-1,  "")</f>
        <v>0.13242633664398151</v>
      </c>
      <c r="BD12" s="37">
        <f>IFERROR(YHHistoricalPricesAdjusted!BD12/YHHistoricalPricesAdjusted!BD11-1,  "")</f>
        <v>3.4524724508022242E-2</v>
      </c>
      <c r="BE12" s="37">
        <f>IFERROR(YHHistoricalPricesAdjusted!BE12/YHHistoricalPricesAdjusted!BE11-1,  "")</f>
        <v>8.5088676143829867E-2</v>
      </c>
      <c r="BF12" s="37">
        <f>IFERROR(YHHistoricalPricesAdjusted!BF12/YHHistoricalPricesAdjusted!BF11-1,  "")</f>
        <v>5.0230240443715601E-2</v>
      </c>
      <c r="BG12" s="37">
        <f>IFERROR(YHHistoricalPricesAdjusted!BG12/YHHistoricalPricesAdjusted!BG11-1,  "")</f>
        <v>4.9785857536813527E-2</v>
      </c>
      <c r="BH12" s="37">
        <f>IFERROR(YHHistoricalPricesAdjusted!BH12/YHHistoricalPricesAdjusted!BH11-1,  "")</f>
        <v>3.1154691962615111E-2</v>
      </c>
      <c r="BI12" s="37">
        <f>IFERROR(YHHistoricalPricesAdjusted!BI12/YHHistoricalPricesAdjusted!BI11-1,  "")</f>
        <v>7.0493217323690738E-2</v>
      </c>
      <c r="BJ12" s="37">
        <f>IFERROR(YHHistoricalPricesAdjusted!BJ12/YHHistoricalPricesAdjusted!BJ11-1,  "")</f>
        <v>2.8019747620618984E-2</v>
      </c>
      <c r="BK12" s="37">
        <f>IFERROR(YHHistoricalPricesAdjusted!BK12/YHHistoricalPricesAdjusted!BK11-1,  "")</f>
        <v>5.2086635505720791E-2</v>
      </c>
      <c r="BL12" s="37">
        <f>IFERROR(YHHistoricalPricesAdjusted!BL12/YHHistoricalPricesAdjusted!BL11-1,  "")</f>
        <v>6.0865848173676795E-2</v>
      </c>
      <c r="BM12" s="37">
        <f>IFERROR(YHHistoricalPricesAdjusted!BM12/YHHistoricalPricesAdjusted!BM11-1,  "")</f>
        <v>2.0523110707345804E-2</v>
      </c>
      <c r="BN12" s="37">
        <f>IFERROR(YHHistoricalPricesAdjusted!BN12/YHHistoricalPricesAdjusted!BN11-1,  "")</f>
        <v>3.7592078473792201E-2</v>
      </c>
      <c r="BO12" s="37">
        <f>IFERROR(YHHistoricalPricesAdjusted!BO12/YHHistoricalPricesAdjusted!BO11-1,  "")</f>
        <v>1.0026427946763228E-2</v>
      </c>
      <c r="BP12" s="37">
        <f>IFERROR(YHHistoricalPricesAdjusted!BP12/YHHistoricalPricesAdjusted!BP11-1,  "")</f>
        <v>2.411046118511817E-2</v>
      </c>
      <c r="BQ12" s="37">
        <f>IFERROR(YHHistoricalPricesAdjusted!BQ12/YHHistoricalPricesAdjusted!BQ11-1,  "")</f>
        <v>4.2040580613791123E-2</v>
      </c>
      <c r="BR12" s="37">
        <f>IFERROR(YHHistoricalPricesAdjusted!BR12/YHHistoricalPricesAdjusted!BR11-1,  "")</f>
        <v>3.5284973583434187E-2</v>
      </c>
      <c r="BS12" s="37">
        <f>IFERROR(YHHistoricalPricesAdjusted!BS12/YHHistoricalPricesAdjusted!BS11-1,  "")</f>
        <v>4.1596019006751028E-4</v>
      </c>
      <c r="BT12" s="37">
        <f>IFERROR(YHHistoricalPricesAdjusted!BT12/YHHistoricalPricesAdjusted!BT11-1,  "")</f>
        <v>7.3069735601951402E-2</v>
      </c>
      <c r="BU12" s="37">
        <f>IFERROR(YHHistoricalPricesAdjusted!BU12/YHHistoricalPricesAdjusted!BU11-1,  "")</f>
        <v>-2.9914290399297161E-2</v>
      </c>
      <c r="BV12" s="37">
        <f>IFERROR(YHHistoricalPricesAdjusted!BV12/YHHistoricalPricesAdjusted!BV11-1,  "")</f>
        <v>7.6814681771617765E-2</v>
      </c>
      <c r="BW12" s="37">
        <f>IFERROR(YHHistoricalPricesAdjusted!BW12/YHHistoricalPricesAdjusted!BW11-1,  "")</f>
        <v>-2.5745743206097793E-2</v>
      </c>
      <c r="BX12" s="37">
        <f>IFERROR(YHHistoricalPricesAdjusted!BX12/YHHistoricalPricesAdjusted!BX11-1,  "")</f>
        <v>-6.4857003968763483E-3</v>
      </c>
      <c r="BY12" s="37">
        <f>IFERROR(YHHistoricalPricesAdjusted!BY12/YHHistoricalPricesAdjusted!BY11-1,  "")</f>
        <v>-2.3800617994740869E-2</v>
      </c>
      <c r="BZ12" s="37">
        <f>IFERROR(YHHistoricalPricesAdjusted!BZ12/YHHistoricalPricesAdjusted!BZ11-1,  "")</f>
        <v>4.2480408066912778E-2</v>
      </c>
      <c r="CA12" s="37">
        <f>IFERROR(YHHistoricalPricesAdjusted!CA12/YHHistoricalPricesAdjusted!CA11-1,  "")</f>
        <v>8.2736260688698771E-2</v>
      </c>
      <c r="CB12" s="37">
        <f>IFERROR(YHHistoricalPricesAdjusted!CB12/YHHistoricalPricesAdjusted!CB11-1,  "")</f>
        <v>-2.0354477542177452E-2</v>
      </c>
      <c r="CC12" s="37">
        <f>IFERROR(YHHistoricalPricesAdjusted!CC12/YHHistoricalPricesAdjusted!CC11-1,  "")</f>
        <v>2.6991656283354759E-2</v>
      </c>
      <c r="CD12" s="37">
        <f>IFERROR(YHHistoricalPricesAdjusted!CD12/YHHistoricalPricesAdjusted!CD11-1,  "")</f>
        <v>-6.3732345423866632E-2</v>
      </c>
      <c r="CE12" s="37">
        <f>IFERROR(YHHistoricalPricesAdjusted!CE12/YHHistoricalPricesAdjusted!CE11-1,  "")</f>
        <v>0.12228138561868018</v>
      </c>
      <c r="CF12" s="37">
        <f>IFERROR(YHHistoricalPricesAdjusted!CF12/YHHistoricalPricesAdjusted!CF11-1,  "")</f>
        <v>0.19343891402714952</v>
      </c>
    </row>
    <row r="13" spans="1:121" x14ac:dyDescent="0.25">
      <c r="A13" s="17">
        <v>41639</v>
      </c>
      <c r="B13" s="37">
        <f>IFERROR(YHHistoricalPricesAdjusted!B13/YHHistoricalPricesAdjusted!B12-1,  "")</f>
        <v>5.1631479162386196E-2</v>
      </c>
      <c r="C13" s="37">
        <f>IFERROR(YHHistoricalPricesAdjusted!C13/YHHistoricalPricesAdjusted!C12-1,  "")</f>
        <v>5.1387964331649716E-2</v>
      </c>
      <c r="D13" s="37">
        <f>IFERROR(YHHistoricalPricesAdjusted!D13/YHHistoricalPricesAdjusted!D12-1,  "")</f>
        <v>4.951761552685241E-2</v>
      </c>
      <c r="E13" s="37">
        <f>IFERROR(YHHistoricalPricesAdjusted!E13/YHHistoricalPricesAdjusted!E12-1,  "")</f>
        <v>8.3073521872653489E-2</v>
      </c>
      <c r="F13" s="37">
        <f>IFERROR(YHHistoricalPricesAdjusted!F13/YHHistoricalPricesAdjusted!F12-1,  "")</f>
        <v>4.7962376016978947E-3</v>
      </c>
      <c r="G13" s="37">
        <f>IFERROR(YHHistoricalPricesAdjusted!G13/YHHistoricalPricesAdjusted!G12-1,  "")</f>
        <v>-2.8638635454404038E-2</v>
      </c>
      <c r="H13" s="37">
        <f>IFERROR(YHHistoricalPricesAdjusted!H13/YHHistoricalPricesAdjusted!H12-1,  "")</f>
        <v>3.5068214599640379E-2</v>
      </c>
      <c r="I13" s="37">
        <f>IFERROR(YHHistoricalPricesAdjusted!I13/YHHistoricalPricesAdjusted!I12-1,  "")</f>
        <v>6.3419438268263351E-2</v>
      </c>
      <c r="J13" s="37">
        <f>IFERROR(YHHistoricalPricesAdjusted!J13/YHHistoricalPricesAdjusted!J12-1,  "")</f>
        <v>4.1199338580210965E-2</v>
      </c>
      <c r="K13" s="37">
        <f>IFERROR(YHHistoricalPricesAdjusted!K13/YHHistoricalPricesAdjusted!K12-1,  "")</f>
        <v>-2.5030104316235202E-2</v>
      </c>
      <c r="L13" s="37">
        <f>IFERROR(YHHistoricalPricesAdjusted!L13/YHHistoricalPricesAdjusted!L12-1,  "")</f>
        <v>3.5068214599640379E-2</v>
      </c>
      <c r="M13" s="37">
        <f>IFERROR(YHHistoricalPricesAdjusted!M13/YHHistoricalPricesAdjusted!M12-1,  "")</f>
        <v>-1.7996687277015866E-2</v>
      </c>
      <c r="N13" s="37">
        <f>IFERROR(YHHistoricalPricesAdjusted!N13/YHHistoricalPricesAdjusted!N12-1,  "")</f>
        <v>-2.3843294993935116E-2</v>
      </c>
      <c r="O13" s="37">
        <f>IFERROR(YHHistoricalPricesAdjusted!O13/YHHistoricalPricesAdjusted!O12-1,  "")</f>
        <v>0.18188241814803896</v>
      </c>
      <c r="P13" s="37">
        <f>IFERROR(YHHistoricalPricesAdjusted!P13/YHHistoricalPricesAdjusted!P12-1,  "")</f>
        <v>8.995052369123524E-2</v>
      </c>
      <c r="Q13" s="37">
        <f>IFERROR(YHHistoricalPricesAdjusted!Q13/YHHistoricalPricesAdjusted!Q12-1,  "")</f>
        <v>2.8739663643942981E-2</v>
      </c>
      <c r="R13" s="37">
        <f>IFERROR(YHHistoricalPricesAdjusted!R13/YHHistoricalPricesAdjusted!R12-1,  "")</f>
        <v>5.2922594673636691E-3</v>
      </c>
      <c r="S13" s="37">
        <f>IFERROR(YHHistoricalPricesAdjusted!S13/YHHistoricalPricesAdjusted!S12-1,  "")</f>
        <v>8.4295653571238027E-2</v>
      </c>
      <c r="T13" s="37">
        <f>IFERROR(YHHistoricalPricesAdjusted!T13/YHHistoricalPricesAdjusted!T12-1,  "")</f>
        <v>-2.6825254191509385E-2</v>
      </c>
      <c r="U13" s="37">
        <f>IFERROR(YHHistoricalPricesAdjusted!U13/YHHistoricalPricesAdjusted!U12-1,  "")</f>
        <v>-7.7427034156216989E-2</v>
      </c>
      <c r="V13" s="37">
        <f>IFERROR(YHHistoricalPricesAdjusted!V13/YHHistoricalPricesAdjusted!V12-1,  "")</f>
        <v>2.8412657606809999E-2</v>
      </c>
      <c r="W13" s="37">
        <f>IFERROR(YHHistoricalPricesAdjusted!W13/YHHistoricalPricesAdjusted!W12-1,  "")</f>
        <v>-1.3152488592615308E-2</v>
      </c>
      <c r="X13" s="37">
        <f>IFERROR(YHHistoricalPricesAdjusted!X13/YHHistoricalPricesAdjusted!X12-1,  "")</f>
        <v>7.0066635186525783E-2</v>
      </c>
      <c r="Y13" s="37">
        <f>IFERROR(YHHistoricalPricesAdjusted!Y13/YHHistoricalPricesAdjusted!Y12-1,  "")</f>
        <v>-2.5677016746346704E-2</v>
      </c>
      <c r="Z13" s="37">
        <f>IFERROR(YHHistoricalPricesAdjusted!Z13/YHHistoricalPricesAdjusted!Z12-1,  "")</f>
        <v>-2.719395514814027E-2</v>
      </c>
      <c r="AA13" s="37">
        <f>IFERROR(YHHistoricalPricesAdjusted!AA13/YHHistoricalPricesAdjusted!AA12-1,  "")</f>
        <v>4.4150891054743902E-3</v>
      </c>
      <c r="AB13" s="37">
        <f>IFERROR(YHHistoricalPricesAdjusted!AB13/YHHistoricalPricesAdjusted!AB12-1,  "")</f>
        <v>1.1009692689617268E-2</v>
      </c>
      <c r="AC13" s="37">
        <f>IFERROR(YHHistoricalPricesAdjusted!AC13/YHHistoricalPricesAdjusted!AC12-1,  "")</f>
        <v>2.778971693162724E-2</v>
      </c>
      <c r="AD13" s="37">
        <f>IFERROR(YHHistoricalPricesAdjusted!AD13/YHHistoricalPricesAdjusted!AD12-1,  "")</f>
        <v>-1.3593050450213529E-2</v>
      </c>
      <c r="AE13" s="37">
        <f>IFERROR(YHHistoricalPricesAdjusted!AE13/YHHistoricalPricesAdjusted!AE12-1,  "")</f>
        <v>0.22500275647281454</v>
      </c>
      <c r="AF13" s="37">
        <f>IFERROR(YHHistoricalPricesAdjusted!AF13/YHHistoricalPricesAdjusted!AF12-1,  "")</f>
        <v>4.1052652631578868E-2</v>
      </c>
      <c r="AG13" s="37">
        <f>IFERROR(YHHistoricalPricesAdjusted!AG13/YHHistoricalPricesAdjusted!AG12-1,  "")</f>
        <v>3.054410441347577E-2</v>
      </c>
      <c r="AH13" s="37">
        <f>IFERROR(YHHistoricalPricesAdjusted!AH13/YHHistoricalPricesAdjusted!AH12-1,  "")</f>
        <v>2.0701720588738093E-2</v>
      </c>
      <c r="AI13" s="37">
        <f>IFERROR(YHHistoricalPricesAdjusted!AI13/YHHistoricalPricesAdjusted!AI12-1,  "")</f>
        <v>5.3365012875691287E-2</v>
      </c>
      <c r="AJ13" s="37">
        <f>IFERROR(YHHistoricalPricesAdjusted!AJ13/YHHistoricalPricesAdjusted!AJ12-1,  "")</f>
        <v>9.6429217189486272E-2</v>
      </c>
      <c r="AK13" s="37">
        <f>IFERROR(YHHistoricalPricesAdjusted!AK13/YHHistoricalPricesAdjusted!AK12-1,  "")</f>
        <v>3.1877025442280438E-2</v>
      </c>
      <c r="AL13" s="37">
        <f>IFERROR(YHHistoricalPricesAdjusted!AL13/YHHistoricalPricesAdjusted!AL12-1,  "")</f>
        <v>7.3194273927734255E-2</v>
      </c>
      <c r="AM13" s="37">
        <f>IFERROR(YHHistoricalPricesAdjusted!AM13/YHHistoricalPricesAdjusted!AM12-1,  "")</f>
        <v>0.15861532950435442</v>
      </c>
      <c r="AN13" s="37">
        <f>IFERROR(YHHistoricalPricesAdjusted!AN13/YHHistoricalPricesAdjusted!AN12-1,  "")</f>
        <v>2.2534670576165095E-2</v>
      </c>
      <c r="AO13" s="37">
        <f>IFERROR(YHHistoricalPricesAdjusted!AO13/YHHistoricalPricesAdjusted!AO12-1,  "")</f>
        <v>4.6939415273453244E-2</v>
      </c>
      <c r="AP13" s="37">
        <f>IFERROR(YHHistoricalPricesAdjusted!AP13/YHHistoricalPricesAdjusted!AP12-1,  "")</f>
        <v>7.5220328902945166E-3</v>
      </c>
      <c r="AQ13" s="37">
        <f>IFERROR(YHHistoricalPricesAdjusted!AQ13/YHHistoricalPricesAdjusted!AQ12-1,  "")</f>
        <v>1.7027534561548929E-2</v>
      </c>
      <c r="AR13" s="37">
        <f>IFERROR(YHHistoricalPricesAdjusted!AR13/YHHistoricalPricesAdjusted!AR12-1,  "")</f>
        <v>-8.3658324552451369E-3</v>
      </c>
      <c r="AS13" s="37">
        <f>IFERROR(YHHistoricalPricesAdjusted!AS13/YHHistoricalPricesAdjusted!AS12-1,  "")</f>
        <v>1.6401280776235705E-2</v>
      </c>
      <c r="AT13" s="37">
        <f>IFERROR(YHHistoricalPricesAdjusted!AT13/YHHistoricalPricesAdjusted!AT12-1,  "")</f>
        <v>-1.3970630485735103E-2</v>
      </c>
      <c r="AU13" s="37">
        <f>IFERROR(YHHistoricalPricesAdjusted!AU13/YHHistoricalPricesAdjusted!AU12-1,  "")</f>
        <v>4.4659606844443811E-3</v>
      </c>
      <c r="AV13" s="37">
        <f>IFERROR(YHHistoricalPricesAdjusted!AV13/YHHistoricalPricesAdjusted!AV12-1,  "")</f>
        <v>2.9256459220787789E-2</v>
      </c>
      <c r="AW13" s="37">
        <f>IFERROR(YHHistoricalPricesAdjusted!AW13/YHHistoricalPricesAdjusted!AW12-1,  "")</f>
        <v>1.9995478916054577E-2</v>
      </c>
      <c r="AX13" s="37">
        <f>IFERROR(YHHistoricalPricesAdjusted!AX13/YHHistoricalPricesAdjusted!AX12-1,  "")</f>
        <v>-2.7335110941413276E-3</v>
      </c>
      <c r="AY13" s="37">
        <f>IFERROR(YHHistoricalPricesAdjusted!AY13/YHHistoricalPricesAdjusted!AY12-1,  "")</f>
        <v>1.1814088220026164E-2</v>
      </c>
      <c r="AZ13" s="37">
        <f>IFERROR(YHHistoricalPricesAdjusted!AZ13/YHHistoricalPricesAdjusted!AZ12-1,  "")</f>
        <v>1.4925421827388208E-2</v>
      </c>
      <c r="BA13" s="37">
        <f>IFERROR(YHHistoricalPricesAdjusted!BA13/YHHistoricalPricesAdjusted!BA12-1,  "")</f>
        <v>-5.244055382451096E-3</v>
      </c>
      <c r="BB13" s="37">
        <f>IFERROR(YHHistoricalPricesAdjusted!BB13/YHHistoricalPricesAdjusted!BB12-1,  "")</f>
        <v>2.2020247251489655E-2</v>
      </c>
      <c r="BC13" s="37">
        <f>IFERROR(YHHistoricalPricesAdjusted!BC13/YHHistoricalPricesAdjusted!BC12-1,  "")</f>
        <v>-1.5802620578094118E-2</v>
      </c>
      <c r="BD13" s="37">
        <f>IFERROR(YHHistoricalPricesAdjusted!BD13/YHHistoricalPricesAdjusted!BD12-1,  "")</f>
        <v>0.10336962450341836</v>
      </c>
      <c r="BE13" s="37">
        <f>IFERROR(YHHistoricalPricesAdjusted!BE13/YHHistoricalPricesAdjusted!BE12-1,  "")</f>
        <v>-1.5306139063504864E-2</v>
      </c>
      <c r="BF13" s="37">
        <f>IFERROR(YHHistoricalPricesAdjusted!BF13/YHHistoricalPricesAdjusted!BF12-1,  "")</f>
        <v>5.2693594534920729E-2</v>
      </c>
      <c r="BG13" s="37">
        <f>IFERROR(YHHistoricalPricesAdjusted!BG13/YHHistoricalPricesAdjusted!BG12-1,  "")</f>
        <v>3.0086589335523994E-2</v>
      </c>
      <c r="BH13" s="37">
        <f>IFERROR(YHHistoricalPricesAdjusted!BH13/YHHistoricalPricesAdjusted!BH12-1,  "")</f>
        <v>3.8658615232795013E-2</v>
      </c>
      <c r="BI13" s="37">
        <f>IFERROR(YHHistoricalPricesAdjusted!BI13/YHHistoricalPricesAdjusted!BI12-1,  "")</f>
        <v>9.8118753687221671E-2</v>
      </c>
      <c r="BJ13" s="37">
        <f>IFERROR(YHHistoricalPricesAdjusted!BJ13/YHHistoricalPricesAdjusted!BJ12-1,  "")</f>
        <v>1.4541261032360753E-2</v>
      </c>
      <c r="BK13" s="37">
        <f>IFERROR(YHHistoricalPricesAdjusted!BK13/YHHistoricalPricesAdjusted!BK12-1,  "")</f>
        <v>5.7459211230327822E-2</v>
      </c>
      <c r="BL13" s="37">
        <f>IFERROR(YHHistoricalPricesAdjusted!BL13/YHHistoricalPricesAdjusted!BL12-1,  "")</f>
        <v>5.5638007586159333E-2</v>
      </c>
      <c r="BM13" s="37">
        <f>IFERROR(YHHistoricalPricesAdjusted!BM13/YHHistoricalPricesAdjusted!BM12-1,  "")</f>
        <v>3.7606319659730936E-2</v>
      </c>
      <c r="BN13" s="37">
        <f>IFERROR(YHHistoricalPricesAdjusted!BN13/YHHistoricalPricesAdjusted!BN12-1,  "")</f>
        <v>3.2085631105116086E-2</v>
      </c>
      <c r="BO13" s="37">
        <f>IFERROR(YHHistoricalPricesAdjusted!BO13/YHHistoricalPricesAdjusted!BO12-1,  "")</f>
        <v>5.6546971462921425E-2</v>
      </c>
      <c r="BP13" s="37">
        <f>IFERROR(YHHistoricalPricesAdjusted!BP13/YHHistoricalPricesAdjusted!BP12-1,  "")</f>
        <v>6.9236491096789532E-2</v>
      </c>
      <c r="BQ13" s="37">
        <f>IFERROR(YHHistoricalPricesAdjusted!BQ13/YHHistoricalPricesAdjusted!BQ12-1,  "")</f>
        <v>7.0094118301251118E-2</v>
      </c>
      <c r="BR13" s="37">
        <f>IFERROR(YHHistoricalPricesAdjusted!BR13/YHHistoricalPricesAdjusted!BR12-1,  "")</f>
        <v>3.5328764444428007E-2</v>
      </c>
      <c r="BS13" s="37">
        <f>IFERROR(YHHistoricalPricesAdjusted!BS13/YHHistoricalPricesAdjusted!BS12-1,  "")</f>
        <v>3.0227420652691572E-2</v>
      </c>
      <c r="BT13" s="37">
        <f>IFERROR(YHHistoricalPricesAdjusted!BT13/YHHistoricalPricesAdjusted!BT12-1,  "")</f>
        <v>4.3209915123456621E-2</v>
      </c>
      <c r="BU13" s="37">
        <f>IFERROR(YHHistoricalPricesAdjusted!BU13/YHHistoricalPricesAdjusted!BU12-1,  "")</f>
        <v>8.5491779444580196E-2</v>
      </c>
      <c r="BV13" s="37">
        <f>IFERROR(YHHistoricalPricesAdjusted!BV13/YHHistoricalPricesAdjusted!BV12-1,  "")</f>
        <v>-1.1442392714600458E-2</v>
      </c>
      <c r="BW13" s="37">
        <f>IFERROR(YHHistoricalPricesAdjusted!BW13/YHHistoricalPricesAdjusted!BW12-1,  "")</f>
        <v>9.9119875735840912E-2</v>
      </c>
      <c r="BX13" s="37">
        <f>IFERROR(YHHistoricalPricesAdjusted!BX13/YHHistoricalPricesAdjusted!BX12-1,  "")</f>
        <v>-9.6733995463659239E-3</v>
      </c>
      <c r="BY13" s="37">
        <f>IFERROR(YHHistoricalPricesAdjusted!BY13/YHHistoricalPricesAdjusted!BY12-1,  "")</f>
        <v>5.951236321750808E-2</v>
      </c>
      <c r="BZ13" s="37">
        <f>IFERROR(YHHistoricalPricesAdjusted!BZ13/YHHistoricalPricesAdjusted!BZ12-1,  "")</f>
        <v>2.8155548760358418E-2</v>
      </c>
      <c r="CA13" s="37">
        <f>IFERROR(YHHistoricalPricesAdjusted!CA13/YHHistoricalPricesAdjusted!CA12-1,  "")</f>
        <v>0.19615802331517695</v>
      </c>
      <c r="CB13" s="37">
        <f>IFERROR(YHHistoricalPricesAdjusted!CB13/YHHistoricalPricesAdjusted!CB12-1,  "")</f>
        <v>1.7859216011654189E-2</v>
      </c>
      <c r="CC13" s="37">
        <f>IFERROR(YHHistoricalPricesAdjusted!CC13/YHHistoricalPricesAdjusted!CC12-1,  "")</f>
        <v>3.2484511603886768E-2</v>
      </c>
      <c r="CD13" s="37">
        <f>IFERROR(YHHistoricalPricesAdjusted!CD13/YHHistoricalPricesAdjusted!CD12-1,  "")</f>
        <v>0.16251870506354837</v>
      </c>
      <c r="CE13" s="37">
        <f>IFERROR(YHHistoricalPricesAdjusted!CE13/YHHistoricalPricesAdjusted!CE12-1,  "")</f>
        <v>2.3035072868552442E-2</v>
      </c>
      <c r="CF13" s="37">
        <f>IFERROR(YHHistoricalPricesAdjusted!CF13/YHHistoricalPricesAdjusted!CF12-1,  "")</f>
        <v>3.0805687203791399E-2</v>
      </c>
    </row>
    <row r="14" spans="1:121" x14ac:dyDescent="0.25">
      <c r="A14" s="17">
        <v>41670</v>
      </c>
      <c r="B14" s="37">
        <f>IFERROR(YHHistoricalPricesAdjusted!B14/YHHistoricalPricesAdjusted!B13-1,  "")</f>
        <v>-0.10769669167923202</v>
      </c>
      <c r="C14" s="37">
        <f>IFERROR(YHHistoricalPricesAdjusted!C14/YHHistoricalPricesAdjusted!C13-1,  "")</f>
        <v>-9.6206581035835126E-2</v>
      </c>
      <c r="D14" s="37">
        <f>IFERROR(YHHistoricalPricesAdjusted!D14/YHHistoricalPricesAdjusted!D13-1,  "")</f>
        <v>-5.8058670661739753E-2</v>
      </c>
      <c r="E14" s="37">
        <f>IFERROR(YHHistoricalPricesAdjusted!E14/YHHistoricalPricesAdjusted!E13-1,  "")</f>
        <v>-3.7874159792266271E-2</v>
      </c>
      <c r="F14" s="37">
        <f>IFERROR(YHHistoricalPricesAdjusted!F14/YHHistoricalPricesAdjusted!F13-1,  "")</f>
        <v>-2.947541423925093E-2</v>
      </c>
      <c r="G14" s="37">
        <f>IFERROR(YHHistoricalPricesAdjusted!G14/YHHistoricalPricesAdjusted!G13-1,  "")</f>
        <v>-4.543499198501455E-2</v>
      </c>
      <c r="H14" s="37">
        <f>IFERROR(YHHistoricalPricesAdjusted!H14/YHHistoricalPricesAdjusted!H13-1,  "")</f>
        <v>-8.4483280164986296E-2</v>
      </c>
      <c r="I14" s="37">
        <f>IFERROR(YHHistoricalPricesAdjusted!I14/YHHistoricalPricesAdjusted!I13-1,  "")</f>
        <v>-4.5130968910582991E-2</v>
      </c>
      <c r="J14" s="37">
        <f>IFERROR(YHHistoricalPricesAdjusted!J14/YHHistoricalPricesAdjusted!J13-1,  "")</f>
        <v>-6.8111589405672524E-2</v>
      </c>
      <c r="K14" s="37">
        <f>IFERROR(YHHistoricalPricesAdjusted!K14/YHHistoricalPricesAdjusted!K13-1,  "")</f>
        <v>-5.8727001219984309E-2</v>
      </c>
      <c r="L14" s="37">
        <f>IFERROR(YHHistoricalPricesAdjusted!L14/YHHistoricalPricesAdjusted!L13-1,  "")</f>
        <v>-8.4483280164986296E-2</v>
      </c>
      <c r="M14" s="37">
        <f>IFERROR(YHHistoricalPricesAdjusted!M14/YHHistoricalPricesAdjusted!M13-1,  "")</f>
        <v>-2.4500644077919964E-2</v>
      </c>
      <c r="N14" s="37">
        <f>IFERROR(YHHistoricalPricesAdjusted!N14/YHHistoricalPricesAdjusted!N13-1,  "")</f>
        <v>-8.851298319079659E-2</v>
      </c>
      <c r="O14" s="37">
        <f>IFERROR(YHHistoricalPricesAdjusted!O14/YHHistoricalPricesAdjusted!O13-1,  "")</f>
        <v>0.2059430462115357</v>
      </c>
      <c r="P14" s="37">
        <f>IFERROR(YHHistoricalPricesAdjusted!P14/YHHistoricalPricesAdjusted!P13-1,  "")</f>
        <v>-8.9327868246519726E-2</v>
      </c>
      <c r="Q14" s="37">
        <f>IFERROR(YHHistoricalPricesAdjusted!Q14/YHHistoricalPricesAdjusted!Q13-1,  "")</f>
        <v>-0.10631658146030776</v>
      </c>
      <c r="R14" s="37">
        <f>IFERROR(YHHistoricalPricesAdjusted!R14/YHHistoricalPricesAdjusted!R13-1,  "")</f>
        <v>-1.3078230675607205E-3</v>
      </c>
      <c r="S14" s="37">
        <f>IFERROR(YHHistoricalPricesAdjusted!S14/YHHistoricalPricesAdjusted!S13-1,  "")</f>
        <v>-4.1318554088154436E-4</v>
      </c>
      <c r="T14" s="37">
        <f>IFERROR(YHHistoricalPricesAdjusted!T14/YHHistoricalPricesAdjusted!T13-1,  "")</f>
        <v>1.2747767211483296E-2</v>
      </c>
      <c r="U14" s="37">
        <f>IFERROR(YHHistoricalPricesAdjusted!U14/YHHistoricalPricesAdjusted!U13-1,  "")</f>
        <v>1.5971499251205001E-2</v>
      </c>
      <c r="V14" s="37">
        <f>IFERROR(YHHistoricalPricesAdjusted!V14/YHHistoricalPricesAdjusted!V13-1,  "")</f>
        <v>-8.5800310476726538E-2</v>
      </c>
      <c r="W14" s="37">
        <f>IFERROR(YHHistoricalPricesAdjusted!W14/YHHistoricalPricesAdjusted!W13-1,  "")</f>
        <v>-5.0212721037539487E-2</v>
      </c>
      <c r="X14" s="37">
        <f>IFERROR(YHHistoricalPricesAdjusted!X14/YHHistoricalPricesAdjusted!X13-1,  "")</f>
        <v>-4.5483943646369873E-2</v>
      </c>
      <c r="Y14" s="37">
        <f>IFERROR(YHHistoricalPricesAdjusted!Y14/YHHistoricalPricesAdjusted!Y13-1,  "")</f>
        <v>-3.4064878060047876E-2</v>
      </c>
      <c r="Z14" s="37">
        <f>IFERROR(YHHistoricalPricesAdjusted!Z14/YHHistoricalPricesAdjusted!Z13-1,  "")</f>
        <v>-7.5091642707484363E-3</v>
      </c>
      <c r="AA14" s="37">
        <f>IFERROR(YHHistoricalPricesAdjusted!AA14/YHHistoricalPricesAdjusted!AA13-1,  "")</f>
        <v>6.7941052304032246E-2</v>
      </c>
      <c r="AB14" s="37">
        <f>IFERROR(YHHistoricalPricesAdjusted!AB14/YHHistoricalPricesAdjusted!AB13-1,  "")</f>
        <v>-3.6447201055028633E-2</v>
      </c>
      <c r="AC14" s="37">
        <f>IFERROR(YHHistoricalPricesAdjusted!AC14/YHHistoricalPricesAdjusted!AC13-1,  "")</f>
        <v>5.365760828483368E-2</v>
      </c>
      <c r="AD14" s="37">
        <f>IFERROR(YHHistoricalPricesAdjusted!AD14/YHHistoricalPricesAdjusted!AD13-1,  "")</f>
        <v>9.3527436748268578E-3</v>
      </c>
      <c r="AE14" s="37">
        <f>IFERROR(YHHistoricalPricesAdjusted!AE14/YHHistoricalPricesAdjusted!AE13-1,  "")</f>
        <v>-9.250087385035588E-2</v>
      </c>
      <c r="AF14" s="37">
        <f>IFERROR(YHHistoricalPricesAdjusted!AF14/YHHistoricalPricesAdjusted!AF13-1,  "")</f>
        <v>3.0940312822238303E-2</v>
      </c>
      <c r="AG14" s="37">
        <f>IFERROR(YHHistoricalPricesAdjusted!AG14/YHHistoricalPricesAdjusted!AG13-1,  "")</f>
        <v>0.12488102512329258</v>
      </c>
      <c r="AH14" s="37">
        <f>IFERROR(YHHistoricalPricesAdjusted!AH14/YHHistoricalPricesAdjusted!AH13-1,  "")</f>
        <v>-6.2089210994827559E-2</v>
      </c>
      <c r="AI14" s="37">
        <f>IFERROR(YHHistoricalPricesAdjusted!AI14/YHHistoricalPricesAdjusted!AI13-1,  "")</f>
        <v>-1.0130737138127621E-3</v>
      </c>
      <c r="AJ14" s="37">
        <f>IFERROR(YHHistoricalPricesAdjusted!AJ14/YHHistoricalPricesAdjusted!AJ13-1,  "")</f>
        <v>-6.7183396210954482E-2</v>
      </c>
      <c r="AK14" s="37">
        <f>IFERROR(YHHistoricalPricesAdjusted!AK14/YHHistoricalPricesAdjusted!AK13-1,  "")</f>
        <v>-3.7318387053795532E-2</v>
      </c>
      <c r="AL14" s="37">
        <f>IFERROR(YHHistoricalPricesAdjusted!AL14/YHHistoricalPricesAdjusted!AL13-1,  "")</f>
        <v>-2.9614089848118863E-2</v>
      </c>
      <c r="AM14" s="37">
        <f>IFERROR(YHHistoricalPricesAdjusted!AM14/YHHistoricalPricesAdjusted!AM13-1,  "")</f>
        <v>-0.10866707353272431</v>
      </c>
      <c r="AN14" s="37">
        <f>IFERROR(YHHistoricalPricesAdjusted!AN14/YHHistoricalPricesAdjusted!AN13-1,  "")</f>
        <v>-3.3764659350001169E-2</v>
      </c>
      <c r="AO14" s="37">
        <f>IFERROR(YHHistoricalPricesAdjusted!AO14/YHHistoricalPricesAdjusted!AO13-1,  "")</f>
        <v>3.7142726332218601E-2</v>
      </c>
      <c r="AP14" s="37">
        <f>IFERROR(YHHistoricalPricesAdjusted!AP14/YHHistoricalPricesAdjusted!AP13-1,  "")</f>
        <v>1.6698969651112616E-2</v>
      </c>
      <c r="AQ14" s="37">
        <f>IFERROR(YHHistoricalPricesAdjusted!AQ14/YHHistoricalPricesAdjusted!AQ13-1,  "")</f>
        <v>3.5999834746057946E-2</v>
      </c>
      <c r="AR14" s="37">
        <f>IFERROR(YHHistoricalPricesAdjusted!AR14/YHHistoricalPricesAdjusted!AR13-1,  "")</f>
        <v>-1.1486247180471199E-2</v>
      </c>
      <c r="AS14" s="37">
        <f>IFERROR(YHHistoricalPricesAdjusted!AS14/YHHistoricalPricesAdjusted!AS13-1,  "")</f>
        <v>9.5362099955347279E-3</v>
      </c>
      <c r="AT14" s="37">
        <f>IFERROR(YHHistoricalPricesAdjusted!AT14/YHHistoricalPricesAdjusted!AT13-1,  "")</f>
        <v>1.5260872639202505E-2</v>
      </c>
      <c r="AU14" s="37">
        <f>IFERROR(YHHistoricalPricesAdjusted!AU14/YHHistoricalPricesAdjusted!AU13-1,  "")</f>
        <v>7.3356403486701804E-3</v>
      </c>
      <c r="AV14" s="37">
        <f>IFERROR(YHHistoricalPricesAdjusted!AV14/YHHistoricalPricesAdjusted!AV13-1,  "")</f>
        <v>-5.0971439128818741E-2</v>
      </c>
      <c r="AW14" s="37">
        <f>IFERROR(YHHistoricalPricesAdjusted!AW14/YHHistoricalPricesAdjusted!AW13-1,  "")</f>
        <v>7.3697394117913761E-2</v>
      </c>
      <c r="AX14" s="37">
        <f>IFERROR(YHHistoricalPricesAdjusted!AX14/YHHistoricalPricesAdjusted!AX13-1,  "")</f>
        <v>2.3330025961624479E-2</v>
      </c>
      <c r="AY14" s="37">
        <f>IFERROR(YHHistoricalPricesAdjusted!AY14/YHHistoricalPricesAdjusted!AY13-1,  "")</f>
        <v>3.1620091861459532E-3</v>
      </c>
      <c r="AZ14" s="37">
        <f>IFERROR(YHHistoricalPricesAdjusted!AZ14/YHHistoricalPricesAdjusted!AZ13-1,  "")</f>
        <v>4.019148044641474E-2</v>
      </c>
      <c r="BA14" s="37">
        <f>IFERROR(YHHistoricalPricesAdjusted!BA14/YHHistoricalPricesAdjusted!BA13-1,  "")</f>
        <v>3.7864194713014054E-2</v>
      </c>
      <c r="BB14" s="37">
        <f>IFERROR(YHHistoricalPricesAdjusted!BB14/YHHistoricalPricesAdjusted!BB13-1,  "")</f>
        <v>-5.3351525883765683E-2</v>
      </c>
      <c r="BC14" s="37">
        <f>IFERROR(YHHistoricalPricesAdjusted!BC14/YHHistoricalPricesAdjusted!BC13-1,  "")</f>
        <v>7.6479387559081458E-2</v>
      </c>
      <c r="BD14" s="37">
        <f>IFERROR(YHHistoricalPricesAdjusted!BD14/YHHistoricalPricesAdjusted!BD13-1,  "")</f>
        <v>-3.2557627205600737E-2</v>
      </c>
      <c r="BE14" s="37">
        <f>IFERROR(YHHistoricalPricesAdjusted!BE14/YHHistoricalPricesAdjusted!BE13-1,  "")</f>
        <v>-8.9810171281428652E-2</v>
      </c>
      <c r="BF14" s="37">
        <f>IFERROR(YHHistoricalPricesAdjusted!BF14/YHHistoricalPricesAdjusted!BF13-1,  "")</f>
        <v>-7.4128302809201463E-2</v>
      </c>
      <c r="BG14" s="37">
        <f>IFERROR(YHHistoricalPricesAdjusted!BG14/YHHistoricalPricesAdjusted!BG13-1,  "")</f>
        <v>-1.0970028739654913E-2</v>
      </c>
      <c r="BH14" s="37">
        <f>IFERROR(YHHistoricalPricesAdjusted!BH14/YHHistoricalPricesAdjusted!BH13-1,  "")</f>
        <v>-1.3215283651436538E-3</v>
      </c>
      <c r="BI14" s="37">
        <f>IFERROR(YHHistoricalPricesAdjusted!BI14/YHHistoricalPricesAdjusted!BI13-1,  "")</f>
        <v>-9.4151515733378766E-2</v>
      </c>
      <c r="BJ14" s="37">
        <f>IFERROR(YHHistoricalPricesAdjusted!BJ14/YHHistoricalPricesAdjusted!BJ13-1,  "")</f>
        <v>-4.7409195924334346E-2</v>
      </c>
      <c r="BK14" s="37">
        <f>IFERROR(YHHistoricalPricesAdjusted!BK14/YHHistoricalPricesAdjusted!BK13-1,  "")</f>
        <v>-6.2934127079046775E-2</v>
      </c>
      <c r="BL14" s="37">
        <f>IFERROR(YHHistoricalPricesAdjusted!BL14/YHHistoricalPricesAdjusted!BL13-1,  "")</f>
        <v>-8.5989430319951876E-2</v>
      </c>
      <c r="BM14" s="37">
        <f>IFERROR(YHHistoricalPricesAdjusted!BM14/YHHistoricalPricesAdjusted!BM13-1,  "")</f>
        <v>-1.5322653296802047E-3</v>
      </c>
      <c r="BN14" s="37">
        <f>IFERROR(YHHistoricalPricesAdjusted!BN14/YHHistoricalPricesAdjusted!BN13-1,  "")</f>
        <v>-3.5985097648420172E-2</v>
      </c>
      <c r="BO14" s="37">
        <f>IFERROR(YHHistoricalPricesAdjusted!BO14/YHHistoricalPricesAdjusted!BO13-1,  "")</f>
        <v>-5.723471239307476E-2</v>
      </c>
      <c r="BP14" s="37">
        <f>IFERROR(YHHistoricalPricesAdjusted!BP14/YHHistoricalPricesAdjusted!BP13-1,  "")</f>
        <v>-1.0383544505694342E-2</v>
      </c>
      <c r="BQ14" s="37">
        <f>IFERROR(YHHistoricalPricesAdjusted!BQ14/YHHistoricalPricesAdjusted!BQ13-1,  "")</f>
        <v>-9.9240997861896441E-2</v>
      </c>
      <c r="BR14" s="37">
        <f>IFERROR(YHHistoricalPricesAdjusted!BR14/YHHistoricalPricesAdjusted!BR13-1,  "")</f>
        <v>-2.4915316983733282E-2</v>
      </c>
      <c r="BS14" s="37">
        <f>IFERROR(YHHistoricalPricesAdjusted!BS14/YHHistoricalPricesAdjusted!BS13-1,  "")</f>
        <v>-6.4696083346288513E-2</v>
      </c>
      <c r="BT14" s="37">
        <f>IFERROR(YHHistoricalPricesAdjusted!BT14/YHHistoricalPricesAdjusted!BT13-1,  "")</f>
        <v>1.627213327395971E-2</v>
      </c>
      <c r="BU14" s="37">
        <f>IFERROR(YHHistoricalPricesAdjusted!BU14/YHHistoricalPricesAdjusted!BU13-1,  "")</f>
        <v>2.8616709969267795E-2</v>
      </c>
      <c r="BV14" s="37">
        <f>IFERROR(YHHistoricalPricesAdjusted!BV14/YHHistoricalPricesAdjusted!BV13-1,  "")</f>
        <v>1.1494216943166879E-2</v>
      </c>
      <c r="BW14" s="37">
        <f>IFERROR(YHHistoricalPricesAdjusted!BW14/YHHistoricalPricesAdjusted!BW13-1,  "")</f>
        <v>-5.4699378419835853E-2</v>
      </c>
      <c r="BX14" s="37">
        <f>IFERROR(YHHistoricalPricesAdjusted!BX14/YHHistoricalPricesAdjusted!BX13-1,  "")</f>
        <v>-2.2791981088475688E-2</v>
      </c>
      <c r="BY14" s="37">
        <f>IFERROR(YHHistoricalPricesAdjusted!BY14/YHHistoricalPricesAdjusted!BY13-1,  "")</f>
        <v>9.6756660568158237E-2</v>
      </c>
      <c r="BZ14" s="37">
        <f>IFERROR(YHHistoricalPricesAdjusted!BZ14/YHHistoricalPricesAdjusted!BZ13-1,  "")</f>
        <v>-4.0225235666215164E-2</v>
      </c>
      <c r="CA14" s="37">
        <f>IFERROR(YHHistoricalPricesAdjusted!CA14/YHHistoricalPricesAdjusted!CA13-1,  "")</f>
        <v>8.2084045644468251E-3</v>
      </c>
      <c r="CB14" s="37">
        <f>IFERROR(YHHistoricalPricesAdjusted!CB14/YHHistoricalPricesAdjusted!CB13-1,  "")</f>
        <v>-9.9426585989446647E-2</v>
      </c>
      <c r="CC14" s="37">
        <f>IFERROR(YHHistoricalPricesAdjusted!CC14/YHHistoricalPricesAdjusted!CC13-1,  "")</f>
        <v>-1.9975080931947664E-2</v>
      </c>
      <c r="CD14" s="37">
        <f>IFERROR(YHHistoricalPricesAdjusted!CD14/YHHistoricalPricesAdjusted!CD13-1,  "")</f>
        <v>0.14492219048775157</v>
      </c>
      <c r="CE14" s="37">
        <f>IFERROR(YHHistoricalPricesAdjusted!CE14/YHHistoricalPricesAdjusted!CE13-1,  "")</f>
        <v>4.8557423922278797E-2</v>
      </c>
      <c r="CF14" s="37">
        <f>IFERROR(YHHistoricalPricesAdjusted!CF14/YHHistoricalPricesAdjusted!CF13-1,  "")</f>
        <v>5.9310390804597768E-2</v>
      </c>
    </row>
    <row r="15" spans="1:121" x14ac:dyDescent="0.25">
      <c r="A15" s="17">
        <v>41698</v>
      </c>
      <c r="B15" s="37">
        <f>IFERROR(YHHistoricalPricesAdjusted!B15/YHHistoricalPricesAdjusted!B14-1,  "")</f>
        <v>5.1218514705899665E-2</v>
      </c>
      <c r="C15" s="37">
        <f>IFERROR(YHHistoricalPricesAdjusted!C15/YHHistoricalPricesAdjusted!C14-1,  "")</f>
        <v>1.3529686614700775E-2</v>
      </c>
      <c r="D15" s="37">
        <f>IFERROR(YHHistoricalPricesAdjusted!D15/YHHistoricalPricesAdjusted!D14-1,  "")</f>
        <v>4.8053151042395825E-2</v>
      </c>
      <c r="E15" s="37">
        <f>IFERROR(YHHistoricalPricesAdjusted!E15/YHHistoricalPricesAdjusted!E14-1,  "")</f>
        <v>0.11293214253281447</v>
      </c>
      <c r="F15" s="37">
        <f>IFERROR(YHHistoricalPricesAdjusted!F15/YHHistoricalPricesAdjusted!F14-1,  "")</f>
        <v>1.0406570663065384E-2</v>
      </c>
      <c r="G15" s="37">
        <f>IFERROR(YHHistoricalPricesAdjusted!G15/YHHistoricalPricesAdjusted!G14-1,  "")</f>
        <v>2.6780524344571788E-4</v>
      </c>
      <c r="H15" s="37">
        <f>IFERROR(YHHistoricalPricesAdjusted!H15/YHHistoricalPricesAdjusted!H14-1,  "")</f>
        <v>1.0047475276524942E-2</v>
      </c>
      <c r="I15" s="37">
        <f>IFERROR(YHHistoricalPricesAdjusted!I15/YHHistoricalPricesAdjusted!I14-1,  "")</f>
        <v>-4.5716277394949323E-3</v>
      </c>
      <c r="J15" s="37">
        <f>IFERROR(YHHistoricalPricesAdjusted!J15/YHHistoricalPricesAdjusted!J14-1,  "")</f>
        <v>7.8996188058389594E-2</v>
      </c>
      <c r="K15" s="37">
        <f>IFERROR(YHHistoricalPricesAdjusted!K15/YHHistoricalPricesAdjusted!K14-1,  "")</f>
        <v>4.7054619401034614E-3</v>
      </c>
      <c r="L15" s="37">
        <f>IFERROR(YHHistoricalPricesAdjusted!L15/YHHistoricalPricesAdjusted!L14-1,  "")</f>
        <v>1.0047475276524942E-2</v>
      </c>
      <c r="M15" s="37">
        <f>IFERROR(YHHistoricalPricesAdjusted!M15/YHHistoricalPricesAdjusted!M14-1,  "")</f>
        <v>-3.6086596767385126E-3</v>
      </c>
      <c r="N15" s="37">
        <f>IFERROR(YHHistoricalPricesAdjusted!N15/YHHistoricalPricesAdjusted!N14-1,  "")</f>
        <v>-3.8923179903434857E-2</v>
      </c>
      <c r="O15" s="37">
        <f>IFERROR(YHHistoricalPricesAdjusted!O15/YHHistoricalPricesAdjusted!O14-1,  "")</f>
        <v>0.34948455213087382</v>
      </c>
      <c r="P15" s="37">
        <f>IFERROR(YHHistoricalPricesAdjusted!P15/YHHistoricalPricesAdjusted!P14-1,  "")</f>
        <v>4.4596427893791146E-2</v>
      </c>
      <c r="Q15" s="37">
        <f>IFERROR(YHHistoricalPricesAdjusted!Q15/YHHistoricalPricesAdjusted!Q14-1,  "")</f>
        <v>3.3145144887119171E-2</v>
      </c>
      <c r="R15" s="37">
        <f>IFERROR(YHHistoricalPricesAdjusted!R15/YHHistoricalPricesAdjusted!R14-1,  "")</f>
        <v>9.3964791953257576E-2</v>
      </c>
      <c r="S15" s="37">
        <f>IFERROR(YHHistoricalPricesAdjusted!S15/YHHistoricalPricesAdjusted!S14-1,  "")</f>
        <v>9.7004988710575946E-2</v>
      </c>
      <c r="T15" s="37">
        <f>IFERROR(YHHistoricalPricesAdjusted!T15/YHHistoricalPricesAdjusted!T14-1,  "")</f>
        <v>8.2025514526452348E-2</v>
      </c>
      <c r="U15" s="37">
        <f>IFERROR(YHHistoricalPricesAdjusted!U15/YHHistoricalPricesAdjusted!U14-1,  "")</f>
        <v>2.8201948584461345E-2</v>
      </c>
      <c r="V15" s="37">
        <f>IFERROR(YHHistoricalPricesAdjusted!V15/YHHistoricalPricesAdjusted!V14-1,  "")</f>
        <v>3.6502785977610808E-2</v>
      </c>
      <c r="W15" s="37">
        <f>IFERROR(YHHistoricalPricesAdjusted!W15/YHHistoricalPricesAdjusted!W14-1,  "")</f>
        <v>9.4044070152557335E-2</v>
      </c>
      <c r="X15" s="37">
        <f>IFERROR(YHHistoricalPricesAdjusted!X15/YHHistoricalPricesAdjusted!X14-1,  "")</f>
        <v>-3.8390300807496058E-2</v>
      </c>
      <c r="Y15" s="37">
        <f>IFERROR(YHHistoricalPricesAdjusted!Y15/YHHistoricalPricesAdjusted!Y14-1,  "")</f>
        <v>4.1256923483361074E-2</v>
      </c>
      <c r="Z15" s="37">
        <f>IFERROR(YHHistoricalPricesAdjusted!Z15/YHHistoricalPricesAdjusted!Z14-1,  "")</f>
        <v>5.625006416683398E-2</v>
      </c>
      <c r="AA15" s="37">
        <f>IFERROR(YHHistoricalPricesAdjusted!AA15/YHHistoricalPricesAdjusted!AA14-1,  "")</f>
        <v>7.5892002836313921E-2</v>
      </c>
      <c r="AB15" s="37">
        <f>IFERROR(YHHistoricalPricesAdjusted!AB15/YHHistoricalPricesAdjusted!AB14-1,  "")</f>
        <v>6.9037310900455839E-2</v>
      </c>
      <c r="AC15" s="37">
        <f>IFERROR(YHHistoricalPricesAdjusted!AC15/YHHistoricalPricesAdjusted!AC14-1,  "")</f>
        <v>1.8500118570542234E-2</v>
      </c>
      <c r="AD15" s="37">
        <f>IFERROR(YHHistoricalPricesAdjusted!AD15/YHHistoricalPricesAdjusted!AD14-1,  "")</f>
        <v>-2.1214438773091482E-2</v>
      </c>
      <c r="AE15" s="37">
        <f>IFERROR(YHHistoricalPricesAdjusted!AE15/YHHistoricalPricesAdjusted!AE14-1,  "")</f>
        <v>-1.169367535489152E-2</v>
      </c>
      <c r="AF15" s="37">
        <f>IFERROR(YHHistoricalPricesAdjusted!AF15/YHHistoricalPricesAdjusted!AF14-1,  "")</f>
        <v>9.4644979351167002E-2</v>
      </c>
      <c r="AG15" s="37">
        <f>IFERROR(YHHistoricalPricesAdjusted!AG15/YHHistoricalPricesAdjusted!AG14-1,  "")</f>
        <v>0.16848353206703104</v>
      </c>
      <c r="AH15" s="37">
        <f>IFERROR(YHHistoricalPricesAdjusted!AH15/YHHistoricalPricesAdjusted!AH14-1,  "")</f>
        <v>6.74041651944568E-2</v>
      </c>
      <c r="AI15" s="37">
        <f>IFERROR(YHHistoricalPricesAdjusted!AI15/YHHistoricalPricesAdjusted!AI14-1,  "")</f>
        <v>9.9999978552522739E-2</v>
      </c>
      <c r="AJ15" s="37">
        <f>IFERROR(YHHistoricalPricesAdjusted!AJ15/YHHistoricalPricesAdjusted!AJ14-1,  "")</f>
        <v>0.20852549345365512</v>
      </c>
      <c r="AK15" s="37">
        <f>IFERROR(YHHistoricalPricesAdjusted!AK15/YHHistoricalPricesAdjusted!AK14-1,  "")</f>
        <v>2.734700839323656E-2</v>
      </c>
      <c r="AL15" s="37">
        <f>IFERROR(YHHistoricalPricesAdjusted!AL15/YHHistoricalPricesAdjusted!AL14-1,  "")</f>
        <v>7.3982012716373724E-3</v>
      </c>
      <c r="AM15" s="37">
        <f>IFERROR(YHHistoricalPricesAdjusted!AM15/YHHistoricalPricesAdjusted!AM14-1,  "")</f>
        <v>3.7200753836570843E-2</v>
      </c>
      <c r="AN15" s="37">
        <f>IFERROR(YHHistoricalPricesAdjusted!AN15/YHHistoricalPricesAdjusted!AN14-1,  "")</f>
        <v>9.1441716204307522E-2</v>
      </c>
      <c r="AO15" s="37">
        <f>IFERROR(YHHistoricalPricesAdjusted!AO15/YHHistoricalPricesAdjusted!AO14-1,  "")</f>
        <v>3.523900709399741E-2</v>
      </c>
      <c r="AP15" s="37">
        <f>IFERROR(YHHistoricalPricesAdjusted!AP15/YHHistoricalPricesAdjusted!AP14-1,  "")</f>
        <v>0.11967108778217583</v>
      </c>
      <c r="AQ15" s="37">
        <f>IFERROR(YHHistoricalPricesAdjusted!AQ15/YHHistoricalPricesAdjusted!AQ14-1,  "")</f>
        <v>2.4005361750637721E-2</v>
      </c>
      <c r="AR15" s="37">
        <f>IFERROR(YHHistoricalPricesAdjusted!AR15/YHHistoricalPricesAdjusted!AR14-1,  "")</f>
        <v>5.7394292442312977E-2</v>
      </c>
      <c r="AS15" s="37">
        <f>IFERROR(YHHistoricalPricesAdjusted!AS15/YHHistoricalPricesAdjusted!AS14-1,  "")</f>
        <v>9.4462728442366029E-3</v>
      </c>
      <c r="AT15" s="37">
        <f>IFERROR(YHHistoricalPricesAdjusted!AT15/YHHistoricalPricesAdjusted!AT14-1,  "")</f>
        <v>5.1774626058313178E-2</v>
      </c>
      <c r="AU15" s="37">
        <f>IFERROR(YHHistoricalPricesAdjusted!AU15/YHHistoricalPricesAdjusted!AU14-1,  "")</f>
        <v>6.0400170984795443E-2</v>
      </c>
      <c r="AV15" s="37">
        <f>IFERROR(YHHistoricalPricesAdjusted!AV15/YHHistoricalPricesAdjusted!AV14-1,  "")</f>
        <v>-2.551923737049977E-2</v>
      </c>
      <c r="AW15" s="37">
        <f>IFERROR(YHHistoricalPricesAdjusted!AW15/YHHistoricalPricesAdjusted!AW14-1,  "")</f>
        <v>-5.8740126393276304E-3</v>
      </c>
      <c r="AX15" s="37">
        <f>IFERROR(YHHistoricalPricesAdjusted!AX15/YHHistoricalPricesAdjusted!AX14-1,  "")</f>
        <v>3.6816498313894108E-3</v>
      </c>
      <c r="AY15" s="37">
        <f>IFERROR(YHHistoricalPricesAdjusted!AY15/YHHistoricalPricesAdjusted!AY14-1,  "")</f>
        <v>3.9821347860688139E-2</v>
      </c>
      <c r="AZ15" s="37">
        <f>IFERROR(YHHistoricalPricesAdjusted!AZ15/YHHistoricalPricesAdjusted!AZ14-1,  "")</f>
        <v>1.8983770559934943E-2</v>
      </c>
      <c r="BA15" s="37">
        <f>IFERROR(YHHistoricalPricesAdjusted!BA15/YHHistoricalPricesAdjusted!BA14-1,  "")</f>
        <v>5.1890993667074836E-2</v>
      </c>
      <c r="BB15" s="37">
        <f>IFERROR(YHHistoricalPricesAdjusted!BB15/YHHistoricalPricesAdjusted!BB14-1,  "")</f>
        <v>3.3085648349343799E-2</v>
      </c>
      <c r="BC15" s="37">
        <f>IFERROR(YHHistoricalPricesAdjusted!BC15/YHHistoricalPricesAdjusted!BC14-1,  "")</f>
        <v>-1.3134118065611822E-2</v>
      </c>
      <c r="BD15" s="37">
        <f>IFERROR(YHHistoricalPricesAdjusted!BD15/YHHistoricalPricesAdjusted!BD14-1,  "")</f>
        <v>4.8786134263510306E-2</v>
      </c>
      <c r="BE15" s="37">
        <f>IFERROR(YHHistoricalPricesAdjusted!BE15/YHHistoricalPricesAdjusted!BE14-1,  "")</f>
        <v>2.551354940629591E-2</v>
      </c>
      <c r="BF15" s="37">
        <f>IFERROR(YHHistoricalPricesAdjusted!BF15/YHHistoricalPricesAdjusted!BF14-1,  "")</f>
        <v>1.4196735347811851E-2</v>
      </c>
      <c r="BG15" s="37">
        <f>IFERROR(YHHistoricalPricesAdjusted!BG15/YHHistoricalPricesAdjusted!BG14-1,  "")</f>
        <v>3.5489384199727692E-2</v>
      </c>
      <c r="BH15" s="37">
        <f>IFERROR(YHHistoricalPricesAdjusted!BH15/YHHistoricalPricesAdjusted!BH14-1,  "")</f>
        <v>2.3820206138985389E-2</v>
      </c>
      <c r="BI15" s="37">
        <f>IFERROR(YHHistoricalPricesAdjusted!BI15/YHHistoricalPricesAdjusted!BI14-1,  "")</f>
        <v>4.0804325906718342E-2</v>
      </c>
      <c r="BJ15" s="37">
        <f>IFERROR(YHHistoricalPricesAdjusted!BJ15/YHHistoricalPricesAdjusted!BJ14-1,  "")</f>
        <v>7.1326415989754421E-2</v>
      </c>
      <c r="BK15" s="37">
        <f>IFERROR(YHHistoricalPricesAdjusted!BK15/YHHistoricalPricesAdjusted!BK14-1,  "")</f>
        <v>7.6400281525756064E-2</v>
      </c>
      <c r="BL15" s="37">
        <f>IFERROR(YHHistoricalPricesAdjusted!BL15/YHHistoricalPricesAdjusted!BL14-1,  "")</f>
        <v>5.1017750662991856E-2</v>
      </c>
      <c r="BM15" s="37">
        <f>IFERROR(YHHistoricalPricesAdjusted!BM15/YHHistoricalPricesAdjusted!BM14-1,  "")</f>
        <v>3.5185905124102357E-2</v>
      </c>
      <c r="BN15" s="37">
        <f>IFERROR(YHHistoricalPricesAdjusted!BN15/YHHistoricalPricesAdjusted!BN14-1,  "")</f>
        <v>2.82295455333057E-2</v>
      </c>
      <c r="BO15" s="37">
        <f>IFERROR(YHHistoricalPricesAdjusted!BO15/YHHistoricalPricesAdjusted!BO14-1,  "")</f>
        <v>4.6024937703452728E-2</v>
      </c>
      <c r="BP15" s="37">
        <f>IFERROR(YHHistoricalPricesAdjusted!BP15/YHHistoricalPricesAdjusted!BP14-1,  "")</f>
        <v>-1.0369443420960467E-2</v>
      </c>
      <c r="BQ15" s="37">
        <f>IFERROR(YHHistoricalPricesAdjusted!BQ15/YHHistoricalPricesAdjusted!BQ14-1,  "")</f>
        <v>0.14915724186652835</v>
      </c>
      <c r="BR15" s="37">
        <f>IFERROR(YHHistoricalPricesAdjusted!BR15/YHHistoricalPricesAdjusted!BR14-1,  "")</f>
        <v>4.5751253079640009E-2</v>
      </c>
      <c r="BS15" s="37">
        <f>IFERROR(YHHistoricalPricesAdjusted!BS15/YHHistoricalPricesAdjusted!BS14-1,  "")</f>
        <v>5.5395477589007092E-2</v>
      </c>
      <c r="BT15" s="37">
        <f>IFERROR(YHHistoricalPricesAdjusted!BT15/YHHistoricalPricesAdjusted!BT14-1,  "")</f>
        <v>0.2552765512241002</v>
      </c>
      <c r="BU15" s="37">
        <f>IFERROR(YHHistoricalPricesAdjusted!BU15/YHHistoricalPricesAdjusted!BU14-1,  "")</f>
        <v>0.20269279494872916</v>
      </c>
      <c r="BV15" s="37">
        <f>IFERROR(YHHistoricalPricesAdjusted!BV15/YHHistoricalPricesAdjusted!BV14-1,  "")</f>
        <v>1.2420908362291705E-2</v>
      </c>
      <c r="BW15" s="37">
        <f>IFERROR(YHHistoricalPricesAdjusted!BW15/YHHistoricalPricesAdjusted!BW14-1,  "")</f>
        <v>8.9647605665204022E-3</v>
      </c>
      <c r="BX15" s="37">
        <f>IFERROR(YHHistoricalPricesAdjusted!BX15/YHHistoricalPricesAdjusted!BX14-1,  "")</f>
        <v>1.6049417837000757E-3</v>
      </c>
      <c r="BY15" s="37">
        <f>IFERROR(YHHistoricalPricesAdjusted!BY15/YHHistoricalPricesAdjusted!BY14-1,  "")</f>
        <v>3.0398150180045436E-2</v>
      </c>
      <c r="BZ15" s="37">
        <f>IFERROR(YHHistoricalPricesAdjusted!BZ15/YHHistoricalPricesAdjusted!BZ14-1,  "")</f>
        <v>6.953107048835605E-2</v>
      </c>
      <c r="CA15" s="37">
        <f>IFERROR(YHHistoricalPricesAdjusted!CA15/YHHistoricalPricesAdjusted!CA14-1,  "")</f>
        <v>4.40708318584071E-2</v>
      </c>
      <c r="CB15" s="37">
        <f>IFERROR(YHHistoricalPricesAdjusted!CB15/YHHistoricalPricesAdjusted!CB14-1,  "")</f>
        <v>6.3542570527729048E-2</v>
      </c>
      <c r="CC15" s="37">
        <f>IFERROR(YHHistoricalPricesAdjusted!CC15/YHHistoricalPricesAdjusted!CC14-1,  "")</f>
        <v>0.17070040211139736</v>
      </c>
      <c r="CD15" s="37">
        <f>IFERROR(YHHistoricalPricesAdjusted!CD15/YHHistoricalPricesAdjusted!CD14-1,  "")</f>
        <v>9.4134553300303514E-2</v>
      </c>
      <c r="CE15" s="37">
        <f>IFERROR(YHHistoricalPricesAdjusted!CE15/YHHistoricalPricesAdjusted!CE14-1,  "")</f>
        <v>3.0344982723126801E-2</v>
      </c>
      <c r="CF15" s="37">
        <f>IFERROR(YHHistoricalPricesAdjusted!CF15/YHHistoricalPricesAdjusted!CF14-1,  "")</f>
        <v>4.9913192278073115E-2</v>
      </c>
    </row>
    <row r="16" spans="1:121" x14ac:dyDescent="0.25">
      <c r="A16" s="17">
        <v>41729</v>
      </c>
      <c r="B16" s="37">
        <f>IFERROR(YHHistoricalPricesAdjusted!B16/YHHistoricalPricesAdjusted!B15-1,  "")</f>
        <v>6.4281830049094157E-2</v>
      </c>
      <c r="C16" s="37">
        <f>IFERROR(YHHistoricalPricesAdjusted!C16/YHHistoricalPricesAdjusted!C15-1,  "")</f>
        <v>2.5371026074377356E-2</v>
      </c>
      <c r="D16" s="37">
        <f>IFERROR(YHHistoricalPricesAdjusted!D16/YHHistoricalPricesAdjusted!D15-1,  "")</f>
        <v>4.5229963106794724E-2</v>
      </c>
      <c r="E16" s="37">
        <f>IFERROR(YHHistoricalPricesAdjusted!E16/YHHistoricalPricesAdjusted!E15-1,  "")</f>
        <v>-9.1573545393485167E-3</v>
      </c>
      <c r="F16" s="37">
        <f>IFERROR(YHHistoricalPricesAdjusted!F16/YHHistoricalPricesAdjusted!F15-1,  "")</f>
        <v>3.9044999691393079E-2</v>
      </c>
      <c r="G16" s="37">
        <f>IFERROR(YHHistoricalPricesAdjusted!G16/YHHistoricalPricesAdjusted!G15-1,  "")</f>
        <v>2.3159610468962644E-2</v>
      </c>
      <c r="H16" s="37">
        <f>IFERROR(YHHistoricalPricesAdjusted!H16/YHHistoricalPricesAdjusted!H15-1,  "")</f>
        <v>1.2042003005596769E-2</v>
      </c>
      <c r="I16" s="37">
        <f>IFERROR(YHHistoricalPricesAdjusted!I16/YHHistoricalPricesAdjusted!I15-1,  "")</f>
        <v>-3.9214322328936069E-2</v>
      </c>
      <c r="J16" s="37">
        <f>IFERROR(YHHistoricalPricesAdjusted!J16/YHHistoricalPricesAdjusted!J15-1,  "")</f>
        <v>4.8922128693249745E-2</v>
      </c>
      <c r="K16" s="37">
        <f>IFERROR(YHHistoricalPricesAdjusted!K16/YHHistoricalPricesAdjusted!K15-1,  "")</f>
        <v>-2.081527117948101E-2</v>
      </c>
      <c r="L16" s="37">
        <f>IFERROR(YHHistoricalPricesAdjusted!L16/YHHistoricalPricesAdjusted!L15-1,  "")</f>
        <v>1.2042003005596769E-2</v>
      </c>
      <c r="M16" s="37">
        <f>IFERROR(YHHistoricalPricesAdjusted!M16/YHHistoricalPricesAdjusted!M15-1,  "")</f>
        <v>4.2837282627507633E-2</v>
      </c>
      <c r="N16" s="37">
        <f>IFERROR(YHHistoricalPricesAdjusted!N16/YHHistoricalPricesAdjusted!N15-1,  "")</f>
        <v>-1.9694905397149021E-2</v>
      </c>
      <c r="O16" s="37">
        <f>IFERROR(YHHistoricalPricesAdjusted!O16/YHHistoricalPricesAdjusted!O15-1,  "")</f>
        <v>-0.14852334993279159</v>
      </c>
      <c r="P16" s="37">
        <f>IFERROR(YHHistoricalPricesAdjusted!P16/YHHistoricalPricesAdjusted!P15-1,  "")</f>
        <v>2.1832570956489938E-2</v>
      </c>
      <c r="Q16" s="37">
        <f>IFERROR(YHHistoricalPricesAdjusted!Q16/YHHistoricalPricesAdjusted!Q15-1,  "")</f>
        <v>4.0199783188076044E-2</v>
      </c>
      <c r="R16" s="37">
        <f>IFERROR(YHHistoricalPricesAdjusted!R16/YHHistoricalPricesAdjusted!R15-1,  "")</f>
        <v>-1.3978695905379257E-2</v>
      </c>
      <c r="S16" s="37">
        <f>IFERROR(YHHistoricalPricesAdjusted!S16/YHHistoricalPricesAdjusted!S15-1,  "")</f>
        <v>-3.4307034605464137E-3</v>
      </c>
      <c r="T16" s="37">
        <f>IFERROR(YHHistoricalPricesAdjusted!T16/YHHistoricalPricesAdjusted!T15-1,  "")</f>
        <v>2.0044881646093193E-2</v>
      </c>
      <c r="U16" s="37">
        <f>IFERROR(YHHistoricalPricesAdjusted!U16/YHHistoricalPricesAdjusted!U15-1,  "")</f>
        <v>6.5158838325005686E-3</v>
      </c>
      <c r="V16" s="37">
        <f>IFERROR(YHHistoricalPricesAdjusted!V16/YHHistoricalPricesAdjusted!V15-1,  "")</f>
        <v>3.4084957560463591E-2</v>
      </c>
      <c r="W16" s="37">
        <f>IFERROR(YHHistoricalPricesAdjusted!W16/YHHistoricalPricesAdjusted!W15-1,  "")</f>
        <v>2.3331797970296497E-2</v>
      </c>
      <c r="X16" s="37">
        <f>IFERROR(YHHistoricalPricesAdjusted!X16/YHHistoricalPricesAdjusted!X15-1,  "")</f>
        <v>8.1395094828650594E-2</v>
      </c>
      <c r="Y16" s="37">
        <f>IFERROR(YHHistoricalPricesAdjusted!Y16/YHHistoricalPricesAdjusted!Y15-1,  "")</f>
        <v>7.3999545472740014E-2</v>
      </c>
      <c r="Z16" s="37">
        <f>IFERROR(YHHistoricalPricesAdjusted!Z16/YHHistoricalPricesAdjusted!Z15-1,  "")</f>
        <v>8.6527465919439273E-3</v>
      </c>
      <c r="AA16" s="37">
        <f>IFERROR(YHHistoricalPricesAdjusted!AA16/YHHistoricalPricesAdjusted!AA15-1,  "")</f>
        <v>-3.8603291213901159E-3</v>
      </c>
      <c r="AB16" s="37">
        <f>IFERROR(YHHistoricalPricesAdjusted!AB16/YHHistoricalPricesAdjusted!AB15-1,  "")</f>
        <v>6.1084150570931861E-2</v>
      </c>
      <c r="AC16" s="37">
        <f>IFERROR(YHHistoricalPricesAdjusted!AC16/YHHistoricalPricesAdjusted!AC15-1,  "")</f>
        <v>2.5390566662974345E-2</v>
      </c>
      <c r="AD16" s="37">
        <f>IFERROR(YHHistoricalPricesAdjusted!AD16/YHHistoricalPricesAdjusted!AD15-1,  "")</f>
        <v>2.2917506079484395E-2</v>
      </c>
      <c r="AE16" s="37">
        <f>IFERROR(YHHistoricalPricesAdjusted!AE16/YHHistoricalPricesAdjusted!AE15-1,  "")</f>
        <v>-7.2865304138538867E-2</v>
      </c>
      <c r="AF16" s="37">
        <f>IFERROR(YHHistoricalPricesAdjusted!AF16/YHHistoricalPricesAdjusted!AF15-1,  "")</f>
        <v>-5.4654689950230928E-3</v>
      </c>
      <c r="AG16" s="37">
        <f>IFERROR(YHHistoricalPricesAdjusted!AG16/YHHistoricalPricesAdjusted!AG15-1,  "")</f>
        <v>-6.7585658502804069E-2</v>
      </c>
      <c r="AH16" s="37">
        <f>IFERROR(YHHistoricalPricesAdjusted!AH16/YHHistoricalPricesAdjusted!AH15-1,  "")</f>
        <v>-3.5353109512633707E-2</v>
      </c>
      <c r="AI16" s="37">
        <f>IFERROR(YHHistoricalPricesAdjusted!AI16/YHHistoricalPricesAdjusted!AI15-1,  "")</f>
        <v>3.6278467188537E-2</v>
      </c>
      <c r="AJ16" s="37">
        <f>IFERROR(YHHistoricalPricesAdjusted!AJ16/YHHistoricalPricesAdjusted!AJ15-1,  "")</f>
        <v>-7.6785916221302708E-2</v>
      </c>
      <c r="AK16" s="37">
        <f>IFERROR(YHHistoricalPricesAdjusted!AK16/YHHistoricalPricesAdjusted!AK15-1,  "")</f>
        <v>4.8022608905853303E-3</v>
      </c>
      <c r="AL16" s="37">
        <f>IFERROR(YHHistoricalPricesAdjusted!AL16/YHHistoricalPricesAdjusted!AL15-1,  "")</f>
        <v>-8.56816540418881E-3</v>
      </c>
      <c r="AM16" s="37">
        <f>IFERROR(YHHistoricalPricesAdjusted!AM16/YHHistoricalPricesAdjusted!AM15-1,  "")</f>
        <v>-0.12748581467155806</v>
      </c>
      <c r="AN16" s="37">
        <f>IFERROR(YHHistoricalPricesAdjusted!AN16/YHHistoricalPricesAdjusted!AN15-1,  "")</f>
        <v>3.1633504338278717E-2</v>
      </c>
      <c r="AO16" s="37">
        <f>IFERROR(YHHistoricalPricesAdjusted!AO16/YHHistoricalPricesAdjusted!AO15-1,  "")</f>
        <v>5.1063570352744003E-2</v>
      </c>
      <c r="AP16" s="37">
        <f>IFERROR(YHHistoricalPricesAdjusted!AP16/YHHistoricalPricesAdjusted!AP15-1,  "")</f>
        <v>-2.6435415351431013E-2</v>
      </c>
      <c r="AQ16" s="37">
        <f>IFERROR(YHHistoricalPricesAdjusted!AQ16/YHHistoricalPricesAdjusted!AQ15-1,  "")</f>
        <v>5.0246207417745659E-3</v>
      </c>
      <c r="AR16" s="37">
        <f>IFERROR(YHHistoricalPricesAdjusted!AR16/YHHistoricalPricesAdjusted!AR15-1,  "")</f>
        <v>8.3096670701446218E-2</v>
      </c>
      <c r="AS16" s="37">
        <f>IFERROR(YHHistoricalPricesAdjusted!AS16/YHHistoricalPricesAdjusted!AS15-1,  "")</f>
        <v>2.5891540896185949E-2</v>
      </c>
      <c r="AT16" s="37">
        <f>IFERROR(YHHistoricalPricesAdjusted!AT16/YHHistoricalPricesAdjusted!AT15-1,  "")</f>
        <v>1.526773147430216E-3</v>
      </c>
      <c r="AU16" s="37">
        <f>IFERROR(YHHistoricalPricesAdjusted!AU16/YHHistoricalPricesAdjusted!AU15-1,  "")</f>
        <v>1.2488756213322905E-2</v>
      </c>
      <c r="AV16" s="37">
        <f>IFERROR(YHHistoricalPricesAdjusted!AV16/YHHistoricalPricesAdjusted!AV15-1,  "")</f>
        <v>4.830721902285795E-2</v>
      </c>
      <c r="AW16" s="37">
        <f>IFERROR(YHHistoricalPricesAdjusted!AW16/YHHistoricalPricesAdjusted!AW15-1,  "")</f>
        <v>5.4628990674979949E-2</v>
      </c>
      <c r="AX16" s="37">
        <f>IFERROR(YHHistoricalPricesAdjusted!AX16/YHHistoricalPricesAdjusted!AX15-1,  "")</f>
        <v>1.5910632710859129E-2</v>
      </c>
      <c r="AY16" s="37">
        <f>IFERROR(YHHistoricalPricesAdjusted!AY16/YHHistoricalPricesAdjusted!AY15-1,  "")</f>
        <v>3.754419365802808E-2</v>
      </c>
      <c r="AZ16" s="37">
        <f>IFERROR(YHHistoricalPricesAdjusted!AZ16/YHHistoricalPricesAdjusted!AZ15-1,  "")</f>
        <v>2.4240578581687489E-2</v>
      </c>
      <c r="BA16" s="37">
        <f>IFERROR(YHHistoricalPricesAdjusted!BA16/YHHistoricalPricesAdjusted!BA15-1,  "")</f>
        <v>3.5256435537115438E-2</v>
      </c>
      <c r="BB16" s="37">
        <f>IFERROR(YHHistoricalPricesAdjusted!BB16/YHHistoricalPricesAdjusted!BB15-1,  "")</f>
        <v>6.8461909495276085E-2</v>
      </c>
      <c r="BC16" s="37">
        <f>IFERROR(YHHistoricalPricesAdjusted!BC16/YHHistoricalPricesAdjusted!BC15-1,  "")</f>
        <v>4.0532091043220531E-2</v>
      </c>
      <c r="BD16" s="37">
        <f>IFERROR(YHHistoricalPricesAdjusted!BD16/YHHistoricalPricesAdjusted!BD15-1,  "")</f>
        <v>-3.7688471194664119E-2</v>
      </c>
      <c r="BE16" s="37">
        <f>IFERROR(YHHistoricalPricesAdjusted!BE16/YHHistoricalPricesAdjusted!BE15-1,  "")</f>
        <v>-2.1180265264396758E-2</v>
      </c>
      <c r="BF16" s="37">
        <f>IFERROR(YHHistoricalPricesAdjusted!BF16/YHHistoricalPricesAdjusted!BF15-1,  "")</f>
        <v>-1.2297272789429603E-2</v>
      </c>
      <c r="BG16" s="37">
        <f>IFERROR(YHHistoricalPricesAdjusted!BG16/YHHistoricalPricesAdjusted!BG15-1,  "")</f>
        <v>4.1808401777313264E-2</v>
      </c>
      <c r="BH16" s="37">
        <f>IFERROR(YHHistoricalPricesAdjusted!BH16/YHHistoricalPricesAdjusted!BH15-1,  "")</f>
        <v>7.8749485885017068E-2</v>
      </c>
      <c r="BI16" s="37">
        <f>IFERROR(YHHistoricalPricesAdjusted!BI16/YHHistoricalPricesAdjusted!BI15-1,  "")</f>
        <v>-3.8857215684574897E-2</v>
      </c>
      <c r="BJ16" s="37">
        <f>IFERROR(YHHistoricalPricesAdjusted!BJ16/YHHistoricalPricesAdjusted!BJ15-1,  "")</f>
        <v>5.8563392207223508E-2</v>
      </c>
      <c r="BK16" s="37">
        <f>IFERROR(YHHistoricalPricesAdjusted!BK16/YHHistoricalPricesAdjusted!BK15-1,  "")</f>
        <v>-1.3694248893633354E-2</v>
      </c>
      <c r="BL16" s="37">
        <f>IFERROR(YHHistoricalPricesAdjusted!BL16/YHHistoricalPricesAdjusted!BL15-1,  "")</f>
        <v>1.3518959947300901E-2</v>
      </c>
      <c r="BM16" s="37">
        <f>IFERROR(YHHistoricalPricesAdjusted!BM16/YHHistoricalPricesAdjusted!BM15-1,  "")</f>
        <v>-1.3026928415241334E-2</v>
      </c>
      <c r="BN16" s="37">
        <f>IFERROR(YHHistoricalPricesAdjusted!BN16/YHHistoricalPricesAdjusted!BN15-1,  "")</f>
        <v>-1.9479539058842033E-2</v>
      </c>
      <c r="BO16" s="37">
        <f>IFERROR(YHHistoricalPricesAdjusted!BO16/YHHistoricalPricesAdjusted!BO15-1,  "")</f>
        <v>-1.4181585907667826E-2</v>
      </c>
      <c r="BP16" s="37">
        <f>IFERROR(YHHistoricalPricesAdjusted!BP16/YHHistoricalPricesAdjusted!BP15-1,  "")</f>
        <v>-1.5557871733640094E-2</v>
      </c>
      <c r="BQ16" s="37">
        <f>IFERROR(YHHistoricalPricesAdjusted!BQ16/YHHistoricalPricesAdjusted!BQ15-1,  "")</f>
        <v>2.5518130727284039E-2</v>
      </c>
      <c r="BR16" s="37">
        <f>IFERROR(YHHistoricalPricesAdjusted!BR16/YHHistoricalPricesAdjusted!BR15-1,  "")</f>
        <v>-2.9039749879365528E-2</v>
      </c>
      <c r="BS16" s="37">
        <f>IFERROR(YHHistoricalPricesAdjusted!BS16/YHHistoricalPricesAdjusted!BS15-1,  "")</f>
        <v>-3.4021013419787138E-2</v>
      </c>
      <c r="BT16" s="37">
        <f>IFERROR(YHHistoricalPricesAdjusted!BT16/YHHistoricalPricesAdjusted!BT15-1,  "")</f>
        <v>6.0879259628330296E-3</v>
      </c>
      <c r="BU16" s="37">
        <f>IFERROR(YHHistoricalPricesAdjusted!BU16/YHHistoricalPricesAdjusted!BU15-1,  "")</f>
        <v>-0.10908416208890004</v>
      </c>
      <c r="BV16" s="37">
        <f>IFERROR(YHHistoricalPricesAdjusted!BV16/YHHistoricalPricesAdjusted!BV15-1,  "")</f>
        <v>7.7979184165893223E-2</v>
      </c>
      <c r="BW16" s="37">
        <f>IFERROR(YHHistoricalPricesAdjusted!BW16/YHHistoricalPricesAdjusted!BW15-1,  "")</f>
        <v>5.2347514921122107E-2</v>
      </c>
      <c r="BX16" s="37">
        <f>IFERROR(YHHistoricalPricesAdjusted!BX16/YHHistoricalPricesAdjusted!BX15-1,  "")</f>
        <v>-2.1024412451542407E-4</v>
      </c>
      <c r="BY16" s="37">
        <f>IFERROR(YHHistoricalPricesAdjusted!BY16/YHHistoricalPricesAdjusted!BY15-1,  "")</f>
        <v>-8.4656069980055593E-2</v>
      </c>
      <c r="BZ16" s="37">
        <f>IFERROR(YHHistoricalPricesAdjusted!BZ16/YHHistoricalPricesAdjusted!BZ15-1,  "")</f>
        <v>-5.3739429709247499E-3</v>
      </c>
      <c r="CA16" s="37">
        <f>IFERROR(YHHistoricalPricesAdjusted!CA16/YHHistoricalPricesAdjusted!CA15-1,  "")</f>
        <v>-0.10188170530999474</v>
      </c>
      <c r="CB16" s="37">
        <f>IFERROR(YHHistoricalPricesAdjusted!CB16/YHHistoricalPricesAdjusted!CB15-1,  "")</f>
        <v>-7.7825673293546727E-2</v>
      </c>
      <c r="CC16" s="37">
        <f>IFERROR(YHHistoricalPricesAdjusted!CC16/YHHistoricalPricesAdjusted!CC15-1,  "")</f>
        <v>-2.117130101997855E-2</v>
      </c>
      <c r="CD16" s="37">
        <f>IFERROR(YHHistoricalPricesAdjusted!CD16/YHHistoricalPricesAdjusted!CD15-1,  "")</f>
        <v>-0.12007007186780705</v>
      </c>
      <c r="CE16" s="37">
        <f>IFERROR(YHHistoricalPricesAdjusted!CE16/YHHistoricalPricesAdjusted!CE15-1,  "")</f>
        <v>8.2998566260967577E-2</v>
      </c>
      <c r="CF16" s="37">
        <f>IFERROR(YHHistoricalPricesAdjusted!CF16/YHHistoricalPricesAdjusted!CF15-1,  "")</f>
        <v>-2.1909920549403772E-2</v>
      </c>
    </row>
    <row r="17" spans="1:84" x14ac:dyDescent="0.25">
      <c r="A17" s="17">
        <v>41759</v>
      </c>
      <c r="B17" s="37">
        <f>IFERROR(YHHistoricalPricesAdjusted!B17/YHHistoricalPricesAdjusted!B16-1,  "")</f>
        <v>9.9396247870303878E-2</v>
      </c>
      <c r="C17" s="37">
        <f>IFERROR(YHHistoricalPricesAdjusted!C17/YHHistoricalPricesAdjusted!C16-1,  "")</f>
        <v>3.8625082420485235E-2</v>
      </c>
      <c r="D17" s="37">
        <f>IFERROR(YHHistoricalPricesAdjusted!D17/YHHistoricalPricesAdjusted!D16-1,  "")</f>
        <v>2.0676412551477119E-2</v>
      </c>
      <c r="E17" s="37">
        <f>IFERROR(YHHistoricalPricesAdjusted!E17/YHHistoricalPricesAdjusted!E16-1,  "")</f>
        <v>-9.1171402749222752E-3</v>
      </c>
      <c r="F17" s="37">
        <f>IFERROR(YHHistoricalPricesAdjusted!F17/YHHistoricalPricesAdjusted!F16-1,  "")</f>
        <v>3.4173389259893661E-2</v>
      </c>
      <c r="G17" s="37">
        <f>IFERROR(YHHistoricalPricesAdjusted!G17/YHHistoricalPricesAdjusted!G16-1,  "")</f>
        <v>4.9643636284430137E-2</v>
      </c>
      <c r="H17" s="37">
        <f>IFERROR(YHHistoricalPricesAdjusted!H17/YHHistoricalPricesAdjusted!H16-1,  "")</f>
        <v>6.3455228785444406E-2</v>
      </c>
      <c r="I17" s="37">
        <f>IFERROR(YHHistoricalPricesAdjusted!I17/YHHistoricalPricesAdjusted!I16-1,  "")</f>
        <v>-2.625380280199463E-2</v>
      </c>
      <c r="J17" s="37">
        <f>IFERROR(YHHistoricalPricesAdjusted!J17/YHHistoricalPricesAdjusted!J16-1,  "")</f>
        <v>-3.4451977690415747E-2</v>
      </c>
      <c r="K17" s="37">
        <f>IFERROR(YHHistoricalPricesAdjusted!K17/YHHistoricalPricesAdjusted!K16-1,  "")</f>
        <v>-2.2048051444854111E-2</v>
      </c>
      <c r="L17" s="37">
        <f>IFERROR(YHHistoricalPricesAdjusted!L17/YHHistoricalPricesAdjusted!L16-1,  "")</f>
        <v>6.3455228785444406E-2</v>
      </c>
      <c r="M17" s="37">
        <f>IFERROR(YHHistoricalPricesAdjusted!M17/YHHistoricalPricesAdjusted!M16-1,  "")</f>
        <v>3.5894017425921909E-2</v>
      </c>
      <c r="N17" s="37">
        <f>IFERROR(YHHistoricalPricesAdjusted!N17/YHHistoricalPricesAdjusted!N16-1,  "")</f>
        <v>-5.1817330996509869E-2</v>
      </c>
      <c r="O17" s="37">
        <f>IFERROR(YHHistoricalPricesAdjusted!O17/YHHistoricalPricesAdjusted!O16-1,  "")</f>
        <v>-2.6864860065217711E-3</v>
      </c>
      <c r="P17" s="37">
        <f>IFERROR(YHHistoricalPricesAdjusted!P17/YHHistoricalPricesAdjusted!P16-1,  "")</f>
        <v>4.8423385355975901E-2</v>
      </c>
      <c r="Q17" s="37">
        <f>IFERROR(YHHistoricalPricesAdjusted!Q17/YHHistoricalPricesAdjusted!Q16-1,  "")</f>
        <v>5.558820462678149E-2</v>
      </c>
      <c r="R17" s="37">
        <f>IFERROR(YHHistoricalPricesAdjusted!R17/YHHistoricalPricesAdjusted!R16-1,  "")</f>
        <v>1.3747312009675383E-2</v>
      </c>
      <c r="S17" s="37">
        <f>IFERROR(YHHistoricalPricesAdjusted!S17/YHHistoricalPricesAdjusted!S16-1,  "")</f>
        <v>7.5853815193491325E-2</v>
      </c>
      <c r="T17" s="37">
        <f>IFERROR(YHHistoricalPricesAdjusted!T17/YHHistoricalPricesAdjusted!T16-1,  "")</f>
        <v>3.4135569792536735E-2</v>
      </c>
      <c r="U17" s="37">
        <f>IFERROR(YHHistoricalPricesAdjusted!U17/YHHistoricalPricesAdjusted!U16-1,  "")</f>
        <v>1.3587886612783651E-2</v>
      </c>
      <c r="V17" s="37">
        <f>IFERROR(YHHistoricalPricesAdjusted!V17/YHHistoricalPricesAdjusted!V16-1,  "")</f>
        <v>-2.6984379144256554E-2</v>
      </c>
      <c r="W17" s="37">
        <f>IFERROR(YHHistoricalPricesAdjusted!W17/YHHistoricalPricesAdjusted!W16-1,  "")</f>
        <v>5.9345000579313911E-3</v>
      </c>
      <c r="X17" s="37">
        <f>IFERROR(YHHistoricalPricesAdjusted!X17/YHHistoricalPricesAdjusted!X16-1,  "")</f>
        <v>-1.1421667699410554E-3</v>
      </c>
      <c r="Y17" s="37">
        <f>IFERROR(YHHistoricalPricesAdjusted!Y17/YHHistoricalPricesAdjusted!Y16-1,  "")</f>
        <v>3.115139784073917E-2</v>
      </c>
      <c r="Z17" s="37">
        <f>IFERROR(YHHistoricalPricesAdjusted!Z17/YHHistoricalPricesAdjusted!Z16-1,  "")</f>
        <v>-2.6151834479802738E-2</v>
      </c>
      <c r="AA17" s="37">
        <f>IFERROR(YHHistoricalPricesAdjusted!AA17/YHHistoricalPricesAdjusted!AA16-1,  "")</f>
        <v>3.9582370159930269E-2</v>
      </c>
      <c r="AB17" s="37">
        <f>IFERROR(YHHistoricalPricesAdjusted!AB17/YHHistoricalPricesAdjusted!AB16-1,  "")</f>
        <v>-8.1459575010300767E-2</v>
      </c>
      <c r="AC17" s="37">
        <f>IFERROR(YHHistoricalPricesAdjusted!AC17/YHHistoricalPricesAdjusted!AC16-1,  "")</f>
        <v>-9.5237925947198043E-3</v>
      </c>
      <c r="AD17" s="37">
        <f>IFERROR(YHHistoricalPricesAdjusted!AD17/YHHistoricalPricesAdjusted!AD16-1,  "")</f>
        <v>-3.4117312664944111E-3</v>
      </c>
      <c r="AE17" s="37">
        <f>IFERROR(YHHistoricalPricesAdjusted!AE17/YHHistoricalPricesAdjusted!AE16-1,  "")</f>
        <v>6.3596757030700335E-2</v>
      </c>
      <c r="AF17" s="37">
        <f>IFERROR(YHHistoricalPricesAdjusted!AF17/YHHistoricalPricesAdjusted!AF16-1,  "")</f>
        <v>1.1981999999999937E-2</v>
      </c>
      <c r="AG17" s="37">
        <f>IFERROR(YHHistoricalPricesAdjusted!AG17/YHHistoricalPricesAdjusted!AG16-1,  "")</f>
        <v>-7.3839762610159454E-3</v>
      </c>
      <c r="AH17" s="37">
        <f>IFERROR(YHHistoricalPricesAdjusted!AH17/YHHistoricalPricesAdjusted!AH16-1,  "")</f>
        <v>1.0581899431352015E-2</v>
      </c>
      <c r="AI17" s="37">
        <f>IFERROR(YHHistoricalPricesAdjusted!AI17/YHHistoricalPricesAdjusted!AI16-1,  "")</f>
        <v>3.4095016560601099E-2</v>
      </c>
      <c r="AJ17" s="37">
        <f>IFERROR(YHHistoricalPricesAdjusted!AJ17/YHHistoricalPricesAdjusted!AJ16-1,  "")</f>
        <v>-1.8884107500224401E-2</v>
      </c>
      <c r="AK17" s="37">
        <f>IFERROR(YHHistoricalPricesAdjusted!AK17/YHHistoricalPricesAdjusted!AK16-1,  "")</f>
        <v>-2.123246984482452E-2</v>
      </c>
      <c r="AL17" s="37">
        <f>IFERROR(YHHistoricalPricesAdjusted!AL17/YHHistoricalPricesAdjusted!AL16-1,  "")</f>
        <v>7.3977994266985148E-2</v>
      </c>
      <c r="AM17" s="37">
        <f>IFERROR(YHHistoricalPricesAdjusted!AM17/YHHistoricalPricesAdjusted!AM16-1,  "")</f>
        <v>-9.6866042771534433E-2</v>
      </c>
      <c r="AN17" s="37">
        <f>IFERROR(YHHistoricalPricesAdjusted!AN17/YHHistoricalPricesAdjusted!AN16-1,  "")</f>
        <v>4.5902180388339042E-2</v>
      </c>
      <c r="AO17" s="37">
        <f>IFERROR(YHHistoricalPricesAdjusted!AO17/YHHistoricalPricesAdjusted!AO16-1,  "")</f>
        <v>1.4760895863917822E-2</v>
      </c>
      <c r="AP17" s="37">
        <f>IFERROR(YHHistoricalPricesAdjusted!AP17/YHHistoricalPricesAdjusted!AP16-1,  "")</f>
        <v>-3.0583705386659554E-2</v>
      </c>
      <c r="AQ17" s="37">
        <f>IFERROR(YHHistoricalPricesAdjusted!AQ17/YHHistoricalPricesAdjusted!AQ16-1,  "")</f>
        <v>-0.12243638670757262</v>
      </c>
      <c r="AR17" s="37">
        <f>IFERROR(YHHistoricalPricesAdjusted!AR17/YHHistoricalPricesAdjusted!AR16-1,  "")</f>
        <v>-5.9770665212620422E-2</v>
      </c>
      <c r="AS17" s="37">
        <f>IFERROR(YHHistoricalPricesAdjusted!AS17/YHHistoricalPricesAdjusted!AS16-1,  "")</f>
        <v>-6.0150200322687031E-2</v>
      </c>
      <c r="AT17" s="37">
        <f>IFERROR(YHHistoricalPricesAdjusted!AT17/YHHistoricalPricesAdjusted!AT16-1,  "")</f>
        <v>7.9772060711635895E-4</v>
      </c>
      <c r="AU17" s="37">
        <f>IFERROR(YHHistoricalPricesAdjusted!AU17/YHHistoricalPricesAdjusted!AU16-1,  "")</f>
        <v>2.8635434980663899E-3</v>
      </c>
      <c r="AV17" s="37">
        <f>IFERROR(YHHistoricalPricesAdjusted!AV17/YHHistoricalPricesAdjusted!AV16-1,  "")</f>
        <v>-4.8873411429275371E-2</v>
      </c>
      <c r="AW17" s="37">
        <f>IFERROR(YHHistoricalPricesAdjusted!AW17/YHHistoricalPricesAdjusted!AW16-1,  "")</f>
        <v>4.4237234890895261E-2</v>
      </c>
      <c r="AX17" s="37">
        <f>IFERROR(YHHistoricalPricesAdjusted!AX17/YHHistoricalPricesAdjusted!AX16-1,  "")</f>
        <v>4.5914073627607355E-2</v>
      </c>
      <c r="AY17" s="37">
        <f>IFERROR(YHHistoricalPricesAdjusted!AY17/YHHistoricalPricesAdjusted!AY16-1,  "")</f>
        <v>4.3013341445564457E-2</v>
      </c>
      <c r="AZ17" s="37">
        <f>IFERROR(YHHistoricalPricesAdjusted!AZ17/YHHistoricalPricesAdjusted!AZ16-1,  "")</f>
        <v>2.6164057562933829E-2</v>
      </c>
      <c r="BA17" s="37">
        <f>IFERROR(YHHistoricalPricesAdjusted!BA17/YHHistoricalPricesAdjusted!BA16-1,  "")</f>
        <v>6.1593811733158255E-2</v>
      </c>
      <c r="BB17" s="37">
        <f>IFERROR(YHHistoricalPricesAdjusted!BB17/YHHistoricalPricesAdjusted!BB16-1,  "")</f>
        <v>-7.791157802955273E-2</v>
      </c>
      <c r="BC17" s="37">
        <f>IFERROR(YHHistoricalPricesAdjusted!BC17/YHHistoricalPricesAdjusted!BC16-1,  "")</f>
        <v>-0.11924098762582569</v>
      </c>
      <c r="BD17" s="37">
        <f>IFERROR(YHHistoricalPricesAdjusted!BD17/YHHistoricalPricesAdjusted!BD16-1,  "")</f>
        <v>-6.138230798867228E-2</v>
      </c>
      <c r="BE17" s="37">
        <f>IFERROR(YHHistoricalPricesAdjusted!BE17/YHHistoricalPricesAdjusted!BE16-1,  "")</f>
        <v>6.5125104344019302E-3</v>
      </c>
      <c r="BF17" s="37">
        <f>IFERROR(YHHistoricalPricesAdjusted!BF17/YHHistoricalPricesAdjusted!BF16-1,  "")</f>
        <v>-2.4595800974334558E-2</v>
      </c>
      <c r="BG17" s="37">
        <f>IFERROR(YHHistoricalPricesAdjusted!BG17/YHHistoricalPricesAdjusted!BG16-1,  "")</f>
        <v>-4.3403771303940131E-2</v>
      </c>
      <c r="BH17" s="37">
        <f>IFERROR(YHHistoricalPricesAdjusted!BH17/YHHistoricalPricesAdjusted!BH16-1,  "")</f>
        <v>-2.0104600825165964E-3</v>
      </c>
      <c r="BI17" s="37">
        <f>IFERROR(YHHistoricalPricesAdjusted!BI17/YHHistoricalPricesAdjusted!BI16-1,  "")</f>
        <v>-1.5395010891325778E-2</v>
      </c>
      <c r="BJ17" s="37">
        <f>IFERROR(YHHistoricalPricesAdjusted!BJ17/YHHistoricalPricesAdjusted!BJ16-1,  "")</f>
        <v>3.9666128236284681E-2</v>
      </c>
      <c r="BK17" s="37">
        <f>IFERROR(YHHistoricalPricesAdjusted!BK17/YHHistoricalPricesAdjusted!BK16-1,  "")</f>
        <v>-2.8879302102508553E-2</v>
      </c>
      <c r="BL17" s="37">
        <f>IFERROR(YHHistoricalPricesAdjusted!BL17/YHHistoricalPricesAdjusted!BL16-1,  "")</f>
        <v>2.5283641588781824E-2</v>
      </c>
      <c r="BM17" s="37">
        <f>IFERROR(YHHistoricalPricesAdjusted!BM17/YHHistoricalPricesAdjusted!BM16-1,  "")</f>
        <v>1.5092869346025051E-3</v>
      </c>
      <c r="BN17" s="37">
        <f>IFERROR(YHHistoricalPricesAdjusted!BN17/YHHistoricalPricesAdjusted!BN16-1,  "")</f>
        <v>-1.9863199213530636E-2</v>
      </c>
      <c r="BO17" s="37">
        <f>IFERROR(YHHistoricalPricesAdjusted!BO17/YHHistoricalPricesAdjusted!BO16-1,  "")</f>
        <v>5.3437457174196012E-2</v>
      </c>
      <c r="BP17" s="37">
        <f>IFERROR(YHHistoricalPricesAdjusted!BP17/YHHistoricalPricesAdjusted!BP16-1,  "")</f>
        <v>4.074575879957032E-2</v>
      </c>
      <c r="BQ17" s="37">
        <f>IFERROR(YHHistoricalPricesAdjusted!BQ17/YHHistoricalPricesAdjusted!BQ16-1,  "")</f>
        <v>1.2484103144617231E-2</v>
      </c>
      <c r="BR17" s="37">
        <f>IFERROR(YHHistoricalPricesAdjusted!BR17/YHHistoricalPricesAdjusted!BR16-1,  "")</f>
        <v>2.3048426423690316E-2</v>
      </c>
      <c r="BS17" s="37">
        <f>IFERROR(YHHistoricalPricesAdjusted!BS17/YHHistoricalPricesAdjusted!BS16-1,  "")</f>
        <v>5.4759618803651211E-2</v>
      </c>
      <c r="BT17" s="37">
        <f>IFERROR(YHHistoricalPricesAdjusted!BT17/YHHistoricalPricesAdjusted!BT16-1,  "")</f>
        <v>4.3218553913360047E-4</v>
      </c>
      <c r="BU17" s="37">
        <f>IFERROR(YHHistoricalPricesAdjusted!BU17/YHHistoricalPricesAdjusted!BU16-1,  "")</f>
        <v>-4.4396457363460762E-2</v>
      </c>
      <c r="BV17" s="37">
        <f>IFERROR(YHHistoricalPricesAdjusted!BV17/YHHistoricalPricesAdjusted!BV16-1,  "")</f>
        <v>-1.4394014844496872E-2</v>
      </c>
      <c r="BW17" s="37">
        <f>IFERROR(YHHistoricalPricesAdjusted!BW17/YHHistoricalPricesAdjusted!BW16-1,  "")</f>
        <v>3.4095509228656562E-2</v>
      </c>
      <c r="BX17" s="37">
        <f>IFERROR(YHHistoricalPricesAdjusted!BX17/YHHistoricalPricesAdjusted!BX16-1,  "")</f>
        <v>-1.7658262429206539E-2</v>
      </c>
      <c r="BY17" s="37">
        <f>IFERROR(YHHistoricalPricesAdjusted!BY17/YHHistoricalPricesAdjusted!BY16-1,  "")</f>
        <v>-9.528810649851116E-2</v>
      </c>
      <c r="BZ17" s="37">
        <f>IFERROR(YHHistoricalPricesAdjusted!BZ17/YHHistoricalPricesAdjusted!BZ16-1,  "")</f>
        <v>-2.547313010918939E-2</v>
      </c>
      <c r="CA17" s="37">
        <f>IFERROR(YHHistoricalPricesAdjusted!CA17/YHHistoricalPricesAdjusted!CA16-1,  "")</f>
        <v>-8.172891657229131E-2</v>
      </c>
      <c r="CB17" s="37">
        <f>IFERROR(YHHistoricalPricesAdjusted!CB17/YHHistoricalPricesAdjusted!CB16-1,  "")</f>
        <v>-9.2183722105313448E-3</v>
      </c>
      <c r="CC17" s="37">
        <f>IFERROR(YHHistoricalPricesAdjusted!CC17/YHHistoricalPricesAdjusted!CC16-1,  "")</f>
        <v>3.1267436498336298E-2</v>
      </c>
      <c r="CD17" s="37">
        <f>IFERROR(YHHistoricalPricesAdjusted!CD17/YHHistoricalPricesAdjusted!CD16-1,  "")</f>
        <v>-7.6361717252266814E-3</v>
      </c>
      <c r="CE17" s="37">
        <f>IFERROR(YHHistoricalPricesAdjusted!CE17/YHHistoricalPricesAdjusted!CE16-1,  "")</f>
        <v>3.2512652975593248E-2</v>
      </c>
      <c r="CF17" s="37">
        <f>IFERROR(YHHistoricalPricesAdjusted!CF17/YHHistoricalPricesAdjusted!CF16-1,  "")</f>
        <v>0.10397299239222302</v>
      </c>
    </row>
    <row r="18" spans="1:84" x14ac:dyDescent="0.25">
      <c r="A18" s="17">
        <v>41790</v>
      </c>
      <c r="B18" s="37">
        <f>IFERROR(YHHistoricalPricesAdjusted!B18/YHHistoricalPricesAdjusted!B17-1,  "")</f>
        <v>7.2717720875126846E-2</v>
      </c>
      <c r="C18" s="37">
        <f>IFERROR(YHHistoricalPricesAdjusted!C18/YHHistoricalPricesAdjusted!C17-1,  "")</f>
        <v>-3.7188279280255809E-3</v>
      </c>
      <c r="D18" s="37">
        <f>IFERROR(YHHistoricalPricesAdjusted!D18/YHHistoricalPricesAdjusted!D17-1,  "")</f>
        <v>-6.1637651017321105E-2</v>
      </c>
      <c r="E18" s="37">
        <f>IFERROR(YHHistoricalPricesAdjusted!E18/YHHistoricalPricesAdjusted!E17-1,  "")</f>
        <v>5.8860901751129902E-2</v>
      </c>
      <c r="F18" s="37">
        <f>IFERROR(YHHistoricalPricesAdjusted!F18/YHHistoricalPricesAdjusted!F17-1,  "")</f>
        <v>4.9307986251378999E-4</v>
      </c>
      <c r="G18" s="37">
        <f>IFERROR(YHHistoricalPricesAdjusted!G18/YHHistoricalPricesAdjusted!G17-1,  "")</f>
        <v>-3.6884155662185059E-2</v>
      </c>
      <c r="H18" s="37">
        <f>IFERROR(YHHistoricalPricesAdjusted!H18/YHHistoricalPricesAdjusted!H17-1,  "")</f>
        <v>2.9420071431545125E-3</v>
      </c>
      <c r="I18" s="37">
        <f>IFERROR(YHHistoricalPricesAdjusted!I18/YHHistoricalPricesAdjusted!I17-1,  "")</f>
        <v>2.4544973203082243E-2</v>
      </c>
      <c r="J18" s="37">
        <f>IFERROR(YHHistoricalPricesAdjusted!J18/YHHistoricalPricesAdjusted!J17-1,  "")</f>
        <v>-2.1857076599522074E-2</v>
      </c>
      <c r="K18" s="37">
        <f>IFERROR(YHHistoricalPricesAdjusted!K18/YHHistoricalPricesAdjusted!K17-1,  "")</f>
        <v>4.3257721060416143E-2</v>
      </c>
      <c r="L18" s="37">
        <f>IFERROR(YHHistoricalPricesAdjusted!L18/YHHistoricalPricesAdjusted!L17-1,  "")</f>
        <v>2.9420071431545125E-3</v>
      </c>
      <c r="M18" s="37">
        <f>IFERROR(YHHistoricalPricesAdjusted!M18/YHHistoricalPricesAdjusted!M17-1,  "")</f>
        <v>2.8408337833130126E-2</v>
      </c>
      <c r="N18" s="37">
        <f>IFERROR(YHHistoricalPricesAdjusted!N18/YHHistoricalPricesAdjusted!N17-1,  "")</f>
        <v>5.6456590080368851E-2</v>
      </c>
      <c r="O18" s="37">
        <f>IFERROR(YHHistoricalPricesAdjusted!O18/YHHistoricalPricesAdjusted!O17-1,  "")</f>
        <v>-5.7720429350716085E-4</v>
      </c>
      <c r="P18" s="37">
        <f>IFERROR(YHHistoricalPricesAdjusted!P18/YHHistoricalPricesAdjusted!P17-1,  "")</f>
        <v>-1.8357462164061644E-2</v>
      </c>
      <c r="Q18" s="37">
        <f>IFERROR(YHHistoricalPricesAdjusted!Q18/YHHistoricalPricesAdjusted!Q17-1,  "")</f>
        <v>-2.174964355649478E-2</v>
      </c>
      <c r="R18" s="37">
        <f>IFERROR(YHHistoricalPricesAdjusted!R18/YHHistoricalPricesAdjusted!R17-1,  "")</f>
        <v>2.3869009967882215E-2</v>
      </c>
      <c r="S18" s="37">
        <f>IFERROR(YHHistoricalPricesAdjusted!S18/YHHistoricalPricesAdjusted!S17-1,  "")</f>
        <v>0.13553347298224194</v>
      </c>
      <c r="T18" s="37">
        <f>IFERROR(YHHistoricalPricesAdjusted!T18/YHHistoricalPricesAdjusted!T17-1,  "")</f>
        <v>7.5111597722519186E-3</v>
      </c>
      <c r="U18" s="37">
        <f>IFERROR(YHHistoricalPricesAdjusted!U18/YHHistoricalPricesAdjusted!U17-1,  "")</f>
        <v>3.2070488883531478E-2</v>
      </c>
      <c r="V18" s="37">
        <f>IFERROR(YHHistoricalPricesAdjusted!V18/YHHistoricalPricesAdjusted!V17-1,  "")</f>
        <v>0.10489062569229812</v>
      </c>
      <c r="W18" s="37">
        <f>IFERROR(YHHistoricalPricesAdjusted!W18/YHHistoricalPricesAdjusted!W17-1,  "")</f>
        <v>-9.991322276976522E-4</v>
      </c>
      <c r="X18" s="37">
        <f>IFERROR(YHHistoricalPricesAdjusted!X18/YHHistoricalPricesAdjusted!X17-1,  "")</f>
        <v>-2.0584866484485764E-2</v>
      </c>
      <c r="Y18" s="37">
        <f>IFERROR(YHHistoricalPricesAdjusted!Y18/YHHistoricalPricesAdjusted!Y17-1,  "")</f>
        <v>1.6784040971098424E-3</v>
      </c>
      <c r="Z18" s="37">
        <f>IFERROR(YHHistoricalPricesAdjusted!Z18/YHHistoricalPricesAdjusted!Z17-1,  "")</f>
        <v>-5.2749607943125998E-2</v>
      </c>
      <c r="AA18" s="37">
        <f>IFERROR(YHHistoricalPricesAdjusted!AA18/YHHistoricalPricesAdjusted!AA17-1,  "")</f>
        <v>-1.1953548704748629E-2</v>
      </c>
      <c r="AB18" s="37">
        <f>IFERROR(YHHistoricalPricesAdjusted!AB18/YHHistoricalPricesAdjusted!AB17-1,  "")</f>
        <v>6.1167431931257843E-2</v>
      </c>
      <c r="AC18" s="37">
        <f>IFERROR(YHHistoricalPricesAdjusted!AC18/YHHistoricalPricesAdjusted!AC17-1,  "")</f>
        <v>1.9038514594825751E-2</v>
      </c>
      <c r="AD18" s="37">
        <f>IFERROR(YHHistoricalPricesAdjusted!AD18/YHHistoricalPricesAdjusted!AD17-1,  "")</f>
        <v>9.512163743104507E-2</v>
      </c>
      <c r="AE18" s="37">
        <f>IFERROR(YHHistoricalPricesAdjusted!AE18/YHHistoricalPricesAdjusted!AE17-1,  "")</f>
        <v>-4.2695769569127684E-2</v>
      </c>
      <c r="AF18" s="37">
        <f>IFERROR(YHHistoricalPricesAdjusted!AF18/YHHistoricalPricesAdjusted!AF17-1,  "")</f>
        <v>-5.1544564202891996E-2</v>
      </c>
      <c r="AG18" s="37">
        <f>IFERROR(YHHistoricalPricesAdjusted!AG18/YHHistoricalPricesAdjusted!AG17-1,  "")</f>
        <v>3.5285855273750943E-2</v>
      </c>
      <c r="AH18" s="37">
        <f>IFERROR(YHHistoricalPricesAdjusted!AH18/YHHistoricalPricesAdjusted!AH17-1,  "")</f>
        <v>9.0555458107477449E-3</v>
      </c>
      <c r="AI18" s="37">
        <f>IFERROR(YHHistoricalPricesAdjusted!AI18/YHHistoricalPricesAdjusted!AI17-1,  "")</f>
        <v>6.369753214479501E-2</v>
      </c>
      <c r="AJ18" s="37">
        <f>IFERROR(YHHistoricalPricesAdjusted!AJ18/YHHistoricalPricesAdjusted!AJ17-1,  "")</f>
        <v>3.2539639911060902E-2</v>
      </c>
      <c r="AK18" s="37">
        <f>IFERROR(YHHistoricalPricesAdjusted!AK18/YHHistoricalPricesAdjusted!AK17-1,  "")</f>
        <v>3.6304998207253636E-2</v>
      </c>
      <c r="AL18" s="37">
        <f>IFERROR(YHHistoricalPricesAdjusted!AL18/YHHistoricalPricesAdjusted!AL17-1,  "")</f>
        <v>0.1563041949903119</v>
      </c>
      <c r="AM18" s="37">
        <f>IFERROR(YHHistoricalPricesAdjusted!AM18/YHHistoricalPricesAdjusted!AM17-1,  "")</f>
        <v>0.13114019704644275</v>
      </c>
      <c r="AN18" s="37">
        <f>IFERROR(YHHistoricalPricesAdjusted!AN18/YHHistoricalPricesAdjusted!AN17-1,  "")</f>
        <v>8.6709302252097942E-2</v>
      </c>
      <c r="AO18" s="37">
        <f>IFERROR(YHHistoricalPricesAdjusted!AO18/YHHistoricalPricesAdjusted!AO17-1,  "")</f>
        <v>4.6421340238121278E-2</v>
      </c>
      <c r="AP18" s="37">
        <f>IFERROR(YHHistoricalPricesAdjusted!AP18/YHHistoricalPricesAdjusted!AP17-1,  "")</f>
        <v>-2.5947553926628175E-2</v>
      </c>
      <c r="AQ18" s="37">
        <f>IFERROR(YHHistoricalPricesAdjusted!AQ18/YHHistoricalPricesAdjusted!AQ17-1,  "")</f>
        <v>9.7472471414242756E-2</v>
      </c>
      <c r="AR18" s="37">
        <f>IFERROR(YHHistoricalPricesAdjusted!AR18/YHHistoricalPricesAdjusted!AR17-1,  "")</f>
        <v>-2.6349784215969896E-3</v>
      </c>
      <c r="AS18" s="37">
        <f>IFERROR(YHHistoricalPricesAdjusted!AS18/YHHistoricalPricesAdjusted!AS17-1,  "")</f>
        <v>-1.9555675899249003E-2</v>
      </c>
      <c r="AT18" s="37">
        <f>IFERROR(YHHistoricalPricesAdjusted!AT18/YHHistoricalPricesAdjusted!AT17-1,  "")</f>
        <v>1.1558388657366025E-2</v>
      </c>
      <c r="AU18" s="37">
        <f>IFERROR(YHHistoricalPricesAdjusted!AU18/YHHistoricalPricesAdjusted!AU17-1,  "")</f>
        <v>6.7647767374944934E-2</v>
      </c>
      <c r="AV18" s="37">
        <f>IFERROR(YHHistoricalPricesAdjusted!AV18/YHHistoricalPricesAdjusted!AV17-1,  "")</f>
        <v>-1.3230628444124704E-2</v>
      </c>
      <c r="AW18" s="37">
        <f>IFERROR(YHHistoricalPricesAdjusted!AW18/YHHistoricalPricesAdjusted!AW17-1,  "")</f>
        <v>-2.4937344204737144E-2</v>
      </c>
      <c r="AX18" s="37">
        <f>IFERROR(YHHistoricalPricesAdjusted!AX18/YHHistoricalPricesAdjusted!AX17-1,  "")</f>
        <v>-4.5777988469486997E-2</v>
      </c>
      <c r="AY18" s="37">
        <f>IFERROR(YHHistoricalPricesAdjusted!AY18/YHHistoricalPricesAdjusted!AY17-1,  "")</f>
        <v>-4.4730757244916264E-2</v>
      </c>
      <c r="AZ18" s="37">
        <f>IFERROR(YHHistoricalPricesAdjusted!AZ18/YHHistoricalPricesAdjusted!AZ17-1,  "")</f>
        <v>1.7645328509584557E-2</v>
      </c>
      <c r="BA18" s="37">
        <f>IFERROR(YHHistoricalPricesAdjusted!BA18/YHHistoricalPricesAdjusted!BA17-1,  "")</f>
        <v>-2.5850602237992737E-2</v>
      </c>
      <c r="BB18" s="37">
        <f>IFERROR(YHHistoricalPricesAdjusted!BB18/YHHistoricalPricesAdjusted!BB17-1,  "")</f>
        <v>-1.067102167236933E-3</v>
      </c>
      <c r="BC18" s="37">
        <f>IFERROR(YHHistoricalPricesAdjusted!BC18/YHHistoricalPricesAdjusted!BC17-1,  "")</f>
        <v>0</v>
      </c>
      <c r="BD18" s="37">
        <f>IFERROR(YHHistoricalPricesAdjusted!BD18/YHHistoricalPricesAdjusted!BD17-1,  "")</f>
        <v>6.0312961054268754E-2</v>
      </c>
      <c r="BE18" s="37">
        <f>IFERROR(YHHistoricalPricesAdjusted!BE18/YHHistoricalPricesAdjusted!BE17-1,  "")</f>
        <v>-7.096331489744867E-3</v>
      </c>
      <c r="BF18" s="37">
        <f>IFERROR(YHHistoricalPricesAdjusted!BF18/YHHistoricalPricesAdjusted!BF17-1,  "")</f>
        <v>-6.2453902207604273E-5</v>
      </c>
      <c r="BG18" s="37">
        <f>IFERROR(YHHistoricalPricesAdjusted!BG18/YHHistoricalPricesAdjusted!BG17-1,  "")</f>
        <v>3.4575643229722841E-2</v>
      </c>
      <c r="BH18" s="37">
        <f>IFERROR(YHHistoricalPricesAdjusted!BH18/YHHistoricalPricesAdjusted!BH17-1,  "")</f>
        <v>2.2965181435373294E-2</v>
      </c>
      <c r="BI18" s="37">
        <f>IFERROR(YHHistoricalPricesAdjusted!BI18/YHHistoricalPricesAdjusted!BI17-1,  "")</f>
        <v>4.1015484698376348E-2</v>
      </c>
      <c r="BJ18" s="37">
        <f>IFERROR(YHHistoricalPricesAdjusted!BJ18/YHHistoricalPricesAdjusted!BJ17-1,  "")</f>
        <v>4.7937943215998313E-2</v>
      </c>
      <c r="BK18" s="37">
        <f>IFERROR(YHHistoricalPricesAdjusted!BK18/YHHistoricalPricesAdjusted!BK17-1,  "")</f>
        <v>4.9198290103282583E-2</v>
      </c>
      <c r="BL18" s="37">
        <f>IFERROR(YHHistoricalPricesAdjusted!BL18/YHHistoricalPricesAdjusted!BL17-1,  "")</f>
        <v>2.4876155660835453E-2</v>
      </c>
      <c r="BM18" s="37">
        <f>IFERROR(YHHistoricalPricesAdjusted!BM18/YHHistoricalPricesAdjusted!BM17-1,  "")</f>
        <v>2.6909449670116103E-3</v>
      </c>
      <c r="BN18" s="37">
        <f>IFERROR(YHHistoricalPricesAdjusted!BN18/YHHistoricalPricesAdjusted!BN17-1,  "")</f>
        <v>6.881996974034621E-2</v>
      </c>
      <c r="BO18" s="37">
        <f>IFERROR(YHHistoricalPricesAdjusted!BO18/YHHistoricalPricesAdjusted!BO17-1,  "")</f>
        <v>1.5487475713938492E-2</v>
      </c>
      <c r="BP18" s="37">
        <f>IFERROR(YHHistoricalPricesAdjusted!BP18/YHHistoricalPricesAdjusted!BP17-1,  "")</f>
        <v>2.1178236162013864E-2</v>
      </c>
      <c r="BQ18" s="37">
        <f>IFERROR(YHHistoricalPricesAdjusted!BQ18/YHHistoricalPricesAdjusted!BQ17-1,  "")</f>
        <v>1.3788353365463024E-2</v>
      </c>
      <c r="BR18" s="37">
        <f>IFERROR(YHHistoricalPricesAdjusted!BR18/YHHistoricalPricesAdjusted!BR17-1,  "")</f>
        <v>3.2411497198820527E-2</v>
      </c>
      <c r="BS18" s="37">
        <f>IFERROR(YHHistoricalPricesAdjusted!BS18/YHHistoricalPricesAdjusted!BS17-1,  "")</f>
        <v>9.6704763277511763E-2</v>
      </c>
      <c r="BT18" s="37">
        <f>IFERROR(YHHistoricalPricesAdjusted!BT18/YHHistoricalPricesAdjusted!BT17-1,  "")</f>
        <v>6.9988491647796858E-2</v>
      </c>
      <c r="BU18" s="37">
        <f>IFERROR(YHHistoricalPricesAdjusted!BU18/YHHistoricalPricesAdjusted!BU17-1,  "")</f>
        <v>-5.4103336306875693E-2</v>
      </c>
      <c r="BV18" s="37">
        <f>IFERROR(YHHistoricalPricesAdjusted!BV18/YHHistoricalPricesAdjusted!BV17-1,  "")</f>
        <v>1.3366190434612513E-2</v>
      </c>
      <c r="BW18" s="37">
        <f>IFERROR(YHHistoricalPricesAdjusted!BW18/YHHistoricalPricesAdjusted!BW17-1,  "")</f>
        <v>2.3604141353888997E-2</v>
      </c>
      <c r="BX18" s="37">
        <f>IFERROR(YHHistoricalPricesAdjusted!BX18/YHHistoricalPricesAdjusted!BX17-1,  "")</f>
        <v>8.1027236847670769E-2</v>
      </c>
      <c r="BY18" s="37">
        <f>IFERROR(YHHistoricalPricesAdjusted!BY18/YHHistoricalPricesAdjusted!BY17-1,  "")</f>
        <v>1.8973842440509481E-2</v>
      </c>
      <c r="BZ18" s="37">
        <f>IFERROR(YHHistoricalPricesAdjusted!BZ18/YHHistoricalPricesAdjusted!BZ17-1,  "")</f>
        <v>4.9398773279719865E-2</v>
      </c>
      <c r="CA18" s="37">
        <f>IFERROR(YHHistoricalPricesAdjusted!CA18/YHHistoricalPricesAdjusted!CA17-1,  "")</f>
        <v>3.0215764431006598E-2</v>
      </c>
      <c r="CB18" s="37">
        <f>IFERROR(YHHistoricalPricesAdjusted!CB18/YHHistoricalPricesAdjusted!CB17-1,  "")</f>
        <v>-3.7478719367808111E-2</v>
      </c>
      <c r="CC18" s="37">
        <f>IFERROR(YHHistoricalPricesAdjusted!CC18/YHHistoricalPricesAdjusted!CC17-1,  "")</f>
        <v>2.8695199105631897E-2</v>
      </c>
      <c r="CD18" s="37">
        <f>IFERROR(YHHistoricalPricesAdjusted!CD18/YHHistoricalPricesAdjusted!CD17-1,  "")</f>
        <v>5.8882570406199042E-2</v>
      </c>
      <c r="CE18" s="37">
        <f>IFERROR(YHHistoricalPricesAdjusted!CE18/YHHistoricalPricesAdjusted!CE17-1,  "")</f>
        <v>1.3308988888789397E-2</v>
      </c>
      <c r="CF18" s="37">
        <f>IFERROR(YHHistoricalPricesAdjusted!CF18/YHHistoricalPricesAdjusted!CF17-1,  "")</f>
        <v>9.4563510927890171E-2</v>
      </c>
    </row>
    <row r="19" spans="1:84" x14ac:dyDescent="0.25">
      <c r="A19" s="17">
        <v>41820</v>
      </c>
      <c r="B19" s="37">
        <f>IFERROR(YHHistoricalPricesAdjusted!B19/YHHistoricalPricesAdjusted!B18-1,  "")</f>
        <v>6.9234258257668824E-2</v>
      </c>
      <c r="C19" s="37">
        <f>IFERROR(YHHistoricalPricesAdjusted!C19/YHHistoricalPricesAdjusted!C18-1,  "")</f>
        <v>-1.9037016033211063E-2</v>
      </c>
      <c r="D19" s="37">
        <f>IFERROR(YHHistoricalPricesAdjusted!D19/YHHistoricalPricesAdjusted!D18-1,  "")</f>
        <v>-1.1036025951157824E-2</v>
      </c>
      <c r="E19" s="37">
        <f>IFERROR(YHHistoricalPricesAdjusted!E19/YHHistoricalPricesAdjusted!E18-1,  "")</f>
        <v>2.0592596800283802E-2</v>
      </c>
      <c r="F19" s="37">
        <f>IFERROR(YHHistoricalPricesAdjusted!F19/YHHistoricalPricesAdjusted!F18-1,  "")</f>
        <v>1.2029207578925227E-3</v>
      </c>
      <c r="G19" s="37">
        <f>IFERROR(YHHistoricalPricesAdjusted!G19/YHHistoricalPricesAdjusted!G18-1,  "")</f>
        <v>-1.6089701300709858E-2</v>
      </c>
      <c r="H19" s="37">
        <f>IFERROR(YHHistoricalPricesAdjusted!H19/YHHistoricalPricesAdjusted!H18-1,  "")</f>
        <v>3.5443834319934586E-2</v>
      </c>
      <c r="I19" s="37">
        <f>IFERROR(YHHistoricalPricesAdjusted!I19/YHHistoricalPricesAdjusted!I18-1,  "")</f>
        <v>1.9755210975815896E-2</v>
      </c>
      <c r="J19" s="37">
        <f>IFERROR(YHHistoricalPricesAdjusted!J19/YHHistoricalPricesAdjusted!J18-1,  "")</f>
        <v>-1.6574609755489855E-2</v>
      </c>
      <c r="K19" s="37">
        <f>IFERROR(YHHistoricalPricesAdjusted!K19/YHHistoricalPricesAdjusted!K18-1,  "")</f>
        <v>5.7908385706311183E-2</v>
      </c>
      <c r="L19" s="37">
        <f>IFERROR(YHHistoricalPricesAdjusted!L19/YHHistoricalPricesAdjusted!L18-1,  "")</f>
        <v>3.5443834319934586E-2</v>
      </c>
      <c r="M19" s="37">
        <f>IFERROR(YHHistoricalPricesAdjusted!M19/YHHistoricalPricesAdjusted!M18-1,  "")</f>
        <v>1.1434277961038797E-2</v>
      </c>
      <c r="N19" s="37">
        <f>IFERROR(YHHistoricalPricesAdjusted!N19/YHHistoricalPricesAdjusted!N18-1,  "")</f>
        <v>-5.4008299180139385E-3</v>
      </c>
      <c r="O19" s="37">
        <f>IFERROR(YHHistoricalPricesAdjusted!O19/YHHistoricalPricesAdjusted!O18-1,  "")</f>
        <v>0.15541220281249069</v>
      </c>
      <c r="P19" s="37">
        <f>IFERROR(YHHistoricalPricesAdjusted!P19/YHHistoricalPricesAdjusted!P18-1,  "")</f>
        <v>8.291441364209895E-3</v>
      </c>
      <c r="Q19" s="37">
        <f>IFERROR(YHHistoricalPricesAdjusted!Q19/YHHistoricalPricesAdjusted!Q18-1,  "")</f>
        <v>7.227301813757947E-2</v>
      </c>
      <c r="R19" s="37">
        <f>IFERROR(YHHistoricalPricesAdjusted!R19/YHHistoricalPricesAdjusted!R18-1,  "")</f>
        <v>1.402572241933675E-2</v>
      </c>
      <c r="S19" s="37">
        <f>IFERROR(YHHistoricalPricesAdjusted!S19/YHHistoricalPricesAdjusted!S18-1,  "")</f>
        <v>3.7690285951207381E-2</v>
      </c>
      <c r="T19" s="37">
        <f>IFERROR(YHHistoricalPricesAdjusted!T19/YHHistoricalPricesAdjusted!T18-1,  "")</f>
        <v>5.0574301442497305E-2</v>
      </c>
      <c r="U19" s="37">
        <f>IFERROR(YHHistoricalPricesAdjusted!U19/YHHistoricalPricesAdjusted!U18-1,  "")</f>
        <v>3.3386248139414709E-2</v>
      </c>
      <c r="V19" s="37">
        <f>IFERROR(YHHistoricalPricesAdjusted!V19/YHHistoricalPricesAdjusted!V18-1,  "")</f>
        <v>2.371756655704127E-2</v>
      </c>
      <c r="W19" s="37">
        <f>IFERROR(YHHistoricalPricesAdjusted!W19/YHHistoricalPricesAdjusted!W18-1,  "")</f>
        <v>-1.0802003818728312E-2</v>
      </c>
      <c r="X19" s="37">
        <f>IFERROR(YHHistoricalPricesAdjusted!X19/YHHistoricalPricesAdjusted!X18-1,  "")</f>
        <v>-4.4494749178027426E-2</v>
      </c>
      <c r="Y19" s="37">
        <f>IFERROR(YHHistoricalPricesAdjusted!Y19/YHHistoricalPricesAdjusted!Y18-1,  "")</f>
        <v>3.8331796416781083E-2</v>
      </c>
      <c r="Z19" s="37">
        <f>IFERROR(YHHistoricalPricesAdjusted!Z19/YHHistoricalPricesAdjusted!Z18-1,  "")</f>
        <v>1.0615985264669003E-2</v>
      </c>
      <c r="AA19" s="37">
        <f>IFERROR(YHHistoricalPricesAdjusted!AA19/YHHistoricalPricesAdjusted!AA18-1,  "")</f>
        <v>-1.7293312574295783E-4</v>
      </c>
      <c r="AB19" s="37">
        <f>IFERROR(YHHistoricalPricesAdjusted!AB19/YHHistoricalPricesAdjusted!AB18-1,  "")</f>
        <v>2.6623439827047957E-2</v>
      </c>
      <c r="AC19" s="37">
        <f>IFERROR(YHHistoricalPricesAdjusted!AC19/YHHistoricalPricesAdjusted!AC18-1,  "")</f>
        <v>6.3974287082708914E-2</v>
      </c>
      <c r="AD19" s="37">
        <f>IFERROR(YHHistoricalPricesAdjusted!AD19/YHHistoricalPricesAdjusted!AD18-1,  "")</f>
        <v>6.9706657238819192E-2</v>
      </c>
      <c r="AE19" s="37">
        <f>IFERROR(YHHistoricalPricesAdjusted!AE19/YHHistoricalPricesAdjusted!AE18-1,  "")</f>
        <v>-7.5725925960432927E-2</v>
      </c>
      <c r="AF19" s="37">
        <f>IFERROR(YHHistoricalPricesAdjusted!AF19/YHHistoricalPricesAdjusted!AF18-1,  "")</f>
        <v>0.31631315640779833</v>
      </c>
      <c r="AG19" s="37">
        <f>IFERROR(YHHistoricalPricesAdjusted!AG19/YHHistoricalPricesAdjusted!AG18-1,  "")</f>
        <v>5.4666597028540043E-2</v>
      </c>
      <c r="AH19" s="37">
        <f>IFERROR(YHHistoricalPricesAdjusted!AH19/YHHistoricalPricesAdjusted!AH18-1,  "")</f>
        <v>9.0989294956360656E-3</v>
      </c>
      <c r="AI19" s="37">
        <f>IFERROR(YHHistoricalPricesAdjusted!AI19/YHHistoricalPricesAdjusted!AI18-1,  "")</f>
        <v>4.3791516060973423E-2</v>
      </c>
      <c r="AJ19" s="37">
        <f>IFERROR(YHHistoricalPricesAdjusted!AJ19/YHHistoricalPricesAdjusted!AJ18-1,  "")</f>
        <v>7.6684066092221448E-2</v>
      </c>
      <c r="AK19" s="37">
        <f>IFERROR(YHHistoricalPricesAdjusted!AK19/YHHistoricalPricesAdjusted!AK18-1,  "")</f>
        <v>2.9190497202991716E-2</v>
      </c>
      <c r="AL19" s="37">
        <f>IFERROR(YHHistoricalPricesAdjusted!AL19/YHHistoricalPricesAdjusted!AL18-1,  "")</f>
        <v>4.2964974556205071E-2</v>
      </c>
      <c r="AM19" s="37">
        <f>IFERROR(YHHistoricalPricesAdjusted!AM19/YHHistoricalPricesAdjusted!AM18-1,  "")</f>
        <v>0</v>
      </c>
      <c r="AN19" s="37">
        <f>IFERROR(YHHistoricalPricesAdjusted!AN19/YHHistoricalPricesAdjusted!AN18-1,  "")</f>
        <v>-2.943073420410891E-3</v>
      </c>
      <c r="AO19" s="37">
        <f>IFERROR(YHHistoricalPricesAdjusted!AO19/YHHistoricalPricesAdjusted!AO18-1,  "")</f>
        <v>1.1541401946402186E-3</v>
      </c>
      <c r="AP19" s="37">
        <f>IFERROR(YHHistoricalPricesAdjusted!AP19/YHHistoricalPricesAdjusted!AP18-1,  "")</f>
        <v>8.8334849549607242E-3</v>
      </c>
      <c r="AQ19" s="37">
        <f>IFERROR(YHHistoricalPricesAdjusted!AQ19/YHHistoricalPricesAdjusted!AQ18-1,  "")</f>
        <v>8.3021039972275057E-2</v>
      </c>
      <c r="AR19" s="37">
        <f>IFERROR(YHHistoricalPricesAdjusted!AR19/YHHistoricalPricesAdjusted!AR18-1,  "")</f>
        <v>0.10513554473004261</v>
      </c>
      <c r="AS19" s="37">
        <f>IFERROR(YHHistoricalPricesAdjusted!AS19/YHHistoricalPricesAdjusted!AS18-1,  "")</f>
        <v>0.10531216645317842</v>
      </c>
      <c r="AT19" s="37">
        <f>IFERROR(YHHistoricalPricesAdjusted!AT19/YHHistoricalPricesAdjusted!AT18-1,  "")</f>
        <v>3.9431980049625448E-2</v>
      </c>
      <c r="AU19" s="37">
        <f>IFERROR(YHHistoricalPricesAdjusted!AU19/YHHistoricalPricesAdjusted!AU18-1,  "")</f>
        <v>2.4046157519415523E-2</v>
      </c>
      <c r="AV19" s="37">
        <f>IFERROR(YHHistoricalPricesAdjusted!AV19/YHHistoricalPricesAdjusted!AV18-1,  "")</f>
        <v>6.424413812575791E-2</v>
      </c>
      <c r="AW19" s="37">
        <f>IFERROR(YHHistoricalPricesAdjusted!AW19/YHHistoricalPricesAdjusted!AW18-1,  "")</f>
        <v>6.0485351517989061E-2</v>
      </c>
      <c r="AX19" s="37">
        <f>IFERROR(YHHistoricalPricesAdjusted!AX19/YHHistoricalPricesAdjusted!AX18-1,  "")</f>
        <v>5.5229870901078337E-2</v>
      </c>
      <c r="AY19" s="37">
        <f>IFERROR(YHHistoricalPricesAdjusted!AY19/YHHistoricalPricesAdjusted!AY18-1,  "")</f>
        <v>4.855806291266207E-2</v>
      </c>
      <c r="AZ19" s="37">
        <f>IFERROR(YHHistoricalPricesAdjusted!AZ19/YHHistoricalPricesAdjusted!AZ18-1,  "")</f>
        <v>4.344805883159375E-2</v>
      </c>
      <c r="BA19" s="37">
        <f>IFERROR(YHHistoricalPricesAdjusted!BA19/YHHistoricalPricesAdjusted!BA18-1,  "")</f>
        <v>2.2989740140981985E-2</v>
      </c>
      <c r="BB19" s="37">
        <f>IFERROR(YHHistoricalPricesAdjusted!BB19/YHHistoricalPricesAdjusted!BB18-1,  "")</f>
        <v>3.6890228847757056E-2</v>
      </c>
      <c r="BC19" s="37">
        <f>IFERROR(YHHistoricalPricesAdjusted!BC19/YHHistoricalPricesAdjusted!BC18-1,  "")</f>
        <v>1.5191562193182406E-2</v>
      </c>
      <c r="BD19" s="37">
        <f>IFERROR(YHHistoricalPricesAdjusted!BD19/YHHistoricalPricesAdjusted!BD18-1,  "")</f>
        <v>-1.1721427382534344E-2</v>
      </c>
      <c r="BE19" s="37">
        <f>IFERROR(YHHistoricalPricesAdjusted!BE19/YHHistoricalPricesAdjusted!BE18-1,  "")</f>
        <v>-9.6735100881346625E-3</v>
      </c>
      <c r="BF19" s="37">
        <f>IFERROR(YHHistoricalPricesAdjusted!BF19/YHHistoricalPricesAdjusted!BF18-1,  "")</f>
        <v>5.1318489105278919E-2</v>
      </c>
      <c r="BG19" s="37">
        <f>IFERROR(YHHistoricalPricesAdjusted!BG19/YHHistoricalPricesAdjusted!BG18-1,  "")</f>
        <v>2.6783821582303302E-2</v>
      </c>
      <c r="BH19" s="37">
        <f>IFERROR(YHHistoricalPricesAdjusted!BH19/YHHistoricalPricesAdjusted!BH18-1,  "")</f>
        <v>4.2485992315155707E-2</v>
      </c>
      <c r="BI19" s="37">
        <f>IFERROR(YHHistoricalPricesAdjusted!BI19/YHHistoricalPricesAdjusted!BI18-1,  "")</f>
        <v>-3.8979615499819098E-2</v>
      </c>
      <c r="BJ19" s="37">
        <f>IFERROR(YHHistoricalPricesAdjusted!BJ19/YHHistoricalPricesAdjusted!BJ18-1,  "")</f>
        <v>1.9569273064138804E-2</v>
      </c>
      <c r="BK19" s="37">
        <f>IFERROR(YHHistoricalPricesAdjusted!BK19/YHHistoricalPricesAdjusted!BK18-1,  "")</f>
        <v>3.6830770155638293E-2</v>
      </c>
      <c r="BL19" s="37">
        <f>IFERROR(YHHistoricalPricesAdjusted!BL19/YHHistoricalPricesAdjusted!BL18-1,  "")</f>
        <v>1.1004760688159809E-2</v>
      </c>
      <c r="BM19" s="37">
        <f>IFERROR(YHHistoricalPricesAdjusted!BM19/YHHistoricalPricesAdjusted!BM18-1,  "")</f>
        <v>2.7900839310452952E-3</v>
      </c>
      <c r="BN19" s="37">
        <f>IFERROR(YHHistoricalPricesAdjusted!BN19/YHHistoricalPricesAdjusted!BN18-1,  "")</f>
        <v>3.8248247752277198E-3</v>
      </c>
      <c r="BO19" s="37">
        <f>IFERROR(YHHistoricalPricesAdjusted!BO19/YHHistoricalPricesAdjusted!BO18-1,  "")</f>
        <v>1.1669248039377633E-2</v>
      </c>
      <c r="BP19" s="37">
        <f>IFERROR(YHHistoricalPricesAdjusted!BP19/YHHistoricalPricesAdjusted!BP18-1,  "")</f>
        <v>3.0562070023493426E-2</v>
      </c>
      <c r="BQ19" s="37">
        <f>IFERROR(YHHistoricalPricesAdjusted!BQ19/YHHistoricalPricesAdjusted!BQ18-1,  "")</f>
        <v>1.3184778414081055E-2</v>
      </c>
      <c r="BR19" s="37">
        <f>IFERROR(YHHistoricalPricesAdjusted!BR19/YHHistoricalPricesAdjusted!BR18-1,  "")</f>
        <v>5.294721283035364E-2</v>
      </c>
      <c r="BS19" s="37">
        <f>IFERROR(YHHistoricalPricesAdjusted!BS19/YHHistoricalPricesAdjusted!BS18-1,  "")</f>
        <v>-1.1813232562212228E-2</v>
      </c>
      <c r="BT19" s="37">
        <f>IFERROR(YHHistoricalPricesAdjusted!BT19/YHHistoricalPricesAdjusted!BT18-1,  "")</f>
        <v>0.10794073588395392</v>
      </c>
      <c r="BU19" s="37">
        <f>IFERROR(YHHistoricalPricesAdjusted!BU19/YHHistoricalPricesAdjusted!BU18-1,  "")</f>
        <v>3.9108960559798289E-2</v>
      </c>
      <c r="BV19" s="37">
        <f>IFERROR(YHHistoricalPricesAdjusted!BV19/YHHistoricalPricesAdjusted!BV18-1,  "")</f>
        <v>2.5749569454883936E-2</v>
      </c>
      <c r="BW19" s="37">
        <f>IFERROR(YHHistoricalPricesAdjusted!BW19/YHHistoricalPricesAdjusted!BW18-1,  "")</f>
        <v>0.14075829411227092</v>
      </c>
      <c r="BX19" s="37">
        <f>IFERROR(YHHistoricalPricesAdjusted!BX19/YHHistoricalPricesAdjusted!BX18-1,  "")</f>
        <v>-2.0616679804401072E-2</v>
      </c>
      <c r="BY19" s="37">
        <f>IFERROR(YHHistoricalPricesAdjusted!BY19/YHHistoricalPricesAdjusted!BY18-1,  "")</f>
        <v>0.10355312362619951</v>
      </c>
      <c r="BZ19" s="37">
        <f>IFERROR(YHHistoricalPricesAdjusted!BZ19/YHHistoricalPricesAdjusted!BZ18-1,  "")</f>
        <v>1.5638600391516766E-2</v>
      </c>
      <c r="CA19" s="37">
        <f>IFERROR(YHHistoricalPricesAdjusted!CA19/YHHistoricalPricesAdjusted!CA18-1,  "")</f>
        <v>0.10275341386180004</v>
      </c>
      <c r="CB19" s="37">
        <f>IFERROR(YHHistoricalPricesAdjusted!CB19/YHHistoricalPricesAdjusted!CB18-1,  "")</f>
        <v>3.2266890358075839E-2</v>
      </c>
      <c r="CC19" s="37">
        <f>IFERROR(YHHistoricalPricesAdjusted!CC19/YHHistoricalPricesAdjusted!CC18-1,  "")</f>
        <v>-1.9716229989217515E-2</v>
      </c>
      <c r="CD19" s="37">
        <f>IFERROR(YHHistoricalPricesAdjusted!CD19/YHHistoricalPricesAdjusted!CD18-1,  "")</f>
        <v>6.3033207946812109E-2</v>
      </c>
      <c r="CE19" s="37">
        <f>IFERROR(YHHistoricalPricesAdjusted!CE19/YHHistoricalPricesAdjusted!CE18-1,  "")</f>
        <v>5.3731879887672918E-3</v>
      </c>
      <c r="CF19" s="37">
        <f>IFERROR(YHHistoricalPricesAdjusted!CF19/YHHistoricalPricesAdjusted!CF18-1,  "")</f>
        <v>0.15250090940888428</v>
      </c>
    </row>
    <row r="20" spans="1:84" x14ac:dyDescent="0.25">
      <c r="A20" s="17">
        <v>41851</v>
      </c>
      <c r="B20" s="37">
        <f>IFERROR(YHHistoricalPricesAdjusted!B20/YHHistoricalPricesAdjusted!B19-1,  "")</f>
        <v>2.8731028196435693E-2</v>
      </c>
      <c r="C20" s="37">
        <f>IFERROR(YHHistoricalPricesAdjusted!C20/YHHistoricalPricesAdjusted!C19-1,  "")</f>
        <v>-3.5104323457323172E-2</v>
      </c>
      <c r="D20" s="37">
        <f>IFERROR(YHHistoricalPricesAdjusted!D20/YHHistoricalPricesAdjusted!D19-1,  "")</f>
        <v>5.7372908972756598E-2</v>
      </c>
      <c r="E20" s="37">
        <f>IFERROR(YHHistoricalPricesAdjusted!E20/YHHistoricalPricesAdjusted!E19-1,  "")</f>
        <v>1.6328188340517524E-3</v>
      </c>
      <c r="F20" s="37">
        <f>IFERROR(YHHistoricalPricesAdjusted!F20/YHHistoricalPricesAdjusted!F19-1,  "")</f>
        <v>-6.134589208589758E-2</v>
      </c>
      <c r="G20" s="37">
        <f>IFERROR(YHHistoricalPricesAdjusted!G20/YHHistoricalPricesAdjusted!G19-1,  "")</f>
        <v>-1.9848007036627813E-2</v>
      </c>
      <c r="H20" s="37">
        <f>IFERROR(YHHistoricalPricesAdjusted!H20/YHHistoricalPricesAdjusted!H19-1,  "")</f>
        <v>-6.5498369227748876E-2</v>
      </c>
      <c r="I20" s="37">
        <f>IFERROR(YHHistoricalPricesAdjusted!I20/YHHistoricalPricesAdjusted!I19-1,  "")</f>
        <v>-9.8091653841019366E-2</v>
      </c>
      <c r="J20" s="37">
        <f>IFERROR(YHHistoricalPricesAdjusted!J20/YHHistoricalPricesAdjusted!J19-1,  "")</f>
        <v>-3.182465733761064E-2</v>
      </c>
      <c r="K20" s="37">
        <f>IFERROR(YHHistoricalPricesAdjusted!K20/YHHistoricalPricesAdjusted!K19-1,  "")</f>
        <v>-1.395632304658323E-2</v>
      </c>
      <c r="L20" s="37">
        <f>IFERROR(YHHistoricalPricesAdjusted!L20/YHHistoricalPricesAdjusted!L19-1,  "")</f>
        <v>-6.5498369227748876E-2</v>
      </c>
      <c r="M20" s="37">
        <f>IFERROR(YHHistoricalPricesAdjusted!M20/YHHistoricalPricesAdjusted!M19-1,  "")</f>
        <v>-6.5032440217742682E-3</v>
      </c>
      <c r="N20" s="37">
        <f>IFERROR(YHHistoricalPricesAdjusted!N20/YHHistoricalPricesAdjusted!N19-1,  "")</f>
        <v>2.9367089317375861E-3</v>
      </c>
      <c r="O20" s="37">
        <f>IFERROR(YHHistoricalPricesAdjusted!O20/YHHistoricalPricesAdjusted!O19-1,  "")</f>
        <v>-6.9815859117019596E-2</v>
      </c>
      <c r="P20" s="37">
        <f>IFERROR(YHHistoricalPricesAdjusted!P20/YHHistoricalPricesAdjusted!P19-1,  "")</f>
        <v>-1.7282427196579131E-2</v>
      </c>
      <c r="Q20" s="37">
        <f>IFERROR(YHHistoricalPricesAdjusted!Q20/YHHistoricalPricesAdjusted!Q19-1,  "")</f>
        <v>-1.0034393356529669E-2</v>
      </c>
      <c r="R20" s="37">
        <f>IFERROR(YHHistoricalPricesAdjusted!R20/YHHistoricalPricesAdjusted!R19-1,  "")</f>
        <v>-3.2862617223884394E-3</v>
      </c>
      <c r="S20" s="37">
        <f>IFERROR(YHHistoricalPricesAdjusted!S20/YHHistoricalPricesAdjusted!S19-1,  "")</f>
        <v>4.3338257531662094E-2</v>
      </c>
      <c r="T20" s="37">
        <f>IFERROR(YHHistoricalPricesAdjusted!T20/YHHistoricalPricesAdjusted!T19-1,  "")</f>
        <v>-2.7908294263778277E-2</v>
      </c>
      <c r="U20" s="37">
        <f>IFERROR(YHHistoricalPricesAdjusted!U20/YHHistoricalPricesAdjusted!U19-1,  "")</f>
        <v>-0.13881887604953935</v>
      </c>
      <c r="V20" s="37">
        <f>IFERROR(YHHistoricalPricesAdjusted!V20/YHHistoricalPricesAdjusted!V19-1,  "")</f>
        <v>-9.3394291686757835E-2</v>
      </c>
      <c r="W20" s="37">
        <f>IFERROR(YHHistoricalPricesAdjusted!W20/YHHistoricalPricesAdjusted!W19-1,  "")</f>
        <v>-6.2842305231216145E-2</v>
      </c>
      <c r="X20" s="37">
        <f>IFERROR(YHHistoricalPricesAdjusted!X20/YHHistoricalPricesAdjusted!X19-1,  "")</f>
        <v>-6.4368677064685187E-2</v>
      </c>
      <c r="Y20" s="37">
        <f>IFERROR(YHHistoricalPricesAdjusted!Y20/YHHistoricalPricesAdjusted!Y19-1,  "")</f>
        <v>-4.3299659308847271E-2</v>
      </c>
      <c r="Z20" s="37">
        <f>IFERROR(YHHistoricalPricesAdjusted!Z20/YHHistoricalPricesAdjusted!Z19-1,  "")</f>
        <v>-3.3018704367579366E-2</v>
      </c>
      <c r="AA20" s="37">
        <f>IFERROR(YHHistoricalPricesAdjusted!AA20/YHHistoricalPricesAdjusted!AA19-1,  "")</f>
        <v>-1.1793950151711807E-2</v>
      </c>
      <c r="AB20" s="37">
        <f>IFERROR(YHHistoricalPricesAdjusted!AB20/YHHistoricalPricesAdjusted!AB19-1,  "")</f>
        <v>-3.9036672867358568E-3</v>
      </c>
      <c r="AC20" s="37">
        <f>IFERROR(YHHistoricalPricesAdjusted!AC20/YHHistoricalPricesAdjusted!AC19-1,  "")</f>
        <v>0.15838940379548161</v>
      </c>
      <c r="AD20" s="37">
        <f>IFERROR(YHHistoricalPricesAdjusted!AD20/YHHistoricalPricesAdjusted!AD19-1,  "")</f>
        <v>0.11319969405207964</v>
      </c>
      <c r="AE20" s="37">
        <f>IFERROR(YHHistoricalPricesAdjusted!AE20/YHHistoricalPricesAdjusted!AE19-1,  "")</f>
        <v>2.7686790093497393E-2</v>
      </c>
      <c r="AF20" s="37">
        <f>IFERROR(YHHistoricalPricesAdjusted!AF20/YHHistoricalPricesAdjusted!AF19-1,  "")</f>
        <v>7.2731742985892023E-3</v>
      </c>
      <c r="AG20" s="37">
        <f>IFERROR(YHHistoricalPricesAdjusted!AG20/YHHistoricalPricesAdjusted!AG19-1,  "")</f>
        <v>-3.9408276882657689E-2</v>
      </c>
      <c r="AH20" s="37">
        <f>IFERROR(YHHistoricalPricesAdjusted!AH20/YHHistoricalPricesAdjusted!AH19-1,  "")</f>
        <v>4.4810005822768506E-3</v>
      </c>
      <c r="AI20" s="37">
        <f>IFERROR(YHHistoricalPricesAdjusted!AI20/YHHistoricalPricesAdjusted!AI19-1,  "")</f>
        <v>9.5163962528235224E-3</v>
      </c>
      <c r="AJ20" s="37">
        <f>IFERROR(YHHistoricalPricesAdjusted!AJ20/YHHistoricalPricesAdjusted!AJ19-1,  "")</f>
        <v>8.3796675534759668E-3</v>
      </c>
      <c r="AK20" s="37">
        <f>IFERROR(YHHistoricalPricesAdjusted!AK20/YHHistoricalPricesAdjusted!AK19-1,  "")</f>
        <v>-2.24526007257142E-3</v>
      </c>
      <c r="AL20" s="37">
        <f>IFERROR(YHHistoricalPricesAdjusted!AL20/YHHistoricalPricesAdjusted!AL19-1,  "")</f>
        <v>-0.10190389035952152</v>
      </c>
      <c r="AM20" s="37">
        <f>IFERROR(YHHistoricalPricesAdjusted!AM20/YHHistoricalPricesAdjusted!AM19-1,  "")</f>
        <v>-5.9761391660907437E-3</v>
      </c>
      <c r="AN20" s="37">
        <f>IFERROR(YHHistoricalPricesAdjusted!AN20/YHHistoricalPricesAdjusted!AN19-1,  "")</f>
        <v>-3.5257439792821255E-2</v>
      </c>
      <c r="AO20" s="37">
        <f>IFERROR(YHHistoricalPricesAdjusted!AO20/YHHistoricalPricesAdjusted!AO19-1,  "")</f>
        <v>-1.0027684754046584E-2</v>
      </c>
      <c r="AP20" s="37">
        <f>IFERROR(YHHistoricalPricesAdjusted!AP20/YHHistoricalPricesAdjusted!AP19-1,  "")</f>
        <v>-1.153065118549268E-2</v>
      </c>
      <c r="AQ20" s="37">
        <f>IFERROR(YHHistoricalPricesAdjusted!AQ20/YHHistoricalPricesAdjusted!AQ19-1,  "")</f>
        <v>0.13500192173968517</v>
      </c>
      <c r="AR20" s="37">
        <f>IFERROR(YHHistoricalPricesAdjusted!AR20/YHHistoricalPricesAdjusted!AR19-1,  "")</f>
        <v>-8.0650067123128055E-2</v>
      </c>
      <c r="AS20" s="37">
        <f>IFERROR(YHHistoricalPricesAdjusted!AS20/YHHistoricalPricesAdjusted!AS19-1,  "")</f>
        <v>-5.9090881540603823E-2</v>
      </c>
      <c r="AT20" s="37">
        <f>IFERROR(YHHistoricalPricesAdjusted!AT20/YHHistoricalPricesAdjusted!AT19-1,  "")</f>
        <v>-9.3058856976765636E-2</v>
      </c>
      <c r="AU20" s="37">
        <f>IFERROR(YHHistoricalPricesAdjusted!AU20/YHHistoricalPricesAdjusted!AU19-1,  "")</f>
        <v>-3.3973648125384059E-2</v>
      </c>
      <c r="AV20" s="37">
        <f>IFERROR(YHHistoricalPricesAdjusted!AV20/YHHistoricalPricesAdjusted!AV19-1,  "")</f>
        <v>-5.8458682430780562E-2</v>
      </c>
      <c r="AW20" s="37">
        <f>IFERROR(YHHistoricalPricesAdjusted!AW20/YHHistoricalPricesAdjusted!AW19-1,  "")</f>
        <v>-8.3821360136610457E-2</v>
      </c>
      <c r="AX20" s="37">
        <f>IFERROR(YHHistoricalPricesAdjusted!AX20/YHHistoricalPricesAdjusted!AX19-1,  "")</f>
        <v>-2.7766520932730909E-2</v>
      </c>
      <c r="AY20" s="37">
        <f>IFERROR(YHHistoricalPricesAdjusted!AY20/YHHistoricalPricesAdjusted!AY19-1,  "")</f>
        <v>-4.6055405618776635E-2</v>
      </c>
      <c r="AZ20" s="37">
        <f>IFERROR(YHHistoricalPricesAdjusted!AZ20/YHHistoricalPricesAdjusted!AZ19-1,  "")</f>
        <v>-4.1699736334169901E-2</v>
      </c>
      <c r="BA20" s="37">
        <f>IFERROR(YHHistoricalPricesAdjusted!BA20/YHHistoricalPricesAdjusted!BA19-1,  "")</f>
        <v>-4.3567872712945266E-2</v>
      </c>
      <c r="BB20" s="37">
        <f>IFERROR(YHHistoricalPricesAdjusted!BB20/YHHistoricalPricesAdjusted!BB19-1,  "")</f>
        <v>8.6776290953949342E-4</v>
      </c>
      <c r="BC20" s="37">
        <f>IFERROR(YHHistoricalPricesAdjusted!BC20/YHHistoricalPricesAdjusted!BC19-1,  "")</f>
        <v>-7.1688837450516463E-3</v>
      </c>
      <c r="BD20" s="37">
        <f>IFERROR(YHHistoricalPricesAdjusted!BD20/YHHistoricalPricesAdjusted!BD19-1,  "")</f>
        <v>1.4236411513708358E-3</v>
      </c>
      <c r="BE20" s="37">
        <f>IFERROR(YHHistoricalPricesAdjusted!BE20/YHHistoricalPricesAdjusted!BE19-1,  "")</f>
        <v>3.8428886298402576E-2</v>
      </c>
      <c r="BF20" s="37">
        <f>IFERROR(YHHistoricalPricesAdjusted!BF20/YHHistoricalPricesAdjusted!BF19-1,  "")</f>
        <v>3.2429501770424807E-2</v>
      </c>
      <c r="BG20" s="37">
        <f>IFERROR(YHHistoricalPricesAdjusted!BG20/YHHistoricalPricesAdjusted!BG19-1,  "")</f>
        <v>-2.4265216217388752E-2</v>
      </c>
      <c r="BH20" s="37">
        <f>IFERROR(YHHistoricalPricesAdjusted!BH20/YHHistoricalPricesAdjusted!BH19-1,  "")</f>
        <v>-3.1583064474496547E-2</v>
      </c>
      <c r="BI20" s="37">
        <f>IFERROR(YHHistoricalPricesAdjusted!BI20/YHHistoricalPricesAdjusted!BI19-1,  "")</f>
        <v>9.2553524150080779E-3</v>
      </c>
      <c r="BJ20" s="37">
        <f>IFERROR(YHHistoricalPricesAdjusted!BJ20/YHHistoricalPricesAdjusted!BJ19-1,  "")</f>
        <v>-4.318618814779962E-2</v>
      </c>
      <c r="BK20" s="37">
        <f>IFERROR(YHHistoricalPricesAdjusted!BK20/YHHistoricalPricesAdjusted!BK19-1,  "")</f>
        <v>-7.2414756424256321E-2</v>
      </c>
      <c r="BL20" s="37">
        <f>IFERROR(YHHistoricalPricesAdjusted!BL20/YHHistoricalPricesAdjusted!BL19-1,  "")</f>
        <v>-1.640635461690132E-2</v>
      </c>
      <c r="BM20" s="37">
        <f>IFERROR(YHHistoricalPricesAdjusted!BM20/YHHistoricalPricesAdjusted!BM19-1,  "")</f>
        <v>-1.2049572372764716E-2</v>
      </c>
      <c r="BN20" s="37">
        <f>IFERROR(YHHistoricalPricesAdjusted!BN20/YHHistoricalPricesAdjusted!BN19-1,  "")</f>
        <v>-6.0038467381831051E-2</v>
      </c>
      <c r="BO20" s="37">
        <f>IFERROR(YHHistoricalPricesAdjusted!BO20/YHHistoricalPricesAdjusted!BO19-1,  "")</f>
        <v>-5.4793788145798272E-2</v>
      </c>
      <c r="BP20" s="37">
        <f>IFERROR(YHHistoricalPricesAdjusted!BP20/YHHistoricalPricesAdjusted!BP19-1,  "")</f>
        <v>-1.3286960753649213E-2</v>
      </c>
      <c r="BQ20" s="37">
        <f>IFERROR(YHHistoricalPricesAdjusted!BQ20/YHHistoricalPricesAdjusted!BQ19-1,  "")</f>
        <v>-9.6571364802642723E-2</v>
      </c>
      <c r="BR20" s="37">
        <f>IFERROR(YHHistoricalPricesAdjusted!BR20/YHHistoricalPricesAdjusted!BR19-1,  "")</f>
        <v>-6.0936200988661149E-2</v>
      </c>
      <c r="BS20" s="37">
        <f>IFERROR(YHHistoricalPricesAdjusted!BS20/YHHistoricalPricesAdjusted!BS19-1,  "")</f>
        <v>-6.2601411281265285E-2</v>
      </c>
      <c r="BT20" s="37">
        <f>IFERROR(YHHistoricalPricesAdjusted!BT20/YHHistoricalPricesAdjusted!BT19-1,  "")</f>
        <v>-2.733236151603502E-2</v>
      </c>
      <c r="BU20" s="37">
        <f>IFERROR(YHHistoricalPricesAdjusted!BU20/YHHistoricalPricesAdjusted!BU19-1,  "")</f>
        <v>-0.11919729062865947</v>
      </c>
      <c r="BV20" s="37">
        <f>IFERROR(YHHistoricalPricesAdjusted!BV20/YHHistoricalPricesAdjusted!BV19-1,  "")</f>
        <v>3.5012182450327112E-2</v>
      </c>
      <c r="BW20" s="37">
        <f>IFERROR(YHHistoricalPricesAdjusted!BW20/YHHistoricalPricesAdjusted!BW19-1,  "")</f>
        <v>9.6763753110108652E-2</v>
      </c>
      <c r="BX20" s="37">
        <f>IFERROR(YHHistoricalPricesAdjusted!BX20/YHHistoricalPricesAdjusted!BX19-1,  "")</f>
        <v>3.0451628422267119E-2</v>
      </c>
      <c r="BY20" s="37">
        <f>IFERROR(YHHistoricalPricesAdjusted!BY20/YHHistoricalPricesAdjusted!BY19-1,  "")</f>
        <v>-6.5943558335276875E-2</v>
      </c>
      <c r="BZ20" s="37">
        <f>IFERROR(YHHistoricalPricesAdjusted!BZ20/YHHistoricalPricesAdjusted!BZ19-1,  "")</f>
        <v>1.7881759871938074E-2</v>
      </c>
      <c r="CA20" s="37">
        <f>IFERROR(YHHistoricalPricesAdjusted!CA20/YHHistoricalPricesAdjusted!CA19-1,  "")</f>
        <v>5.1565026234847045E-2</v>
      </c>
      <c r="CB20" s="37">
        <f>IFERROR(YHHistoricalPricesAdjusted!CB20/YHHistoricalPricesAdjusted!CB19-1,  "")</f>
        <v>1.4771854391981254E-2</v>
      </c>
      <c r="CC20" s="37">
        <f>IFERROR(YHHistoricalPricesAdjusted!CC20/YHHistoricalPricesAdjusted!CC19-1,  "")</f>
        <v>-5.6094949605878908E-2</v>
      </c>
      <c r="CD20" s="37">
        <f>IFERROR(YHHistoricalPricesAdjusted!CD20/YHHistoricalPricesAdjusted!CD19-1,  "")</f>
        <v>7.9655237336079043E-2</v>
      </c>
      <c r="CE20" s="37">
        <f>IFERROR(YHHistoricalPricesAdjusted!CE20/YHHistoricalPricesAdjusted!CE19-1,  "")</f>
        <v>6.842779905051577E-2</v>
      </c>
      <c r="CF20" s="37">
        <f>IFERROR(YHHistoricalPricesAdjusted!CF20/YHHistoricalPricesAdjusted!CF19-1,  "")</f>
        <v>-7.2837691264409976E-2</v>
      </c>
    </row>
    <row r="21" spans="1:84" x14ac:dyDescent="0.25">
      <c r="A21" s="17">
        <v>41882</v>
      </c>
      <c r="B21" s="37">
        <f>IFERROR(YHHistoricalPricesAdjusted!B21/YHHistoricalPricesAdjusted!B20-1,  "")</f>
        <v>7.2175700425595624E-2</v>
      </c>
      <c r="C21" s="37">
        <f>IFERROR(YHHistoricalPricesAdjusted!C21/YHHistoricalPricesAdjusted!C20-1,  "")</f>
        <v>3.3001796646847215E-2</v>
      </c>
      <c r="D21" s="37">
        <f>IFERROR(YHHistoricalPricesAdjusted!D21/YHHistoricalPricesAdjusted!D20-1,  "")</f>
        <v>3.2867290357119217E-3</v>
      </c>
      <c r="E21" s="37">
        <f>IFERROR(YHHistoricalPricesAdjusted!E21/YHHistoricalPricesAdjusted!E20-1,  "")</f>
        <v>4.6576572305486064E-2</v>
      </c>
      <c r="F21" s="37">
        <f>IFERROR(YHHistoricalPricesAdjusted!F21/YHHistoricalPricesAdjusted!F20-1,  "")</f>
        <v>-8.8835084756146987E-3</v>
      </c>
      <c r="G21" s="37">
        <f>IFERROR(YHHistoricalPricesAdjusted!G21/YHHistoricalPricesAdjusted!G20-1,  "")</f>
        <v>2.609366004489222E-2</v>
      </c>
      <c r="H21" s="37">
        <f>IFERROR(YHHistoricalPricesAdjusted!H21/YHHistoricalPricesAdjusted!H20-1,  "")</f>
        <v>6.184779323984424E-2</v>
      </c>
      <c r="I21" s="37">
        <f>IFERROR(YHHistoricalPricesAdjusted!I21/YHHistoricalPricesAdjusted!I20-1,  "")</f>
        <v>0.1703134368112551</v>
      </c>
      <c r="J21" s="37">
        <f>IFERROR(YHHistoricalPricesAdjusted!J21/YHHistoricalPricesAdjusted!J20-1,  "")</f>
        <v>3.4696875992111353E-2</v>
      </c>
      <c r="K21" s="37">
        <f>IFERROR(YHHistoricalPricesAdjusted!K21/YHHistoricalPricesAdjusted!K20-1,  "")</f>
        <v>-3.1104320991042322E-2</v>
      </c>
      <c r="L21" s="37">
        <f>IFERROR(YHHistoricalPricesAdjusted!L21/YHHistoricalPricesAdjusted!L20-1,  "")</f>
        <v>6.184779323984424E-2</v>
      </c>
      <c r="M21" s="37">
        <f>IFERROR(YHHistoricalPricesAdjusted!M21/YHHistoricalPricesAdjusted!M20-1,  "")</f>
        <v>4.9829738571943061E-2</v>
      </c>
      <c r="N21" s="37">
        <f>IFERROR(YHHistoricalPricesAdjusted!N21/YHHistoricalPricesAdjusted!N20-1,  "")</f>
        <v>-2.3795622330013977E-2</v>
      </c>
      <c r="O21" s="37">
        <f>IFERROR(YHHistoricalPricesAdjusted!O21/YHHistoricalPricesAdjusted!O20-1,  "")</f>
        <v>0.20779224530507512</v>
      </c>
      <c r="P21" s="37">
        <f>IFERROR(YHHistoricalPricesAdjusted!P21/YHHistoricalPricesAdjusted!P20-1,  "")</f>
        <v>5.2556416825075836E-3</v>
      </c>
      <c r="Q21" s="37">
        <f>IFERROR(YHHistoricalPricesAdjusted!Q21/YHHistoricalPricesAdjusted!Q20-1,  "")</f>
        <v>1.6247282329500123E-3</v>
      </c>
      <c r="R21" s="37">
        <f>IFERROR(YHHistoricalPricesAdjusted!R21/YHHistoricalPricesAdjusted!R20-1,  "")</f>
        <v>5.7605689828863715E-2</v>
      </c>
      <c r="S21" s="37">
        <f>IFERROR(YHHistoricalPricesAdjusted!S21/YHHistoricalPricesAdjusted!S20-1,  "")</f>
        <v>0.11145422173289932</v>
      </c>
      <c r="T21" s="37">
        <f>IFERROR(YHHistoricalPricesAdjusted!T21/YHHistoricalPricesAdjusted!T20-1,  "")</f>
        <v>5.9411723920461679E-3</v>
      </c>
      <c r="U21" s="37">
        <f>IFERROR(YHHistoricalPricesAdjusted!U21/YHHistoricalPricesAdjusted!U20-1,  "")</f>
        <v>3.6517762645629892E-2</v>
      </c>
      <c r="V21" s="37">
        <f>IFERROR(YHHistoricalPricesAdjusted!V21/YHHistoricalPricesAdjusted!V20-1,  "")</f>
        <v>2.6174424466784751E-2</v>
      </c>
      <c r="W21" s="37">
        <f>IFERROR(YHHistoricalPricesAdjusted!W21/YHHistoricalPricesAdjusted!W20-1,  "")</f>
        <v>3.5783868002033703E-2</v>
      </c>
      <c r="X21" s="37">
        <f>IFERROR(YHHistoricalPricesAdjusted!X21/YHHistoricalPricesAdjusted!X20-1,  "")</f>
        <v>8.5150533266572515E-2</v>
      </c>
      <c r="Y21" s="37">
        <f>IFERROR(YHHistoricalPricesAdjusted!Y21/YHHistoricalPricesAdjusted!Y20-1,  "")</f>
        <v>3.6367361546317145E-2</v>
      </c>
      <c r="Z21" s="37">
        <f>IFERROR(YHHistoricalPricesAdjusted!Z21/YHHistoricalPricesAdjusted!Z20-1,  "")</f>
        <v>3.3076208308922661E-2</v>
      </c>
      <c r="AA21" s="37">
        <f>IFERROR(YHHistoricalPricesAdjusted!AA21/YHHistoricalPricesAdjusted!AA20-1,  "")</f>
        <v>5.9393509675073952E-2</v>
      </c>
      <c r="AB21" s="37">
        <f>IFERROR(YHHistoricalPricesAdjusted!AB21/YHHistoricalPricesAdjusted!AB20-1,  "")</f>
        <v>6.9463269491081059E-2</v>
      </c>
      <c r="AC21" s="37">
        <f>IFERROR(YHHistoricalPricesAdjusted!AC21/YHHistoricalPricesAdjusted!AC20-1,  "")</f>
        <v>6.9055332523017654E-2</v>
      </c>
      <c r="AD21" s="37">
        <f>IFERROR(YHHistoricalPricesAdjusted!AD21/YHHistoricalPricesAdjusted!AD20-1,  "")</f>
        <v>7.354591030483193E-2</v>
      </c>
      <c r="AE21" s="37">
        <f>IFERROR(YHHistoricalPricesAdjusted!AE21/YHHistoricalPricesAdjusted!AE20-1,  "")</f>
        <v>0.29568945907874489</v>
      </c>
      <c r="AF21" s="37">
        <f>IFERROR(YHHistoricalPricesAdjusted!AF21/YHHistoricalPricesAdjusted!AF20-1,  "")</f>
        <v>0.14087505100081588</v>
      </c>
      <c r="AG21" s="37">
        <f>IFERROR(YHHistoricalPricesAdjusted!AG21/YHHistoricalPricesAdjusted!AG20-1,  "")</f>
        <v>5.9367053526308E-2</v>
      </c>
      <c r="AH21" s="37">
        <f>IFERROR(YHHistoricalPricesAdjusted!AH21/YHHistoricalPricesAdjusted!AH20-1,  "")</f>
        <v>0.15646293341473694</v>
      </c>
      <c r="AI21" s="37">
        <f>IFERROR(YHHistoricalPricesAdjusted!AI21/YHHistoricalPricesAdjusted!AI20-1,  "")</f>
        <v>7.247711689583225E-2</v>
      </c>
      <c r="AJ21" s="37">
        <f>IFERROR(YHHistoricalPricesAdjusted!AJ21/YHHistoricalPricesAdjusted!AJ20-1,  "")</f>
        <v>8.159192351337885E-2</v>
      </c>
      <c r="AK21" s="37">
        <f>IFERROR(YHHistoricalPricesAdjusted!AK21/YHHistoricalPricesAdjusted!AK20-1,  "")</f>
        <v>7.134385411969757E-2</v>
      </c>
      <c r="AL21" s="37">
        <f>IFERROR(YHHistoricalPricesAdjusted!AL21/YHHistoricalPricesAdjusted!AL20-1,  "")</f>
        <v>-5.1497991793573394E-2</v>
      </c>
      <c r="AM21" s="37">
        <f>IFERROR(YHHistoricalPricesAdjusted!AM21/YHHistoricalPricesAdjusted!AM20-1,  "")</f>
        <v>4.24849189661749E-2</v>
      </c>
      <c r="AN21" s="37">
        <f>IFERROR(YHHistoricalPricesAdjusted!AN21/YHHistoricalPricesAdjusted!AN20-1,  "")</f>
        <v>3.8415770860557918E-2</v>
      </c>
      <c r="AO21" s="37">
        <f>IFERROR(YHHistoricalPricesAdjusted!AO21/YHHistoricalPricesAdjusted!AO20-1,  "")</f>
        <v>7.0796500553002684E-2</v>
      </c>
      <c r="AP21" s="37">
        <f>IFERROR(YHHistoricalPricesAdjusted!AP21/YHHistoricalPricesAdjusted!AP20-1,  "")</f>
        <v>4.7916348666281472E-2</v>
      </c>
      <c r="AQ21" s="37">
        <f>IFERROR(YHHistoricalPricesAdjusted!AQ21/YHHistoricalPricesAdjusted!AQ20-1,  "")</f>
        <v>9.145017100371744E-3</v>
      </c>
      <c r="AR21" s="37">
        <f>IFERROR(YHHistoricalPricesAdjusted!AR21/YHHistoricalPricesAdjusted!AR20-1,  "")</f>
        <v>5.728309426444067E-2</v>
      </c>
      <c r="AS21" s="37">
        <f>IFERROR(YHHistoricalPricesAdjusted!AS21/YHHistoricalPricesAdjusted!AS20-1,  "")</f>
        <v>6.9828657145941886E-2</v>
      </c>
      <c r="AT21" s="37">
        <f>IFERROR(YHHistoricalPricesAdjusted!AT21/YHHistoricalPricesAdjusted!AT20-1,  "")</f>
        <v>5.1724093401890325E-2</v>
      </c>
      <c r="AU21" s="37">
        <f>IFERROR(YHHistoricalPricesAdjusted!AU21/YHHistoricalPricesAdjusted!AU20-1,  "")</f>
        <v>5.9451446830442789E-2</v>
      </c>
      <c r="AV21" s="37">
        <f>IFERROR(YHHistoricalPricesAdjusted!AV21/YHHistoricalPricesAdjusted!AV20-1,  "")</f>
        <v>3.3239364017211281E-2</v>
      </c>
      <c r="AW21" s="37">
        <f>IFERROR(YHHistoricalPricesAdjusted!AW21/YHHistoricalPricesAdjusted!AW20-1,  "")</f>
        <v>4.8567544012432462E-2</v>
      </c>
      <c r="AX21" s="37">
        <f>IFERROR(YHHistoricalPricesAdjusted!AX21/YHHistoricalPricesAdjusted!AX20-1,  "")</f>
        <v>2.5786719052160123E-2</v>
      </c>
      <c r="AY21" s="37">
        <f>IFERROR(YHHistoricalPricesAdjusted!AY21/YHHistoricalPricesAdjusted!AY20-1,  "")</f>
        <v>3.7919227683916867E-2</v>
      </c>
      <c r="AZ21" s="37">
        <f>IFERROR(YHHistoricalPricesAdjusted!AZ21/YHHistoricalPricesAdjusted!AZ20-1,  "")</f>
        <v>6.278209749221908E-2</v>
      </c>
      <c r="BA21" s="37">
        <f>IFERROR(YHHistoricalPricesAdjusted!BA21/YHHistoricalPricesAdjusted!BA20-1,  "")</f>
        <v>6.0010861421518458E-2</v>
      </c>
      <c r="BB21" s="37">
        <f>IFERROR(YHHistoricalPricesAdjusted!BB21/YHHistoricalPricesAdjusted!BB20-1,  "")</f>
        <v>3.8071673490317703E-2</v>
      </c>
      <c r="BC21" s="37">
        <f>IFERROR(YHHistoricalPricesAdjusted!BC21/YHHistoricalPricesAdjusted!BC20-1,  "")</f>
        <v>5.5081978322359948E-2</v>
      </c>
      <c r="BD21" s="37">
        <f>IFERROR(YHHistoricalPricesAdjusted!BD21/YHHistoricalPricesAdjusted!BD20-1,  "")</f>
        <v>7.1561718202319824E-3</v>
      </c>
      <c r="BE21" s="37">
        <f>IFERROR(YHHistoricalPricesAdjusted!BE21/YHHistoricalPricesAdjusted!BE20-1,  "")</f>
        <v>5.6232414024842026E-2</v>
      </c>
      <c r="BF21" s="37">
        <f>IFERROR(YHHistoricalPricesAdjusted!BF21/YHHistoricalPricesAdjusted!BF20-1,  "")</f>
        <v>3.6096619261755114E-2</v>
      </c>
      <c r="BG21" s="37">
        <f>IFERROR(YHHistoricalPricesAdjusted!BG21/YHHistoricalPricesAdjusted!BG20-1,  "")</f>
        <v>5.9480778358027564E-3</v>
      </c>
      <c r="BH21" s="37">
        <f>IFERROR(YHHistoricalPricesAdjusted!BH21/YHHistoricalPricesAdjusted!BH20-1,  "")</f>
        <v>1.0609156045339185E-2</v>
      </c>
      <c r="BI21" s="37">
        <f>IFERROR(YHHistoricalPricesAdjusted!BI21/YHHistoricalPricesAdjusted!BI20-1,  "")</f>
        <v>2.3854914350226242E-2</v>
      </c>
      <c r="BJ21" s="37">
        <f>IFERROR(YHHistoricalPricesAdjusted!BJ21/YHHistoricalPricesAdjusted!BJ20-1,  "")</f>
        <v>1.4862483225126288E-2</v>
      </c>
      <c r="BK21" s="37">
        <f>IFERROR(YHHistoricalPricesAdjusted!BK21/YHHistoricalPricesAdjusted!BK20-1,  "")</f>
        <v>2.0418905479927085E-2</v>
      </c>
      <c r="BL21" s="37">
        <f>IFERROR(YHHistoricalPricesAdjusted!BL21/YHHistoricalPricesAdjusted!BL20-1,  "")</f>
        <v>2.2073881991428124E-2</v>
      </c>
      <c r="BM21" s="37">
        <f>IFERROR(YHHistoricalPricesAdjusted!BM21/YHHistoricalPricesAdjusted!BM20-1,  "")</f>
        <v>3.70249101925193E-2</v>
      </c>
      <c r="BN21" s="37">
        <f>IFERROR(YHHistoricalPricesAdjusted!BN21/YHHistoricalPricesAdjusted!BN20-1,  "")</f>
        <v>3.695188215785139E-2</v>
      </c>
      <c r="BO21" s="37">
        <f>IFERROR(YHHistoricalPricesAdjusted!BO21/YHHistoricalPricesAdjusted!BO20-1,  "")</f>
        <v>7.0899685157056247E-2</v>
      </c>
      <c r="BP21" s="37">
        <f>IFERROR(YHHistoricalPricesAdjusted!BP21/YHHistoricalPricesAdjusted!BP20-1,  "")</f>
        <v>4.6488411200577007E-2</v>
      </c>
      <c r="BQ21" s="37">
        <f>IFERROR(YHHistoricalPricesAdjusted!BQ21/YHHistoricalPricesAdjusted!BQ20-1,  "")</f>
        <v>4.103594560661783E-2</v>
      </c>
      <c r="BR21" s="37">
        <f>IFERROR(YHHistoricalPricesAdjusted!BR21/YHHistoricalPricesAdjusted!BR20-1,  "")</f>
        <v>1.837925140273855E-2</v>
      </c>
      <c r="BS21" s="37">
        <f>IFERROR(YHHistoricalPricesAdjusted!BS21/YHHistoricalPricesAdjusted!BS20-1,  "")</f>
        <v>7.8355880750291762E-2</v>
      </c>
      <c r="BT21" s="37">
        <f>IFERROR(YHHistoricalPricesAdjusted!BT21/YHHistoricalPricesAdjusted!BT20-1,  "")</f>
        <v>-2.5477719495441309E-2</v>
      </c>
      <c r="BU21" s="37">
        <f>IFERROR(YHHistoricalPricesAdjusted!BU21/YHHistoricalPricesAdjusted!BU20-1,  "")</f>
        <v>0.18350263267221201</v>
      </c>
      <c r="BV21" s="37">
        <f>IFERROR(YHHistoricalPricesAdjusted!BV21/YHHistoricalPricesAdjusted!BV20-1,  "")</f>
        <v>5.2594655335883367E-2</v>
      </c>
      <c r="BW21" s="37">
        <f>IFERROR(YHHistoricalPricesAdjusted!BW21/YHHistoricalPricesAdjusted!BW20-1,  "")</f>
        <v>3.0392435196846534E-2</v>
      </c>
      <c r="BX21" s="37">
        <f>IFERROR(YHHistoricalPricesAdjusted!BX21/YHHistoricalPricesAdjusted!BX20-1,  "")</f>
        <v>-1.2600185203229808E-3</v>
      </c>
      <c r="BY21" s="37">
        <f>IFERROR(YHHistoricalPricesAdjusted!BY21/YHHistoricalPricesAdjusted!BY20-1,  "")</f>
        <v>8.9216589861751183E-2</v>
      </c>
      <c r="BZ21" s="37">
        <f>IFERROR(YHHistoricalPricesAdjusted!BZ21/YHHistoricalPricesAdjusted!BZ20-1,  "")</f>
        <v>1.7140880030708017E-2</v>
      </c>
      <c r="CA21" s="37">
        <f>IFERROR(YHHistoricalPricesAdjusted!CA21/YHHistoricalPricesAdjusted!CA20-1,  "")</f>
        <v>4.8176170822026299E-2</v>
      </c>
      <c r="CB21" s="37">
        <f>IFERROR(YHHistoricalPricesAdjusted!CB21/YHHistoricalPricesAdjusted!CB20-1,  "")</f>
        <v>5.6667544666817005E-2</v>
      </c>
      <c r="CC21" s="37">
        <f>IFERROR(YHHistoricalPricesAdjusted!CC21/YHHistoricalPricesAdjusted!CC20-1,  "")</f>
        <v>0.11142847924096899</v>
      </c>
      <c r="CD21" s="37">
        <f>IFERROR(YHHistoricalPricesAdjusted!CD21/YHHistoricalPricesAdjusted!CD20-1,  "")</f>
        <v>2.9869207711790358E-2</v>
      </c>
      <c r="CE21" s="37">
        <f>IFERROR(YHHistoricalPricesAdjusted!CE21/YHHistoricalPricesAdjusted!CE20-1,  "")</f>
        <v>6.7115816164128095E-2</v>
      </c>
      <c r="CF21" s="37">
        <f>IFERROR(YHHistoricalPricesAdjusted!CF21/YHHistoricalPricesAdjusted!CF20-1,  "")</f>
        <v>6.7103079119577025E-2</v>
      </c>
    </row>
    <row r="22" spans="1:84" x14ac:dyDescent="0.25">
      <c r="A22" s="17">
        <v>41912</v>
      </c>
      <c r="B22" s="37">
        <f>IFERROR(YHHistoricalPricesAdjusted!B22/YHHistoricalPricesAdjusted!B21-1,  "")</f>
        <v>-1.2184043724974392E-2</v>
      </c>
      <c r="C22" s="37">
        <f>IFERROR(YHHistoricalPricesAdjusted!C22/YHHistoricalPricesAdjusted!C21-1,  "")</f>
        <v>-1.3856395107863184E-2</v>
      </c>
      <c r="D22" s="37">
        <f>IFERROR(YHHistoricalPricesAdjusted!D22/YHHistoricalPricesAdjusted!D21-1,  "")</f>
        <v>-7.0063949800405201E-3</v>
      </c>
      <c r="E22" s="37">
        <f>IFERROR(YHHistoricalPricesAdjusted!E22/YHHistoricalPricesAdjusted!E21-1,  "")</f>
        <v>-9.4569209922309438E-3</v>
      </c>
      <c r="F22" s="37">
        <f>IFERROR(YHHistoricalPricesAdjusted!F22/YHHistoricalPricesAdjusted!F21-1,  "")</f>
        <v>2.9218209011518725E-2</v>
      </c>
      <c r="G22" s="37">
        <f>IFERROR(YHHistoricalPricesAdjusted!G22/YHHistoricalPricesAdjusted!G21-1,  "")</f>
        <v>1.9520494589961412E-2</v>
      </c>
      <c r="H22" s="37">
        <f>IFERROR(YHHistoricalPricesAdjusted!H22/YHHistoricalPricesAdjusted!H21-1,  "")</f>
        <v>2.2530857060718334E-2</v>
      </c>
      <c r="I22" s="37">
        <f>IFERROR(YHHistoricalPricesAdjusted!I22/YHHistoricalPricesAdjusted!I21-1,  "")</f>
        <v>-7.670179902200247E-2</v>
      </c>
      <c r="J22" s="37">
        <f>IFERROR(YHHistoricalPricesAdjusted!J22/YHHistoricalPricesAdjusted!J21-1,  "")</f>
        <v>-4.4626798459021066E-2</v>
      </c>
      <c r="K22" s="37">
        <f>IFERROR(YHHistoricalPricesAdjusted!K22/YHHistoricalPricesAdjusted!K21-1,  "")</f>
        <v>2.8079065016659799E-2</v>
      </c>
      <c r="L22" s="37">
        <f>IFERROR(YHHistoricalPricesAdjusted!L22/YHHistoricalPricesAdjusted!L21-1,  "")</f>
        <v>2.2530857060718334E-2</v>
      </c>
      <c r="M22" s="37">
        <f>IFERROR(YHHistoricalPricesAdjusted!M22/YHHistoricalPricesAdjusted!M21-1,  "")</f>
        <v>6.4873939572165362E-3</v>
      </c>
      <c r="N22" s="37">
        <f>IFERROR(YHHistoricalPricesAdjusted!N22/YHHistoricalPricesAdjusted!N21-1,  "")</f>
        <v>6.7548520388909239E-3</v>
      </c>
      <c r="O22" s="37">
        <f>IFERROR(YHHistoricalPricesAdjusted!O22/YHHistoricalPricesAdjusted!O21-1,  "")</f>
        <v>-0.10018545716638683</v>
      </c>
      <c r="P22" s="37">
        <f>IFERROR(YHHistoricalPricesAdjusted!P22/YHHistoricalPricesAdjusted!P21-1,  "")</f>
        <v>-4.7806449364190762E-2</v>
      </c>
      <c r="Q22" s="37">
        <f>IFERROR(YHHistoricalPricesAdjusted!Q22/YHHistoricalPricesAdjusted!Q21-1,  "")</f>
        <v>-7.0419727729234327E-2</v>
      </c>
      <c r="R22" s="37">
        <f>IFERROR(YHHistoricalPricesAdjusted!R22/YHHistoricalPricesAdjusted!R21-1,  "")</f>
        <v>6.6633595032827841E-3</v>
      </c>
      <c r="S22" s="37">
        <f>IFERROR(YHHistoricalPricesAdjusted!S22/YHHistoricalPricesAdjusted!S21-1,  "")</f>
        <v>-0.10851441924675442</v>
      </c>
      <c r="T22" s="37">
        <f>IFERROR(YHHistoricalPricesAdjusted!T22/YHHistoricalPricesAdjusted!T21-1,  "")</f>
        <v>-5.6206484833274173E-2</v>
      </c>
      <c r="U22" s="37">
        <f>IFERROR(YHHistoricalPricesAdjusted!U22/YHHistoricalPricesAdjusted!U21-1,  "")</f>
        <v>-7.3608047886620787E-2</v>
      </c>
      <c r="V22" s="37">
        <f>IFERROR(YHHistoricalPricesAdjusted!V22/YHHistoricalPricesAdjusted!V21-1,  "")</f>
        <v>-2.7150944801913268E-2</v>
      </c>
      <c r="W22" s="37">
        <f>IFERROR(YHHistoricalPricesAdjusted!W22/YHHistoricalPricesAdjusted!W21-1,  "")</f>
        <v>-7.0142225795803204E-2</v>
      </c>
      <c r="X22" s="37">
        <f>IFERROR(YHHistoricalPricesAdjusted!X22/YHHistoricalPricesAdjusted!X21-1,  "")</f>
        <v>-7.5713224718216843E-3</v>
      </c>
      <c r="Y22" s="37">
        <f>IFERROR(YHHistoricalPricesAdjusted!Y22/YHHistoricalPricesAdjusted!Y21-1,  "")</f>
        <v>3.4521905657095342E-2</v>
      </c>
      <c r="Z22" s="37">
        <f>IFERROR(YHHistoricalPricesAdjusted!Z22/YHHistoricalPricesAdjusted!Z21-1,  "")</f>
        <v>6.124478423593871E-3</v>
      </c>
      <c r="AA22" s="37">
        <f>IFERROR(YHHistoricalPricesAdjusted!AA22/YHHistoricalPricesAdjusted!AA21-1,  "")</f>
        <v>-1.380793903923061E-2</v>
      </c>
      <c r="AB22" s="37">
        <f>IFERROR(YHHistoricalPricesAdjusted!AB22/YHHistoricalPricesAdjusted!AB21-1,  "")</f>
        <v>-4.9607670634752576E-3</v>
      </c>
      <c r="AC22" s="37">
        <f>IFERROR(YHHistoricalPricesAdjusted!AC22/YHHistoricalPricesAdjusted!AC21-1,  "")</f>
        <v>1.0025757054704654E-2</v>
      </c>
      <c r="AD22" s="37">
        <f>IFERROR(YHHistoricalPricesAdjusted!AD22/YHHistoricalPricesAdjusted!AD21-1,  "")</f>
        <v>-8.6051919229744644E-2</v>
      </c>
      <c r="AE22" s="37">
        <f>IFERROR(YHHistoricalPricesAdjusted!AE22/YHHistoricalPricesAdjusted!AE21-1,  "")</f>
        <v>9.182713923742436E-2</v>
      </c>
      <c r="AF22" s="37">
        <f>IFERROR(YHHistoricalPricesAdjusted!AF22/YHHistoricalPricesAdjusted!AF21-1,  "")</f>
        <v>-4.5296617143295581E-2</v>
      </c>
      <c r="AG22" s="37">
        <f>IFERROR(YHHistoricalPricesAdjusted!AG22/YHHistoricalPricesAdjusted!AG21-1,  "")</f>
        <v>6.3262883538489412E-2</v>
      </c>
      <c r="AH22" s="37">
        <f>IFERROR(YHHistoricalPricesAdjusted!AH22/YHHistoricalPricesAdjusted!AH21-1,  "")</f>
        <v>-1.8823668339686961E-2</v>
      </c>
      <c r="AI22" s="37">
        <f>IFERROR(YHHistoricalPricesAdjusted!AI22/YHHistoricalPricesAdjusted!AI21-1,  "")</f>
        <v>1.019102908393954E-2</v>
      </c>
      <c r="AJ22" s="37">
        <f>IFERROR(YHHistoricalPricesAdjusted!AJ22/YHHistoricalPricesAdjusted!AJ21-1,  "")</f>
        <v>2.2132141332555699E-2</v>
      </c>
      <c r="AK22" s="37">
        <f>IFERROR(YHHistoricalPricesAdjusted!AK22/YHHistoricalPricesAdjusted!AK21-1,  "")</f>
        <v>8.3828336568412265E-3</v>
      </c>
      <c r="AL22" s="37">
        <f>IFERROR(YHHistoricalPricesAdjusted!AL22/YHHistoricalPricesAdjusted!AL21-1,  "")</f>
        <v>1.4501970808732834E-2</v>
      </c>
      <c r="AM22" s="37">
        <f>IFERROR(YHHistoricalPricesAdjusted!AM22/YHHistoricalPricesAdjusted!AM21-1,  "")</f>
        <v>-9.2271619741054467E-3</v>
      </c>
      <c r="AN22" s="37">
        <f>IFERROR(YHHistoricalPricesAdjusted!AN22/YHHistoricalPricesAdjusted!AN21-1,  "")</f>
        <v>-9.3305012888618144E-3</v>
      </c>
      <c r="AO22" s="37">
        <f>IFERROR(YHHistoricalPricesAdjusted!AO22/YHHistoricalPricesAdjusted!AO21-1,  "")</f>
        <v>3.4824482165077608E-2</v>
      </c>
      <c r="AP22" s="37">
        <f>IFERROR(YHHistoricalPricesAdjusted!AP22/YHHistoricalPricesAdjusted!AP21-1,  "")</f>
        <v>2.001365572119429E-2</v>
      </c>
      <c r="AQ22" s="37">
        <f>IFERROR(YHHistoricalPricesAdjusted!AQ22/YHHistoricalPricesAdjusted!AQ21-1,  "")</f>
        <v>-1.7770568884559634E-2</v>
      </c>
      <c r="AR22" s="37">
        <f>IFERROR(YHHistoricalPricesAdjusted!AR22/YHHistoricalPricesAdjusted!AR21-1,  "")</f>
        <v>-5.1647887307365914E-2</v>
      </c>
      <c r="AS22" s="37">
        <f>IFERROR(YHHistoricalPricesAdjusted!AS22/YHHistoricalPricesAdjusted!AS21-1,  "")</f>
        <v>-7.2387061881630355E-2</v>
      </c>
      <c r="AT22" s="37">
        <f>IFERROR(YHHistoricalPricesAdjusted!AT22/YHHistoricalPricesAdjusted!AT21-1,  "")</f>
        <v>-5.2671509019774354E-2</v>
      </c>
      <c r="AU22" s="37">
        <f>IFERROR(YHHistoricalPricesAdjusted!AU22/YHHistoricalPricesAdjusted!AU21-1,  "")</f>
        <v>-4.0618106414132882E-2</v>
      </c>
      <c r="AV22" s="37">
        <f>IFERROR(YHHistoricalPricesAdjusted!AV22/YHHistoricalPricesAdjusted!AV21-1,  "")</f>
        <v>-5.9960041748778892E-3</v>
      </c>
      <c r="AW22" s="37">
        <f>IFERROR(YHHistoricalPricesAdjusted!AW22/YHHistoricalPricesAdjusted!AW21-1,  "")</f>
        <v>-3.9217454725133827E-2</v>
      </c>
      <c r="AX22" s="37">
        <f>IFERROR(YHHistoricalPricesAdjusted!AX22/YHHistoricalPricesAdjusted!AX21-1,  "")</f>
        <v>2.1923675580462376E-2</v>
      </c>
      <c r="AY22" s="37">
        <f>IFERROR(YHHistoricalPricesAdjusted!AY22/YHHistoricalPricesAdjusted!AY21-1,  "")</f>
        <v>-1.6891980566784981E-2</v>
      </c>
      <c r="AZ22" s="37">
        <f>IFERROR(YHHistoricalPricesAdjusted!AZ22/YHHistoricalPricesAdjusted!AZ21-1,  "")</f>
        <v>-5.567680572519107E-3</v>
      </c>
      <c r="BA22" s="37">
        <f>IFERROR(YHHistoricalPricesAdjusted!BA22/YHHistoricalPricesAdjusted!BA21-1,  "")</f>
        <v>-2.773153789881988E-2</v>
      </c>
      <c r="BB22" s="37">
        <f>IFERROR(YHHistoricalPricesAdjusted!BB22/YHHistoricalPricesAdjusted!BB21-1,  "")</f>
        <v>1.3288552687279021E-2</v>
      </c>
      <c r="BC22" s="37">
        <f>IFERROR(YHHistoricalPricesAdjusted!BC22/YHHistoricalPricesAdjusted!BC21-1,  "")</f>
        <v>5.9664202605713257E-2</v>
      </c>
      <c r="BD22" s="37">
        <f>IFERROR(YHHistoricalPricesAdjusted!BD22/YHHistoricalPricesAdjusted!BD21-1,  "")</f>
        <v>1.1696729632912906E-2</v>
      </c>
      <c r="BE22" s="37">
        <f>IFERROR(YHHistoricalPricesAdjusted!BE22/YHHistoricalPricesAdjusted!BE21-1,  "")</f>
        <v>3.2912734580878844E-3</v>
      </c>
      <c r="BF22" s="37">
        <f>IFERROR(YHHistoricalPricesAdjusted!BF22/YHHistoricalPricesAdjusted!BF21-1,  "")</f>
        <v>2.8079284564300311E-2</v>
      </c>
      <c r="BG22" s="37">
        <f>IFERROR(YHHistoricalPricesAdjusted!BG22/YHHistoricalPricesAdjusted!BG21-1,  "")</f>
        <v>-1.0643512120474097E-2</v>
      </c>
      <c r="BH22" s="37">
        <f>IFERROR(YHHistoricalPricesAdjusted!BH22/YHHistoricalPricesAdjusted!BH21-1,  "")</f>
        <v>1.541070569874825E-2</v>
      </c>
      <c r="BI22" s="37">
        <f>IFERROR(YHHistoricalPricesAdjusted!BI22/YHHistoricalPricesAdjusted!BI21-1,  "")</f>
        <v>-2.4931117836934358E-2</v>
      </c>
      <c r="BJ22" s="37">
        <f>IFERROR(YHHistoricalPricesAdjusted!BJ22/YHHistoricalPricesAdjusted!BJ21-1,  "")</f>
        <v>-4.233856312727946E-2</v>
      </c>
      <c r="BK22" s="37">
        <f>IFERROR(YHHistoricalPricesAdjusted!BK22/YHHistoricalPricesAdjusted!BK21-1,  "")</f>
        <v>-2.2445429543424322E-2</v>
      </c>
      <c r="BL22" s="37">
        <f>IFERROR(YHHistoricalPricesAdjusted!BL22/YHHistoricalPricesAdjusted!BL21-1,  "")</f>
        <v>-1.0244320453924871E-2</v>
      </c>
      <c r="BM22" s="37">
        <f>IFERROR(YHHistoricalPricesAdjusted!BM22/YHHistoricalPricesAdjusted!BM21-1,  "")</f>
        <v>-1.7490974796605996E-2</v>
      </c>
      <c r="BN22" s="37">
        <f>IFERROR(YHHistoricalPricesAdjusted!BN22/YHHistoricalPricesAdjusted!BN21-1,  "")</f>
        <v>-8.2234942003460709E-3</v>
      </c>
      <c r="BO22" s="37">
        <f>IFERROR(YHHistoricalPricesAdjusted!BO22/YHHistoricalPricesAdjusted!BO21-1,  "")</f>
        <v>-4.29656031457053E-2</v>
      </c>
      <c r="BP22" s="37">
        <f>IFERROR(YHHistoricalPricesAdjusted!BP22/YHHistoricalPricesAdjusted!BP21-1,  "")</f>
        <v>-2.8360953183587001E-2</v>
      </c>
      <c r="BQ22" s="37">
        <f>IFERROR(YHHistoricalPricesAdjusted!BQ22/YHHistoricalPricesAdjusted!BQ21-1,  "")</f>
        <v>-8.5543520187930322E-2</v>
      </c>
      <c r="BR22" s="37">
        <f>IFERROR(YHHistoricalPricesAdjusted!BR22/YHHistoricalPricesAdjusted!BR21-1,  "")</f>
        <v>-5.9397015717374657E-2</v>
      </c>
      <c r="BS22" s="37">
        <f>IFERROR(YHHistoricalPricesAdjusted!BS22/YHHistoricalPricesAdjusted!BS21-1,  "")</f>
        <v>-5.8965256444591274E-2</v>
      </c>
      <c r="BT22" s="37">
        <f>IFERROR(YHHistoricalPricesAdjusted!BT22/YHHistoricalPricesAdjusted!BT21-1,  "")</f>
        <v>-9.047799680223001E-2</v>
      </c>
      <c r="BU22" s="37">
        <f>IFERROR(YHHistoricalPricesAdjusted!BU22/YHHistoricalPricesAdjusted!BU21-1,  "")</f>
        <v>2.20340245146462E-2</v>
      </c>
      <c r="BV22" s="37">
        <f>IFERROR(YHHistoricalPricesAdjusted!BV22/YHHistoricalPricesAdjusted!BV21-1,  "")</f>
        <v>2.6844769684857939E-2</v>
      </c>
      <c r="BW22" s="37">
        <f>IFERROR(YHHistoricalPricesAdjusted!BW22/YHHistoricalPricesAdjusted!BW21-1,  "")</f>
        <v>3.7692520791650086E-3</v>
      </c>
      <c r="BX22" s="37">
        <f>IFERROR(YHHistoricalPricesAdjusted!BX22/YHHistoricalPricesAdjusted!BX21-1,  "")</f>
        <v>3.4121781702918241E-3</v>
      </c>
      <c r="BY22" s="37">
        <f>IFERROR(YHHistoricalPricesAdjusted!BY22/YHHistoricalPricesAdjusted!BY21-1,  "")</f>
        <v>-2.6400423083432156E-2</v>
      </c>
      <c r="BZ22" s="37">
        <f>IFERROR(YHHistoricalPricesAdjusted!BZ22/YHHistoricalPricesAdjusted!BZ21-1,  "")</f>
        <v>5.3738791541266373E-2</v>
      </c>
      <c r="CA22" s="37">
        <f>IFERROR(YHHistoricalPricesAdjusted!CA22/YHHistoricalPricesAdjusted!CA21-1,  "")</f>
        <v>-7.8299345971744816E-2</v>
      </c>
      <c r="CB22" s="37">
        <f>IFERROR(YHHistoricalPricesAdjusted!CB22/YHHistoricalPricesAdjusted!CB21-1,  "")</f>
        <v>-6.9249751442198582E-2</v>
      </c>
      <c r="CC22" s="37">
        <f>IFERROR(YHHistoricalPricesAdjusted!CC22/YHHistoricalPricesAdjusted!CC21-1,  "")</f>
        <v>-4.7217397566577168E-2</v>
      </c>
      <c r="CD22" s="37">
        <f>IFERROR(YHHistoricalPricesAdjusted!CD22/YHHistoricalPricesAdjusted!CD21-1,  "")</f>
        <v>5.6402044907778892E-2</v>
      </c>
      <c r="CE22" s="37">
        <f>IFERROR(YHHistoricalPricesAdjusted!CE22/YHHistoricalPricesAdjusted!CE21-1,  "")</f>
        <v>-6.6578769651060132E-2</v>
      </c>
      <c r="CF22" s="37">
        <f>IFERROR(YHHistoricalPricesAdjusted!CF22/YHHistoricalPricesAdjusted!CF21-1,  "")</f>
        <v>5.0920248522714706E-2</v>
      </c>
    </row>
    <row r="23" spans="1:84" x14ac:dyDescent="0.25">
      <c r="A23" s="17">
        <v>41943</v>
      </c>
      <c r="B23" s="37">
        <f>IFERROR(YHHistoricalPricesAdjusted!B23/YHHistoricalPricesAdjusted!B22-1,  "")</f>
        <v>7.1960413814168955E-2</v>
      </c>
      <c r="C23" s="37">
        <f>IFERROR(YHHistoricalPricesAdjusted!C23/YHHistoricalPricesAdjusted!C22-1,  "")</f>
        <v>1.5923644591013364E-2</v>
      </c>
      <c r="D23" s="37">
        <f>IFERROR(YHHistoricalPricesAdjusted!D23/YHHistoricalPricesAdjusted!D22-1,  "")</f>
        <v>-0.13396214362377112</v>
      </c>
      <c r="E23" s="37">
        <f>IFERROR(YHHistoricalPricesAdjusted!E23/YHHistoricalPricesAdjusted!E22-1,  "")</f>
        <v>2.6395536813641263E-2</v>
      </c>
      <c r="F23" s="37">
        <f>IFERROR(YHHistoricalPricesAdjusted!F23/YHHistoricalPricesAdjusted!F22-1,  "")</f>
        <v>-1.139121078046712E-2</v>
      </c>
      <c r="G23" s="37">
        <f>IFERROR(YHHistoricalPricesAdjusted!G23/YHHistoricalPricesAdjusted!G22-1,  "")</f>
        <v>-2.6155975535818721E-3</v>
      </c>
      <c r="H23" s="37">
        <f>IFERROR(YHHistoricalPricesAdjusted!H23/YHHistoricalPricesAdjusted!H22-1,  "")</f>
        <v>-1.1131976313469627E-2</v>
      </c>
      <c r="I23" s="37">
        <f>IFERROR(YHHistoricalPricesAdjusted!I23/YHHistoricalPricesAdjusted!I22-1,  "")</f>
        <v>5.3552778705908244E-2</v>
      </c>
      <c r="J23" s="37">
        <f>IFERROR(YHHistoricalPricesAdjusted!J23/YHHistoricalPricesAdjusted!J22-1,  "")</f>
        <v>0.10719590657739997</v>
      </c>
      <c r="K23" s="37">
        <f>IFERROR(YHHistoricalPricesAdjusted!K23/YHHistoricalPricesAdjusted!K22-1,  "")</f>
        <v>4.359372688609553E-2</v>
      </c>
      <c r="L23" s="37">
        <f>IFERROR(YHHistoricalPricesAdjusted!L23/YHHistoricalPricesAdjusted!L22-1,  "")</f>
        <v>-1.1131976313469627E-2</v>
      </c>
      <c r="M23" s="37">
        <f>IFERROR(YHHistoricalPricesAdjusted!M23/YHHistoricalPricesAdjusted!M22-1,  "")</f>
        <v>4.0455209515245283E-2</v>
      </c>
      <c r="N23" s="37">
        <f>IFERROR(YHHistoricalPricesAdjusted!N23/YHHistoricalPricesAdjusted!N22-1,  "")</f>
        <v>-5.7990828911392955E-2</v>
      </c>
      <c r="O23" s="37">
        <f>IFERROR(YHHistoricalPricesAdjusted!O23/YHHistoricalPricesAdjusted!O22-1,  "")</f>
        <v>-4.0382232910316507E-3</v>
      </c>
      <c r="P23" s="37">
        <f>IFERROR(YHHistoricalPricesAdjusted!P23/YHHistoricalPricesAdjusted!P22-1,  "")</f>
        <v>2.8282812499432319E-2</v>
      </c>
      <c r="Q23" s="37">
        <f>IFERROR(YHHistoricalPricesAdjusted!Q23/YHHistoricalPricesAdjusted!Q22-1,  "")</f>
        <v>5.2798332062942155E-3</v>
      </c>
      <c r="R23" s="37">
        <f>IFERROR(YHHistoricalPricesAdjusted!R23/YHHistoricalPricesAdjusted!R22-1,  "")</f>
        <v>4.82669116966159E-2</v>
      </c>
      <c r="S23" s="37">
        <f>IFERROR(YHHistoricalPricesAdjusted!S23/YHHistoricalPricesAdjusted!S22-1,  "")</f>
        <v>-0.18386596225174545</v>
      </c>
      <c r="T23" s="37">
        <f>IFERROR(YHHistoricalPricesAdjusted!T23/YHHistoricalPricesAdjusted!T22-1,  "")</f>
        <v>3.9015636138200804E-2</v>
      </c>
      <c r="U23" s="37">
        <f>IFERROR(YHHistoricalPricesAdjusted!U23/YHHistoricalPricesAdjusted!U22-1,  "")</f>
        <v>-4.5976410843692195E-3</v>
      </c>
      <c r="V23" s="37">
        <f>IFERROR(YHHistoricalPricesAdjusted!V23/YHHistoricalPricesAdjusted!V22-1,  "")</f>
        <v>2.2486857479586453E-2</v>
      </c>
      <c r="W23" s="37">
        <f>IFERROR(YHHistoricalPricesAdjusted!W23/YHHistoricalPricesAdjusted!W22-1,  "")</f>
        <v>2.9981827252323345E-3</v>
      </c>
      <c r="X23" s="37">
        <f>IFERROR(YHHistoricalPricesAdjusted!X23/YHHistoricalPricesAdjusted!X22-1,  "")</f>
        <v>7.7090939108955592E-2</v>
      </c>
      <c r="Y23" s="37">
        <f>IFERROR(YHHistoricalPricesAdjusted!Y23/YHHistoricalPricesAdjusted!Y22-1,  "")</f>
        <v>1.1164148668745488E-2</v>
      </c>
      <c r="Z23" s="37">
        <f>IFERROR(YHHistoricalPricesAdjusted!Z23/YHHistoricalPricesAdjusted!Z22-1,  "")</f>
        <v>1.2850976290145866E-2</v>
      </c>
      <c r="AA23" s="37">
        <f>IFERROR(YHHistoricalPricesAdjusted!AA23/YHHistoricalPricesAdjusted!AA22-1,  "")</f>
        <v>-1.5475106327866195E-2</v>
      </c>
      <c r="AB23" s="37">
        <f>IFERROR(YHHistoricalPricesAdjusted!AB23/YHHistoricalPricesAdjusted!AB22-1,  "")</f>
        <v>0.10624961575804637</v>
      </c>
      <c r="AC23" s="37">
        <f>IFERROR(YHHistoricalPricesAdjusted!AC23/YHHistoricalPricesAdjusted!AC22-1,  "")</f>
        <v>-6.6647153398902148E-3</v>
      </c>
      <c r="AD23" s="37">
        <f>IFERROR(YHHistoricalPricesAdjusted!AD23/YHHistoricalPricesAdjusted!AD22-1,  "")</f>
        <v>-7.5596641370633266E-3</v>
      </c>
      <c r="AE23" s="37">
        <f>IFERROR(YHHistoricalPricesAdjusted!AE23/YHHistoricalPricesAdjusted!AE22-1,  "")</f>
        <v>1.8033479270896935E-2</v>
      </c>
      <c r="AF23" s="37">
        <f>IFERROR(YHHistoricalPricesAdjusted!AF23/YHHistoricalPricesAdjusted!AF22-1,  "")</f>
        <v>5.2515279783470037E-2</v>
      </c>
      <c r="AG23" s="37">
        <f>IFERROR(YHHistoricalPricesAdjusted!AG23/YHHistoricalPricesAdjusted!AG22-1,  "")</f>
        <v>6.0511286271485165E-3</v>
      </c>
      <c r="AH23" s="37">
        <f>IFERROR(YHHistoricalPricesAdjusted!AH23/YHHistoricalPricesAdjusted!AH22-1,  "")</f>
        <v>6.8374731711810188E-2</v>
      </c>
      <c r="AI23" s="37">
        <f>IFERROR(YHHistoricalPricesAdjusted!AI23/YHHistoricalPricesAdjusted!AI22-1,  "")</f>
        <v>8.3690507141857884E-2</v>
      </c>
      <c r="AJ23" s="37">
        <f>IFERROR(YHHistoricalPricesAdjusted!AJ23/YHHistoricalPricesAdjusted!AJ22-1,  "")</f>
        <v>-3.0244421739787586E-2</v>
      </c>
      <c r="AK23" s="37">
        <f>IFERROR(YHHistoricalPricesAdjusted!AK23/YHHistoricalPricesAdjusted!AK22-1,  "")</f>
        <v>-4.4179302959947875E-2</v>
      </c>
      <c r="AL23" s="37">
        <f>IFERROR(YHHistoricalPricesAdjusted!AL23/YHHistoricalPricesAdjusted!AL22-1,  "")</f>
        <v>-1.6813296905574426E-2</v>
      </c>
      <c r="AM23" s="37">
        <f>IFERROR(YHHistoricalPricesAdjusted!AM23/YHHistoricalPricesAdjusted!AM22-1,  "")</f>
        <v>6.6744182754544523E-2</v>
      </c>
      <c r="AN23" s="37">
        <f>IFERROR(YHHistoricalPricesAdjusted!AN23/YHHistoricalPricesAdjusted!AN22-1,  "")</f>
        <v>-2.1480461479604029E-2</v>
      </c>
      <c r="AO23" s="37">
        <f>IFERROR(YHHistoricalPricesAdjusted!AO23/YHHistoricalPricesAdjusted!AO22-1,  "")</f>
        <v>7.4063761574603593E-2</v>
      </c>
      <c r="AP23" s="37">
        <f>IFERROR(YHHistoricalPricesAdjusted!AP23/YHHistoricalPricesAdjusted!AP22-1,  "")</f>
        <v>0.15751274903377843</v>
      </c>
      <c r="AQ23" s="37">
        <f>IFERROR(YHHistoricalPricesAdjusted!AQ23/YHHistoricalPricesAdjusted!AQ22-1,  "")</f>
        <v>-4.2889971109633773E-2</v>
      </c>
      <c r="AR23" s="37">
        <f>IFERROR(YHHistoricalPricesAdjusted!AR23/YHHistoricalPricesAdjusted!AR22-1,  "")</f>
        <v>0.17619984015771761</v>
      </c>
      <c r="AS23" s="37">
        <f>IFERROR(YHHistoricalPricesAdjusted!AS23/YHHistoricalPricesAdjusted!AS22-1,  "")</f>
        <v>0.15998240806535668</v>
      </c>
      <c r="AT23" s="37">
        <f>IFERROR(YHHistoricalPricesAdjusted!AT23/YHHistoricalPricesAdjusted!AT22-1,  "")</f>
        <v>0.11347221182638623</v>
      </c>
      <c r="AU23" s="37">
        <f>IFERROR(YHHistoricalPricesAdjusted!AU23/YHHistoricalPricesAdjusted!AU22-1,  "")</f>
        <v>0.1065730001512335</v>
      </c>
      <c r="AV23" s="37">
        <f>IFERROR(YHHistoricalPricesAdjusted!AV23/YHHistoricalPricesAdjusted!AV22-1,  "")</f>
        <v>0.1436920947394611</v>
      </c>
      <c r="AW23" s="37">
        <f>IFERROR(YHHistoricalPricesAdjusted!AW23/YHHistoricalPricesAdjusted!AW22-1,  "")</f>
        <v>6.7533027675636736E-2</v>
      </c>
      <c r="AX23" s="37">
        <f>IFERROR(YHHistoricalPricesAdjusted!AX23/YHHistoricalPricesAdjusted!AX22-1,  "")</f>
        <v>9.8702705843038752E-2</v>
      </c>
      <c r="AY23" s="37">
        <f>IFERROR(YHHistoricalPricesAdjusted!AY23/YHHistoricalPricesAdjusted!AY22-1,  "")</f>
        <v>6.2084987972602645E-2</v>
      </c>
      <c r="AZ23" s="37">
        <f>IFERROR(YHHistoricalPricesAdjusted!AZ23/YHHistoricalPricesAdjusted!AZ22-1,  "")</f>
        <v>5.0423807767337347E-2</v>
      </c>
      <c r="BA23" s="37">
        <f>IFERROR(YHHistoricalPricesAdjusted!BA23/YHHistoricalPricesAdjusted!BA22-1,  "")</f>
        <v>8.9639663339432518E-2</v>
      </c>
      <c r="BB23" s="37">
        <f>IFERROR(YHHistoricalPricesAdjusted!BB23/YHHistoricalPricesAdjusted!BB22-1,  "")</f>
        <v>3.9839020377261392E-3</v>
      </c>
      <c r="BC23" s="37">
        <f>IFERROR(YHHistoricalPricesAdjusted!BC23/YHHistoricalPricesAdjusted!BC22-1,  "")</f>
        <v>9.5542734773399474E-3</v>
      </c>
      <c r="BD23" s="37">
        <f>IFERROR(YHHistoricalPricesAdjusted!BD23/YHHistoricalPricesAdjusted!BD22-1,  "")</f>
        <v>0.13150863143811664</v>
      </c>
      <c r="BE23" s="37">
        <f>IFERROR(YHHistoricalPricesAdjusted!BE23/YHHistoricalPricesAdjusted!BE22-1,  "")</f>
        <v>3.2999002166917091E-2</v>
      </c>
      <c r="BF23" s="37">
        <f>IFERROR(YHHistoricalPricesAdjusted!BF23/YHHistoricalPricesAdjusted!BF22-1,  "")</f>
        <v>3.4973012725876051E-2</v>
      </c>
      <c r="BG23" s="37">
        <f>IFERROR(YHHistoricalPricesAdjusted!BG23/YHHistoricalPricesAdjusted!BG22-1,  "")</f>
        <v>2.4402190939609936E-2</v>
      </c>
      <c r="BH23" s="37">
        <f>IFERROR(YHHistoricalPricesAdjusted!BH23/YHHistoricalPricesAdjusted!BH22-1,  "")</f>
        <v>2.3520247049964249E-2</v>
      </c>
      <c r="BI23" s="37">
        <f>IFERROR(YHHistoricalPricesAdjusted!BI23/YHHistoricalPricesAdjusted!BI22-1,  "")</f>
        <v>0.13298174651052364</v>
      </c>
      <c r="BJ23" s="37">
        <f>IFERROR(YHHistoricalPricesAdjusted!BJ23/YHHistoricalPricesAdjusted!BJ22-1,  "")</f>
        <v>-7.6842156106918247E-2</v>
      </c>
      <c r="BK23" s="37">
        <f>IFERROR(YHHistoricalPricesAdjusted!BK23/YHHistoricalPricesAdjusted!BK22-1,  "")</f>
        <v>2.7530127928756531E-2</v>
      </c>
      <c r="BL23" s="37">
        <f>IFERROR(YHHistoricalPricesAdjusted!BL23/YHHistoricalPricesAdjusted!BL22-1,  "")</f>
        <v>8.5333281987883369E-2</v>
      </c>
      <c r="BM23" s="37">
        <f>IFERROR(YHHistoricalPricesAdjusted!BM23/YHHistoricalPricesAdjusted!BM22-1,  "")</f>
        <v>3.2216590287847957E-2</v>
      </c>
      <c r="BN23" s="37">
        <f>IFERROR(YHHistoricalPricesAdjusted!BN23/YHHistoricalPricesAdjusted!BN22-1,  "")</f>
        <v>5.9979060646983218E-2</v>
      </c>
      <c r="BO23" s="37">
        <f>IFERROR(YHHistoricalPricesAdjusted!BO23/YHHistoricalPricesAdjusted!BO22-1,  "")</f>
        <v>8.4727919486276226E-2</v>
      </c>
      <c r="BP23" s="37">
        <f>IFERROR(YHHistoricalPricesAdjusted!BP23/YHHistoricalPricesAdjusted!BP22-1,  "")</f>
        <v>8.2097167573498053E-2</v>
      </c>
      <c r="BQ23" s="37">
        <f>IFERROR(YHHistoricalPricesAdjusted!BQ23/YHHistoricalPricesAdjusted!BQ22-1,  "")</f>
        <v>0.10759189116091261</v>
      </c>
      <c r="BR23" s="37">
        <f>IFERROR(YHHistoricalPricesAdjusted!BR23/YHHistoricalPricesAdjusted!BR22-1,  "")</f>
        <v>3.5097632003324719E-2</v>
      </c>
      <c r="BS23" s="37">
        <f>IFERROR(YHHistoricalPricesAdjusted!BS23/YHHistoricalPricesAdjusted!BS22-1,  "")</f>
        <v>6.309926347211281E-3</v>
      </c>
      <c r="BT23" s="37">
        <f>IFERROR(YHHistoricalPricesAdjusted!BT23/YHHistoricalPricesAdjusted!BT22-1,  "")</f>
        <v>3.9171466265020882E-2</v>
      </c>
      <c r="BU23" s="37">
        <f>IFERROR(YHHistoricalPricesAdjusted!BU23/YHHistoricalPricesAdjusted!BU22-1,  "")</f>
        <v>4.198377539942566E-3</v>
      </c>
      <c r="BV23" s="37">
        <f>IFERROR(YHHistoricalPricesAdjusted!BV23/YHHistoricalPricesAdjusted!BV22-1,  "")</f>
        <v>1.2726335778171505E-2</v>
      </c>
      <c r="BW23" s="37">
        <f>IFERROR(YHHistoricalPricesAdjusted!BW23/YHHistoricalPricesAdjusted!BW22-1,  "")</f>
        <v>-2.3262578876709017E-2</v>
      </c>
      <c r="BX23" s="37">
        <f>IFERROR(YHHistoricalPricesAdjusted!BX23/YHHistoricalPricesAdjusted!BX22-1,  "")</f>
        <v>5.2011648053149617E-3</v>
      </c>
      <c r="BY23" s="37">
        <f>IFERROR(YHHistoricalPricesAdjusted!BY23/YHHistoricalPricesAdjusted!BY22-1,  "")</f>
        <v>0.11228929449485991</v>
      </c>
      <c r="BZ23" s="37">
        <f>IFERROR(YHHistoricalPricesAdjusted!BZ23/YHHistoricalPricesAdjusted!BZ22-1,  "")</f>
        <v>4.1071537927765966E-3</v>
      </c>
      <c r="CA23" s="37">
        <f>IFERROR(YHHistoricalPricesAdjusted!CA23/YHHistoricalPricesAdjusted!CA22-1,  "")</f>
        <v>4.9332073042490654E-2</v>
      </c>
      <c r="CB23" s="37">
        <f>IFERROR(YHHistoricalPricesAdjusted!CB23/YHHistoricalPricesAdjusted!CB22-1,  "")</f>
        <v>3.8192151134984753E-2</v>
      </c>
      <c r="CC23" s="37">
        <f>IFERROR(YHHistoricalPricesAdjusted!CC23/YHHistoricalPricesAdjusted!CC22-1,  "")</f>
        <v>5.9078438687075963E-2</v>
      </c>
      <c r="CD23" s="37">
        <f>IFERROR(YHHistoricalPricesAdjusted!CD23/YHHistoricalPricesAdjusted!CD22-1,  "")</f>
        <v>-5.1239915849697448E-2</v>
      </c>
      <c r="CE23" s="37">
        <f>IFERROR(YHHistoricalPricesAdjusted!CE23/YHHistoricalPricesAdjusted!CE22-1,  "")</f>
        <v>2.1132274621264324E-2</v>
      </c>
      <c r="CF23" s="37">
        <f>IFERROR(YHHistoricalPricesAdjusted!CF23/YHHistoricalPricesAdjusted!CF22-1,  "")</f>
        <v>-3.4150556576214575E-2</v>
      </c>
    </row>
    <row r="24" spans="1:84" x14ac:dyDescent="0.25">
      <c r="A24" s="17">
        <v>41973</v>
      </c>
      <c r="B24" s="37">
        <f>IFERROR(YHHistoricalPricesAdjusted!B24/YHHistoricalPricesAdjusted!B23-1,  "")</f>
        <v>0.10120372158917212</v>
      </c>
      <c r="C24" s="37">
        <f>IFERROR(YHHistoricalPricesAdjusted!C24/YHHistoricalPricesAdjusted!C23-1,  "")</f>
        <v>2.634639896195079E-2</v>
      </c>
      <c r="D24" s="37">
        <f>IFERROR(YHHistoricalPricesAdjusted!D24/YHHistoricalPricesAdjusted!D23-1,  "")</f>
        <v>-1.3564333031564679E-2</v>
      </c>
      <c r="E24" s="37">
        <f>IFERROR(YHHistoricalPricesAdjusted!E24/YHHistoricalPricesAdjusted!E23-1,  "")</f>
        <v>1.2366113674939117E-2</v>
      </c>
      <c r="F24" s="37">
        <f>IFERROR(YHHistoricalPricesAdjusted!F24/YHHistoricalPricesAdjusted!F23-1,  "")</f>
        <v>3.2860263977311677E-2</v>
      </c>
      <c r="G24" s="37">
        <f>IFERROR(YHHistoricalPricesAdjusted!G24/YHHistoricalPricesAdjusted!G23-1,  "")</f>
        <v>0.14776488640284713</v>
      </c>
      <c r="H24" s="37">
        <f>IFERROR(YHHistoricalPricesAdjusted!H24/YHHistoricalPricesAdjusted!H23-1,  "")</f>
        <v>7.0439579946936393E-2</v>
      </c>
      <c r="I24" s="37">
        <f>IFERROR(YHHistoricalPricesAdjusted!I24/YHHistoricalPricesAdjusted!I23-1,  "")</f>
        <v>8.131514762887937E-2</v>
      </c>
      <c r="J24" s="37">
        <f>IFERROR(YHHistoricalPricesAdjusted!J24/YHHistoricalPricesAdjusted!J23-1,  "")</f>
        <v>-4.8576390046525253E-3</v>
      </c>
      <c r="K24" s="37">
        <f>IFERROR(YHHistoricalPricesAdjusted!K24/YHHistoricalPricesAdjusted!K23-1,  "")</f>
        <v>1.4668424610266406E-2</v>
      </c>
      <c r="L24" s="37">
        <f>IFERROR(YHHistoricalPricesAdjusted!L24/YHHistoricalPricesAdjusted!L23-1,  "")</f>
        <v>7.0439579946936393E-2</v>
      </c>
      <c r="M24" s="37">
        <f>IFERROR(YHHistoricalPricesAdjusted!M24/YHHistoricalPricesAdjusted!M23-1,  "")</f>
        <v>4.0865230374147021E-2</v>
      </c>
      <c r="N24" s="37">
        <f>IFERROR(YHHistoricalPricesAdjusted!N24/YHHistoricalPricesAdjusted!N23-1,  "")</f>
        <v>-5.6039897093020929E-2</v>
      </c>
      <c r="O24" s="37">
        <f>IFERROR(YHHistoricalPricesAdjusted!O24/YHHistoricalPricesAdjusted!O23-1,  "")</f>
        <v>1.1667385333066438E-2</v>
      </c>
      <c r="P24" s="37">
        <f>IFERROR(YHHistoricalPricesAdjusted!P24/YHHistoricalPricesAdjusted!P23-1,  "")</f>
        <v>-6.3798998668602058E-2</v>
      </c>
      <c r="Q24" s="37">
        <f>IFERROR(YHHistoricalPricesAdjusted!Q24/YHHistoricalPricesAdjusted!Q23-1,  "")</f>
        <v>-9.2371768620206351E-2</v>
      </c>
      <c r="R24" s="37">
        <f>IFERROR(YHHistoricalPricesAdjusted!R24/YHHistoricalPricesAdjusted!R23-1,  "")</f>
        <v>6.6649178173475265E-2</v>
      </c>
      <c r="S24" s="37">
        <f>IFERROR(YHHistoricalPricesAdjusted!S24/YHHistoricalPricesAdjusted!S23-1,  "")</f>
        <v>-9.8511862548603113E-2</v>
      </c>
      <c r="T24" s="37">
        <f>IFERROR(YHHistoricalPricesAdjusted!T24/YHHistoricalPricesAdjusted!T23-1,  "")</f>
        <v>2.0373301786784426E-2</v>
      </c>
      <c r="U24" s="37">
        <f>IFERROR(YHHistoricalPricesAdjusted!U24/YHHistoricalPricesAdjusted!U23-1,  "")</f>
        <v>1.1305342490319559E-2</v>
      </c>
      <c r="V24" s="37">
        <f>IFERROR(YHHistoricalPricesAdjusted!V24/YHHistoricalPricesAdjusted!V23-1,  "")</f>
        <v>4.7073602262000191E-2</v>
      </c>
      <c r="W24" s="37">
        <f>IFERROR(YHHistoricalPricesAdjusted!W24/YHHistoricalPricesAdjusted!W23-1,  "")</f>
        <v>3.294986493465113E-2</v>
      </c>
      <c r="X24" s="37">
        <f>IFERROR(YHHistoricalPricesAdjusted!X24/YHHistoricalPricesAdjusted!X23-1,  "")</f>
        <v>3.0216075150319543E-2</v>
      </c>
      <c r="Y24" s="37">
        <f>IFERROR(YHHistoricalPricesAdjusted!Y24/YHHistoricalPricesAdjusted!Y23-1,  "")</f>
        <v>4.3608933884211609E-3</v>
      </c>
      <c r="Z24" s="37">
        <f>IFERROR(YHHistoricalPricesAdjusted!Z24/YHHistoricalPricesAdjusted!Z23-1,  "")</f>
        <v>4.0066853485531517E-2</v>
      </c>
      <c r="AA24" s="37">
        <f>IFERROR(YHHistoricalPricesAdjusted!AA24/YHHistoricalPricesAdjusted!AA23-1,  "")</f>
        <v>4.2457807453314622E-2</v>
      </c>
      <c r="AB24" s="37">
        <f>IFERROR(YHHistoricalPricesAdjusted!AB24/YHHistoricalPricesAdjusted!AB23-1,  "")</f>
        <v>3.8101153908651542E-2</v>
      </c>
      <c r="AC24" s="37">
        <f>IFERROR(YHHistoricalPricesAdjusted!AC24/YHHistoricalPricesAdjusted!AC23-1,  "")</f>
        <v>-5.1391523513565351E-3</v>
      </c>
      <c r="AD24" s="37">
        <f>IFERROR(YHHistoricalPricesAdjusted!AD24/YHHistoricalPricesAdjusted!AD23-1,  "")</f>
        <v>8.7746245970448111E-3</v>
      </c>
      <c r="AE24" s="37">
        <f>IFERROR(YHHistoricalPricesAdjusted!AE24/YHHistoricalPricesAdjusted!AE23-1,  "")</f>
        <v>1.2216583857245444E-2</v>
      </c>
      <c r="AF24" s="37">
        <f>IFERROR(YHHistoricalPricesAdjusted!AF24/YHHistoricalPricesAdjusted!AF23-1,  "")</f>
        <v>-0.11393106565479727</v>
      </c>
      <c r="AG24" s="37">
        <f>IFERROR(YHHistoricalPricesAdjusted!AG24/YHHistoricalPricesAdjusted!AG23-1,  "")</f>
        <v>0.11481391684511588</v>
      </c>
      <c r="AH24" s="37">
        <f>IFERROR(YHHistoricalPricesAdjusted!AH24/YHHistoricalPricesAdjusted!AH23-1,  "")</f>
        <v>1.9278120542699062E-2</v>
      </c>
      <c r="AI24" s="37">
        <f>IFERROR(YHHistoricalPricesAdjusted!AI24/YHHistoricalPricesAdjusted!AI23-1,  "")</f>
        <v>4.0132125339081837E-2</v>
      </c>
      <c r="AJ24" s="37">
        <f>IFERROR(YHHistoricalPricesAdjusted!AJ24/YHHistoricalPricesAdjusted!AJ23-1,  "")</f>
        <v>2.5185337803467656E-2</v>
      </c>
      <c r="AK24" s="37">
        <f>IFERROR(YHHistoricalPricesAdjusted!AK24/YHHistoricalPricesAdjusted!AK23-1,  "")</f>
        <v>7.325879912619726E-2</v>
      </c>
      <c r="AL24" s="37">
        <f>IFERROR(YHHistoricalPricesAdjusted!AL24/YHHistoricalPricesAdjusted!AL23-1,  "")</f>
        <v>0.11496992367041292</v>
      </c>
      <c r="AM24" s="37">
        <f>IFERROR(YHHistoricalPricesAdjusted!AM24/YHHistoricalPricesAdjusted!AM23-1,  "")</f>
        <v>-9.1669756718245621E-2</v>
      </c>
      <c r="AN24" s="37">
        <f>IFERROR(YHHistoricalPricesAdjusted!AN24/YHHistoricalPricesAdjusted!AN23-1,  "")</f>
        <v>-4.8970369305294525E-3</v>
      </c>
      <c r="AO24" s="37">
        <f>IFERROR(YHHistoricalPricesAdjusted!AO24/YHHistoricalPricesAdjusted!AO23-1,  "")</f>
        <v>2.7481247532459285E-3</v>
      </c>
      <c r="AP24" s="37">
        <f>IFERROR(YHHistoricalPricesAdjusted!AP24/YHHistoricalPricesAdjusted!AP23-1,  "")</f>
        <v>5.6988295465262739E-2</v>
      </c>
      <c r="AQ24" s="37">
        <f>IFERROR(YHHistoricalPricesAdjusted!AQ24/YHHistoricalPricesAdjusted!AQ23-1,  "")</f>
        <v>4.0156731974921644E-2</v>
      </c>
      <c r="AR24" s="37">
        <f>IFERROR(YHHistoricalPricesAdjusted!AR24/YHHistoricalPricesAdjusted!AR23-1,  "")</f>
        <v>-2.4874472349125654E-2</v>
      </c>
      <c r="AS24" s="37">
        <f>IFERROR(YHHistoricalPricesAdjusted!AS24/YHHistoricalPricesAdjusted!AS23-1,  "")</f>
        <v>-3.6880700184196535E-2</v>
      </c>
      <c r="AT24" s="37">
        <f>IFERROR(YHHistoricalPricesAdjusted!AT24/YHHistoricalPricesAdjusted!AT23-1,  "")</f>
        <v>1.450369252171857E-2</v>
      </c>
      <c r="AU24" s="37">
        <f>IFERROR(YHHistoricalPricesAdjusted!AU24/YHHistoricalPricesAdjusted!AU23-1,  "")</f>
        <v>-5.9960855904220844E-3</v>
      </c>
      <c r="AV24" s="37">
        <f>IFERROR(YHHistoricalPricesAdjusted!AV24/YHHistoricalPricesAdjusted!AV23-1,  "")</f>
        <v>-6.2415851028915337E-2</v>
      </c>
      <c r="AW24" s="37">
        <f>IFERROR(YHHistoricalPricesAdjusted!AW24/YHHistoricalPricesAdjusted!AW23-1,  "")</f>
        <v>4.1608437515835872E-2</v>
      </c>
      <c r="AX24" s="37">
        <f>IFERROR(YHHistoricalPricesAdjusted!AX24/YHHistoricalPricesAdjusted!AX23-1,  "")</f>
        <v>-1.5215865338577439E-2</v>
      </c>
      <c r="AY24" s="37">
        <f>IFERROR(YHHistoricalPricesAdjusted!AY24/YHHistoricalPricesAdjusted!AY23-1,  "")</f>
        <v>3.4783304215286526E-2</v>
      </c>
      <c r="AZ24" s="37">
        <f>IFERROR(YHHistoricalPricesAdjusted!AZ24/YHHistoricalPricesAdjusted!AZ23-1,  "")</f>
        <v>1.5727488044618099E-2</v>
      </c>
      <c r="BA24" s="37">
        <f>IFERROR(YHHistoricalPricesAdjusted!BA24/YHHistoricalPricesAdjusted!BA23-1,  "")</f>
        <v>-8.5201304901292296E-3</v>
      </c>
      <c r="BB24" s="37">
        <f>IFERROR(YHHistoricalPricesAdjusted!BB24/YHHistoricalPricesAdjusted!BB23-1,  "")</f>
        <v>1.41086388238576E-3</v>
      </c>
      <c r="BC24" s="37">
        <f>IFERROR(YHHistoricalPricesAdjusted!BC24/YHHistoricalPricesAdjusted!BC23-1,  "")</f>
        <v>-6.993144086900549E-3</v>
      </c>
      <c r="BD24" s="37">
        <f>IFERROR(YHHistoricalPricesAdjusted!BD24/YHHistoricalPricesAdjusted!BD23-1,  "")</f>
        <v>6.9419877657083129E-2</v>
      </c>
      <c r="BE24" s="37">
        <f>IFERROR(YHHistoricalPricesAdjusted!BE24/YHHistoricalPricesAdjusted!BE23-1,  "")</f>
        <v>8.4112220293244278E-3</v>
      </c>
      <c r="BF24" s="37">
        <f>IFERROR(YHHistoricalPricesAdjusted!BF24/YHHistoricalPricesAdjusted!BF23-1,  "")</f>
        <v>-8.3163389659868248E-3</v>
      </c>
      <c r="BG24" s="37">
        <f>IFERROR(YHHistoricalPricesAdjusted!BG24/YHHistoricalPricesAdjusted!BG23-1,  "")</f>
        <v>3.7558677673278362E-2</v>
      </c>
      <c r="BH24" s="37">
        <f>IFERROR(YHHistoricalPricesAdjusted!BH24/YHHistoricalPricesAdjusted!BH23-1,  "")</f>
        <v>2.6181926921390097E-2</v>
      </c>
      <c r="BI24" s="37">
        <f>IFERROR(YHHistoricalPricesAdjusted!BI24/YHHistoricalPricesAdjusted!BI23-1,  "")</f>
        <v>4.3809464104144658E-2</v>
      </c>
      <c r="BJ24" s="37">
        <f>IFERROR(YHHistoricalPricesAdjusted!BJ24/YHHistoricalPricesAdjusted!BJ23-1,  "")</f>
        <v>3.6354629793844184E-2</v>
      </c>
      <c r="BK24" s="37">
        <f>IFERROR(YHHistoricalPricesAdjusted!BK24/YHHistoricalPricesAdjusted!BK23-1,  "")</f>
        <v>3.0520387532054327E-2</v>
      </c>
      <c r="BL24" s="37">
        <f>IFERROR(YHHistoricalPricesAdjusted!BL24/YHHistoricalPricesAdjusted!BL23-1,  "")</f>
        <v>4.1100041234830575E-2</v>
      </c>
      <c r="BM24" s="37">
        <f>IFERROR(YHHistoricalPricesAdjusted!BM24/YHHistoricalPricesAdjusted!BM23-1,  "")</f>
        <v>3.0690774211980854E-2</v>
      </c>
      <c r="BN24" s="37">
        <f>IFERROR(YHHistoricalPricesAdjusted!BN24/YHHistoricalPricesAdjusted!BN23-1,  "")</f>
        <v>3.9303550497781892E-2</v>
      </c>
      <c r="BO24" s="37">
        <f>IFERROR(YHHistoricalPricesAdjusted!BO24/YHHistoricalPricesAdjusted!BO23-1,  "")</f>
        <v>4.2614006195769161E-2</v>
      </c>
      <c r="BP24" s="37">
        <f>IFERROR(YHHistoricalPricesAdjusted!BP24/YHHistoricalPricesAdjusted!BP23-1,  "")</f>
        <v>-1.6413055016787359E-3</v>
      </c>
      <c r="BQ24" s="37">
        <f>IFERROR(YHHistoricalPricesAdjusted!BQ24/YHHistoricalPricesAdjusted!BQ23-1,  "")</f>
        <v>-3.8308229360451973E-3</v>
      </c>
      <c r="BR24" s="37">
        <f>IFERROR(YHHistoricalPricesAdjusted!BR24/YHHistoricalPricesAdjusted!BR23-1,  "")</f>
        <v>2.9703510590745719E-2</v>
      </c>
      <c r="BS24" s="37">
        <f>IFERROR(YHHistoricalPricesAdjusted!BS24/YHHistoricalPricesAdjusted!BS23-1,  "")</f>
        <v>2.0901434159625643E-2</v>
      </c>
      <c r="BT24" s="37">
        <f>IFERROR(YHHistoricalPricesAdjusted!BT24/YHHistoricalPricesAdjusted!BT23-1,  "")</f>
        <v>-8.1355661016948577E-3</v>
      </c>
      <c r="BU24" s="37">
        <f>IFERROR(YHHistoricalPricesAdjusted!BU24/YHHistoricalPricesAdjusted!BU23-1,  "")</f>
        <v>8.0677954802260032E-2</v>
      </c>
      <c r="BV24" s="37">
        <f>IFERROR(YHHistoricalPricesAdjusted!BV24/YHHistoricalPricesAdjusted!BV23-1,  "")</f>
        <v>1.831762880432275E-2</v>
      </c>
      <c r="BW24" s="37">
        <f>IFERROR(YHHistoricalPricesAdjusted!BW24/YHHistoricalPricesAdjusted!BW23-1,  "")</f>
        <v>9.5266263411873275E-2</v>
      </c>
      <c r="BX24" s="37">
        <f>IFERROR(YHHistoricalPricesAdjusted!BX24/YHHistoricalPricesAdjusted!BX23-1,  "")</f>
        <v>1.8036651256379432E-2</v>
      </c>
      <c r="BY24" s="37">
        <f>IFERROR(YHHistoricalPricesAdjusted!BY24/YHHistoricalPricesAdjusted!BY23-1,  "")</f>
        <v>-6.4385105035627221E-2</v>
      </c>
      <c r="BZ24" s="37">
        <f>IFERROR(YHHistoricalPricesAdjusted!BZ24/YHHistoricalPricesAdjusted!BZ23-1,  "")</f>
        <v>6.9826534824626973E-2</v>
      </c>
      <c r="CA24" s="37">
        <f>IFERROR(YHHistoricalPricesAdjusted!CA24/YHHistoricalPricesAdjusted!CA23-1,  "")</f>
        <v>5.4820164793624171E-2</v>
      </c>
      <c r="CB24" s="37">
        <f>IFERROR(YHHistoricalPricesAdjusted!CB24/YHHistoricalPricesAdjusted!CB23-1,  "")</f>
        <v>6.3136445090031801E-2</v>
      </c>
      <c r="CC24" s="37">
        <f>IFERROR(YHHistoricalPricesAdjusted!CC24/YHHistoricalPricesAdjusted!CC23-1,  "")</f>
        <v>7.3183102612293993E-2</v>
      </c>
      <c r="CD24" s="37">
        <f>IFERROR(YHHistoricalPricesAdjusted!CD24/YHHistoricalPricesAdjusted!CD23-1,  "")</f>
        <v>3.6138139382267953E-2</v>
      </c>
      <c r="CE24" s="37">
        <f>IFERROR(YHHistoricalPricesAdjusted!CE24/YHHistoricalPricesAdjusted!CE23-1,  "")</f>
        <v>8.8628886107719129E-2</v>
      </c>
      <c r="CF24" s="37">
        <f>IFERROR(YHHistoricalPricesAdjusted!CF24/YHHistoricalPricesAdjusted!CF23-1,  "")</f>
        <v>8.6430976125717596E-2</v>
      </c>
    </row>
    <row r="25" spans="1:84" x14ac:dyDescent="0.25">
      <c r="A25" s="17">
        <v>42004</v>
      </c>
      <c r="B25" s="37">
        <f>IFERROR(YHHistoricalPricesAdjusted!B25/YHHistoricalPricesAdjusted!B24-1,  "")</f>
        <v>-6.7866559859807607E-2</v>
      </c>
      <c r="C25" s="37">
        <f>IFERROR(YHHistoricalPricesAdjusted!C25/YHHistoricalPricesAdjusted!C24-1,  "")</f>
        <v>-4.6054896322042405E-2</v>
      </c>
      <c r="D25" s="37">
        <f>IFERROR(YHHistoricalPricesAdjusted!D25/YHHistoricalPricesAdjusted!D24-1,  "")</f>
        <v>-3.8965570674163175E-3</v>
      </c>
      <c r="E25" s="37">
        <f>IFERROR(YHHistoricalPricesAdjusted!E25/YHHistoricalPricesAdjusted!E24-1,  "")</f>
        <v>1.8160195771041776E-2</v>
      </c>
      <c r="F25" s="37">
        <f>IFERROR(YHHistoricalPricesAdjusted!F25/YHHistoricalPricesAdjusted!F24-1,  "")</f>
        <v>-2.3568462120099221E-2</v>
      </c>
      <c r="G25" s="37">
        <f>IFERROR(YHHistoricalPricesAdjusted!G25/YHHistoricalPricesAdjusted!G24-1,  "")</f>
        <v>-1.8963092323311059E-2</v>
      </c>
      <c r="H25" s="37">
        <f>IFERROR(YHHistoricalPricesAdjusted!H25/YHHistoricalPricesAdjusted!H24-1,  "")</f>
        <v>-5.171023679402198E-2</v>
      </c>
      <c r="I25" s="37">
        <f>IFERROR(YHHistoricalPricesAdjusted!I25/YHHistoricalPricesAdjusted!I24-1,  "")</f>
        <v>1.1524220626973669E-2</v>
      </c>
      <c r="J25" s="37">
        <f>IFERROR(YHHistoricalPricesAdjusted!J25/YHHistoricalPricesAdjusted!J24-1,  "")</f>
        <v>7.1762156346538042E-2</v>
      </c>
      <c r="K25" s="37">
        <f>IFERROR(YHHistoricalPricesAdjusted!K25/YHHistoricalPricesAdjusted!K24-1,  "")</f>
        <v>1.9085672459287828E-2</v>
      </c>
      <c r="L25" s="37">
        <f>IFERROR(YHHistoricalPricesAdjusted!L25/YHHistoricalPricesAdjusted!L24-1,  "")</f>
        <v>-5.171023679402198E-2</v>
      </c>
      <c r="M25" s="37">
        <f>IFERROR(YHHistoricalPricesAdjusted!M25/YHHistoricalPricesAdjusted!M24-1,  "")</f>
        <v>-5.5344645148311389E-2</v>
      </c>
      <c r="N25" s="37">
        <f>IFERROR(YHHistoricalPricesAdjusted!N25/YHHistoricalPricesAdjusted!N24-1,  "")</f>
        <v>-2.6385211135085629E-2</v>
      </c>
      <c r="O25" s="37">
        <f>IFERROR(YHHistoricalPricesAdjusted!O25/YHHistoricalPricesAdjusted!O24-1,  "")</f>
        <v>-9.0422049886765166E-2</v>
      </c>
      <c r="P25" s="37">
        <f>IFERROR(YHHistoricalPricesAdjusted!P25/YHHistoricalPricesAdjusted!P24-1,  "")</f>
        <v>3.5867465922270414E-2</v>
      </c>
      <c r="Q25" s="37">
        <f>IFERROR(YHHistoricalPricesAdjusted!Q25/YHHistoricalPricesAdjusted!Q24-1,  "")</f>
        <v>3.9958818259341333E-2</v>
      </c>
      <c r="R25" s="37">
        <f>IFERROR(YHHistoricalPricesAdjusted!R25/YHHistoricalPricesAdjusted!R24-1,  "")</f>
        <v>7.6738802081995461E-2</v>
      </c>
      <c r="S25" s="37">
        <f>IFERROR(YHHistoricalPricesAdjusted!S25/YHHistoricalPricesAdjusted!S24-1,  "")</f>
        <v>-3.9465372702303658E-2</v>
      </c>
      <c r="T25" s="37">
        <f>IFERROR(YHHistoricalPricesAdjusted!T25/YHHistoricalPricesAdjusted!T24-1,  "")</f>
        <v>1.877962037838854E-3</v>
      </c>
      <c r="U25" s="37">
        <f>IFERROR(YHHistoricalPricesAdjusted!U25/YHHistoricalPricesAdjusted!U24-1,  "")</f>
        <v>1.8461878625833705E-2</v>
      </c>
      <c r="V25" s="37">
        <f>IFERROR(YHHistoricalPricesAdjusted!V25/YHHistoricalPricesAdjusted!V24-1,  "")</f>
        <v>-3.6694555315922583E-3</v>
      </c>
      <c r="W25" s="37">
        <f>IFERROR(YHHistoricalPricesAdjusted!W25/YHHistoricalPricesAdjusted!W24-1,  "")</f>
        <v>-2.621665404560769E-3</v>
      </c>
      <c r="X25" s="37">
        <f>IFERROR(YHHistoricalPricesAdjusted!X25/YHHistoricalPricesAdjusted!X24-1,  "")</f>
        <v>2.8776467186970134E-2</v>
      </c>
      <c r="Y25" s="37">
        <f>IFERROR(YHHistoricalPricesAdjusted!Y25/YHHistoricalPricesAdjusted!Y24-1,  "")</f>
        <v>-2.770398333072055E-2</v>
      </c>
      <c r="Z25" s="37">
        <f>IFERROR(YHHistoricalPricesAdjusted!Z25/YHHistoricalPricesAdjusted!Z24-1,  "")</f>
        <v>8.6608110965742391E-3</v>
      </c>
      <c r="AA25" s="37">
        <f>IFERROR(YHHistoricalPricesAdjusted!AA25/YHHistoricalPricesAdjusted!AA24-1,  "")</f>
        <v>-5.9768182460488539E-2</v>
      </c>
      <c r="AB25" s="37">
        <f>IFERROR(YHHistoricalPricesAdjusted!AB25/YHHistoricalPricesAdjusted!AB24-1,  "")</f>
        <v>2.4941625932832112E-2</v>
      </c>
      <c r="AC25" s="37">
        <f>IFERROR(YHHistoricalPricesAdjusted!AC25/YHHistoricalPricesAdjusted!AC24-1,  "")</f>
        <v>5.3092248438250333E-2</v>
      </c>
      <c r="AD25" s="37">
        <f>IFERROR(YHHistoricalPricesAdjusted!AD25/YHHistoricalPricesAdjusted!AD24-1,  "")</f>
        <v>6.4491126656258668E-2</v>
      </c>
      <c r="AE25" s="37">
        <f>IFERROR(YHHistoricalPricesAdjusted!AE25/YHHistoricalPricesAdjusted!AE24-1,  "")</f>
        <v>-2.3233022836002482E-2</v>
      </c>
      <c r="AF25" s="37">
        <f>IFERROR(YHHistoricalPricesAdjusted!AF25/YHHistoricalPricesAdjusted!AF24-1,  "")</f>
        <v>3.2754873762810055E-2</v>
      </c>
      <c r="AG25" s="37">
        <f>IFERROR(YHHistoricalPricesAdjusted!AG25/YHHistoricalPricesAdjusted!AG24-1,  "")</f>
        <v>-4.8586653560168447E-2</v>
      </c>
      <c r="AH25" s="37">
        <f>IFERROR(YHHistoricalPricesAdjusted!AH25/YHHistoricalPricesAdjusted!AH24-1,  "")</f>
        <v>5.603627526993904E-2</v>
      </c>
      <c r="AI25" s="37">
        <f>IFERROR(YHHistoricalPricesAdjusted!AI25/YHHistoricalPricesAdjusted!AI24-1,  "")</f>
        <v>-7.0725463760377139E-3</v>
      </c>
      <c r="AJ25" s="37">
        <f>IFERROR(YHHistoricalPricesAdjusted!AJ25/YHHistoricalPricesAdjusted!AJ24-1,  "")</f>
        <v>-1.8056399320212968E-2</v>
      </c>
      <c r="AK25" s="37">
        <f>IFERROR(YHHistoricalPricesAdjusted!AK25/YHHistoricalPricesAdjusted!AK24-1,  "")</f>
        <v>3.3184569958781385E-2</v>
      </c>
      <c r="AL25" s="37">
        <f>IFERROR(YHHistoricalPricesAdjusted!AL25/YHHistoricalPricesAdjusted!AL24-1,  "")</f>
        <v>-5.4978892886065056E-2</v>
      </c>
      <c r="AM25" s="37">
        <f>IFERROR(YHHistoricalPricesAdjusted!AM25/YHHistoricalPricesAdjusted!AM24-1,  "")</f>
        <v>5.2463067779533468E-2</v>
      </c>
      <c r="AN25" s="37">
        <f>IFERROR(YHHistoricalPricesAdjusted!AN25/YHHistoricalPricesAdjusted!AN24-1,  "")</f>
        <v>2.1720652402134943E-2</v>
      </c>
      <c r="AO25" s="37">
        <f>IFERROR(YHHistoricalPricesAdjusted!AO25/YHHistoricalPricesAdjusted!AO24-1,  "")</f>
        <v>2.4364332389035681E-2</v>
      </c>
      <c r="AP25" s="37">
        <f>IFERROR(YHHistoricalPricesAdjusted!AP25/YHHistoricalPricesAdjusted!AP24-1,  "")</f>
        <v>3.409669229205603E-3</v>
      </c>
      <c r="AQ25" s="37">
        <f>IFERROR(YHHistoricalPricesAdjusted!AQ25/YHHistoricalPricesAdjusted!AQ24-1,  "")</f>
        <v>3.1478881223282018E-2</v>
      </c>
      <c r="AR25" s="37">
        <f>IFERROR(YHHistoricalPricesAdjusted!AR25/YHHistoricalPricesAdjusted!AR24-1,  "")</f>
        <v>8.599773312738157E-2</v>
      </c>
      <c r="AS25" s="37">
        <f>IFERROR(YHHistoricalPricesAdjusted!AS25/YHHistoricalPricesAdjusted!AS24-1,  "")</f>
        <v>-1.2165153673599716E-2</v>
      </c>
      <c r="AT25" s="37">
        <f>IFERROR(YHHistoricalPricesAdjusted!AT25/YHHistoricalPricesAdjusted!AT24-1,  "")</f>
        <v>1.0782289581749094E-2</v>
      </c>
      <c r="AU25" s="37">
        <f>IFERROR(YHHistoricalPricesAdjusted!AU25/YHHistoricalPricesAdjusted!AU24-1,  "")</f>
        <v>1.0638312884315715E-2</v>
      </c>
      <c r="AV25" s="37">
        <f>IFERROR(YHHistoricalPricesAdjusted!AV25/YHHistoricalPricesAdjusted!AV24-1,  "")</f>
        <v>4.8956704357357772E-2</v>
      </c>
      <c r="AW25" s="37">
        <f>IFERROR(YHHistoricalPricesAdjusted!AW25/YHHistoricalPricesAdjusted!AW24-1,  "")</f>
        <v>2.5403100285123381E-2</v>
      </c>
      <c r="AX25" s="37">
        <f>IFERROR(YHHistoricalPricesAdjusted!AX25/YHHistoricalPricesAdjusted!AX24-1,  "")</f>
        <v>4.2660576301239983E-2</v>
      </c>
      <c r="AY25" s="37">
        <f>IFERROR(YHHistoricalPricesAdjusted!AY25/YHHistoricalPricesAdjusted!AY24-1,  "")</f>
        <v>3.5420665832199161E-2</v>
      </c>
      <c r="AZ25" s="37">
        <f>IFERROR(YHHistoricalPricesAdjusted!AZ25/YHHistoricalPricesAdjusted!AZ24-1,  "")</f>
        <v>-3.3115720362479895E-3</v>
      </c>
      <c r="BA25" s="37">
        <f>IFERROR(YHHistoricalPricesAdjusted!BA25/YHHistoricalPricesAdjusted!BA24-1,  "")</f>
        <v>6.0274975540462794E-2</v>
      </c>
      <c r="BB25" s="37">
        <f>IFERROR(YHHistoricalPricesAdjusted!BB25/YHHistoricalPricesAdjusted!BB24-1,  "")</f>
        <v>4.0226112145562487E-2</v>
      </c>
      <c r="BC25" s="37">
        <f>IFERROR(YHHistoricalPricesAdjusted!BC25/YHHistoricalPricesAdjusted!BC24-1,  "")</f>
        <v>4.9882791311528063E-2</v>
      </c>
      <c r="BD25" s="37">
        <f>IFERROR(YHHistoricalPricesAdjusted!BD25/YHHistoricalPricesAdjusted!BD24-1,  "")</f>
        <v>2.3399424135907898E-2</v>
      </c>
      <c r="BE25" s="37">
        <f>IFERROR(YHHistoricalPricesAdjusted!BE25/YHHistoricalPricesAdjusted!BE24-1,  "")</f>
        <v>2.5939862451631601E-3</v>
      </c>
      <c r="BF25" s="37">
        <f>IFERROR(YHHistoricalPricesAdjusted!BF25/YHHistoricalPricesAdjusted!BF24-1,  "")</f>
        <v>3.2051989185931884E-2</v>
      </c>
      <c r="BG25" s="37">
        <f>IFERROR(YHHistoricalPricesAdjusted!BG25/YHHistoricalPricesAdjusted!BG24-1,  "")</f>
        <v>1.6968576332264895E-2</v>
      </c>
      <c r="BH25" s="37">
        <f>IFERROR(YHHistoricalPricesAdjusted!BH25/YHHistoricalPricesAdjusted!BH24-1,  "")</f>
        <v>1.2895845697636021E-2</v>
      </c>
      <c r="BI25" s="37">
        <f>IFERROR(YHHistoricalPricesAdjusted!BI25/YHHistoricalPricesAdjusted!BI24-1,  "")</f>
        <v>-1.2945049964487865E-2</v>
      </c>
      <c r="BJ25" s="37">
        <f>IFERROR(YHHistoricalPricesAdjusted!BJ25/YHHistoricalPricesAdjusted!BJ24-1,  "")</f>
        <v>-6.4044925549832876E-2</v>
      </c>
      <c r="BK25" s="37">
        <f>IFERROR(YHHistoricalPricesAdjusted!BK25/YHHistoricalPricesAdjusted!BK24-1,  "")</f>
        <v>6.7085568490676817E-3</v>
      </c>
      <c r="BL25" s="37">
        <f>IFERROR(YHHistoricalPricesAdjusted!BL25/YHHistoricalPricesAdjusted!BL24-1,  "")</f>
        <v>3.1931999095425656E-2</v>
      </c>
      <c r="BM25" s="37">
        <f>IFERROR(YHHistoricalPricesAdjusted!BM25/YHHistoricalPricesAdjusted!BM24-1,  "")</f>
        <v>1.404507959386514E-2</v>
      </c>
      <c r="BN25" s="37">
        <f>IFERROR(YHHistoricalPricesAdjusted!BN25/YHHistoricalPricesAdjusted!BN24-1,  "")</f>
        <v>2.5729920702969089E-2</v>
      </c>
      <c r="BO25" s="37">
        <f>IFERROR(YHHistoricalPricesAdjusted!BO25/YHHistoricalPricesAdjusted!BO24-1,  "")</f>
        <v>-2.4228444539872163E-3</v>
      </c>
      <c r="BP25" s="37">
        <f>IFERROR(YHHistoricalPricesAdjusted!BP25/YHHistoricalPricesAdjusted!BP24-1,  "")</f>
        <v>-9.3142159868513374E-3</v>
      </c>
      <c r="BQ25" s="37">
        <f>IFERROR(YHHistoricalPricesAdjusted!BQ25/YHHistoricalPricesAdjusted!BQ24-1,  "")</f>
        <v>-4.5945611445306067E-3</v>
      </c>
      <c r="BR25" s="37">
        <f>IFERROR(YHHistoricalPricesAdjusted!BR25/YHHistoricalPricesAdjusted!BR24-1,  "")</f>
        <v>1.3409956604386819E-2</v>
      </c>
      <c r="BS25" s="37">
        <f>IFERROR(YHHistoricalPricesAdjusted!BS25/YHHistoricalPricesAdjusted!BS24-1,  "")</f>
        <v>-2.4312438796604274E-3</v>
      </c>
      <c r="BT25" s="37">
        <f>IFERROR(YHHistoricalPricesAdjusted!BT25/YHHistoricalPricesAdjusted!BT24-1,  "")</f>
        <v>5.8236526090593932E-2</v>
      </c>
      <c r="BU25" s="37">
        <f>IFERROR(YHHistoricalPricesAdjusted!BU25/YHHistoricalPricesAdjusted!BU24-1,  "")</f>
        <v>3.6177321582782529E-2</v>
      </c>
      <c r="BV25" s="37">
        <f>IFERROR(YHHistoricalPricesAdjusted!BV25/YHHistoricalPricesAdjusted!BV24-1,  "")</f>
        <v>-2.2318368644063891E-2</v>
      </c>
      <c r="BW25" s="37">
        <f>IFERROR(YHHistoricalPricesAdjusted!BW25/YHHistoricalPricesAdjusted!BW24-1,  "")</f>
        <v>-1.9383920986596359E-2</v>
      </c>
      <c r="BX25" s="37">
        <f>IFERROR(YHHistoricalPricesAdjusted!BX25/YHHistoricalPricesAdjusted!BX24-1,  "")</f>
        <v>-7.531133023962211E-2</v>
      </c>
      <c r="BY25" s="37">
        <f>IFERROR(YHHistoricalPricesAdjusted!BY25/YHHistoricalPricesAdjusted!BY24-1,  "")</f>
        <v>-9.3535662160274535E-3</v>
      </c>
      <c r="BZ25" s="37">
        <f>IFERROR(YHHistoricalPricesAdjusted!BZ25/YHHistoricalPricesAdjusted!BZ24-1,  "")</f>
        <v>-1.7896981949921509E-2</v>
      </c>
      <c r="CA25" s="37">
        <f>IFERROR(YHHistoricalPricesAdjusted!CA25/YHHistoricalPricesAdjusted!CA24-1,  "")</f>
        <v>0.11246977916428702</v>
      </c>
      <c r="CB25" s="37">
        <f>IFERROR(YHHistoricalPricesAdjusted!CB25/YHHistoricalPricesAdjusted!CB24-1,  "")</f>
        <v>-1.8199198450641774E-2</v>
      </c>
      <c r="CC25" s="37">
        <f>IFERROR(YHHistoricalPricesAdjusted!CC25/YHHistoricalPricesAdjusted!CC24-1,  "")</f>
        <v>-3.9825820538636036E-2</v>
      </c>
      <c r="CD25" s="37">
        <f>IFERROR(YHHistoricalPricesAdjusted!CD25/YHHistoricalPricesAdjusted!CD24-1,  "")</f>
        <v>4.1184042774160545E-3</v>
      </c>
      <c r="CE25" s="37">
        <f>IFERROR(YHHistoricalPricesAdjusted!CE25/YHHistoricalPricesAdjusted!CE24-1,  "")</f>
        <v>2.7393763279165873E-2</v>
      </c>
      <c r="CF25" s="37">
        <f>IFERROR(YHHistoricalPricesAdjusted!CF25/YHHistoricalPricesAdjusted!CF24-1,  "")</f>
        <v>-2.6147509703824401E-2</v>
      </c>
    </row>
    <row r="26" spans="1:84" x14ac:dyDescent="0.25">
      <c r="A26" s="17">
        <v>42035</v>
      </c>
      <c r="B26" s="37">
        <f>IFERROR(YHHistoricalPricesAdjusted!B26/YHHistoricalPricesAdjusted!B25-1,  "")</f>
        <v>6.1424317388240501E-2</v>
      </c>
      <c r="C26" s="37">
        <f>IFERROR(YHHistoricalPricesAdjusted!C26/YHHistoricalPricesAdjusted!C25-1,  "")</f>
        <v>-4.5709802629870011E-2</v>
      </c>
      <c r="D26" s="37">
        <f>IFERROR(YHHistoricalPricesAdjusted!D26/YHHistoricalPricesAdjusted!D25-1,  "")</f>
        <v>-4.4440243693233072E-2</v>
      </c>
      <c r="E26" s="37">
        <f>IFERROR(YHHistoricalPricesAdjusted!E26/YHHistoricalPricesAdjusted!E25-1,  "")</f>
        <v>-2.2018373490677812E-2</v>
      </c>
      <c r="F26" s="37">
        <f>IFERROR(YHHistoricalPricesAdjusted!F26/YHHistoricalPricesAdjusted!F25-1,  "")</f>
        <v>-1.3447049413957357E-2</v>
      </c>
      <c r="G26" s="37">
        <f>IFERROR(YHHistoricalPricesAdjusted!G26/YHHistoricalPricesAdjusted!G25-1,  "")</f>
        <v>-4.9513873189719337E-3</v>
      </c>
      <c r="H26" s="37">
        <f>IFERROR(YHHistoricalPricesAdjusted!H26/YHHistoricalPricesAdjusted!H25-1,  "")</f>
        <v>-2.4869802024456544E-2</v>
      </c>
      <c r="I26" s="37">
        <f>IFERROR(YHHistoricalPricesAdjusted!I26/YHHistoricalPricesAdjusted!I25-1,  "")</f>
        <v>6.2306848208632637E-2</v>
      </c>
      <c r="J26" s="37">
        <f>IFERROR(YHHistoricalPricesAdjusted!J26/YHHistoricalPricesAdjusted!J25-1,  "")</f>
        <v>-1.9388392898744056E-2</v>
      </c>
      <c r="K26" s="37">
        <f>IFERROR(YHHistoricalPricesAdjusted!K26/YHHistoricalPricesAdjusted!K25-1,  "")</f>
        <v>2.6856738364003263E-2</v>
      </c>
      <c r="L26" s="37">
        <f>IFERROR(YHHistoricalPricesAdjusted!L26/YHHistoricalPricesAdjusted!L25-1,  "")</f>
        <v>-2.4869802024456544E-2</v>
      </c>
      <c r="M26" s="37">
        <f>IFERROR(YHHistoricalPricesAdjusted!M26/YHHistoricalPricesAdjusted!M25-1,  "")</f>
        <v>-1.7354134705360735E-3</v>
      </c>
      <c r="N26" s="37">
        <f>IFERROR(YHHistoricalPricesAdjusted!N26/YHHistoricalPricesAdjusted!N25-1,  "")</f>
        <v>2.9956307286205686E-2</v>
      </c>
      <c r="O26" s="37">
        <f>IFERROR(YHHistoricalPricesAdjusted!O26/YHHistoricalPricesAdjusted!O25-1,  "")</f>
        <v>-8.4573524849178905E-2</v>
      </c>
      <c r="P26" s="37">
        <f>IFERROR(YHHistoricalPricesAdjusted!P26/YHHistoricalPricesAdjusted!P25-1,  "")</f>
        <v>-5.4407464381510118E-2</v>
      </c>
      <c r="Q26" s="37">
        <f>IFERROR(YHHistoricalPricesAdjusted!Q26/YHHistoricalPricesAdjusted!Q25-1,  "")</f>
        <v>-8.6022500648949674E-2</v>
      </c>
      <c r="R26" s="37">
        <f>IFERROR(YHHistoricalPricesAdjusted!R26/YHHistoricalPricesAdjusted!R25-1,  "")</f>
        <v>3.1287812789494884E-2</v>
      </c>
      <c r="S26" s="37">
        <f>IFERROR(YHHistoricalPricesAdjusted!S26/YHHistoricalPricesAdjusted!S25-1,  "")</f>
        <v>-5.9387455014188406E-2</v>
      </c>
      <c r="T26" s="37">
        <f>IFERROR(YHHistoricalPricesAdjusted!T26/YHHistoricalPricesAdjusted!T25-1,  "")</f>
        <v>5.1627535947500247E-2</v>
      </c>
      <c r="U26" s="37">
        <f>IFERROR(YHHistoricalPricesAdjusted!U26/YHHistoricalPricesAdjusted!U25-1,  "")</f>
        <v>-0.19364717760444772</v>
      </c>
      <c r="V26" s="37">
        <f>IFERROR(YHHistoricalPricesAdjusted!V26/YHHistoricalPricesAdjusted!V25-1,  "")</f>
        <v>-1.2471593557773053E-2</v>
      </c>
      <c r="W26" s="37">
        <f>IFERROR(YHHistoricalPricesAdjusted!W26/YHHistoricalPricesAdjusted!W25-1,  "")</f>
        <v>7.2589580418345845E-2</v>
      </c>
      <c r="X26" s="37">
        <f>IFERROR(YHHistoricalPricesAdjusted!X26/YHHistoricalPricesAdjusted!X25-1,  "")</f>
        <v>1.7811392878916532E-2</v>
      </c>
      <c r="Y26" s="37">
        <f>IFERROR(YHHistoricalPricesAdjusted!Y26/YHHistoricalPricesAdjusted!Y25-1,  "")</f>
        <v>-4.2363821582815153E-2</v>
      </c>
      <c r="Z26" s="37">
        <f>IFERROR(YHHistoricalPricesAdjusted!Z26/YHHistoricalPricesAdjusted!Z25-1,  "")</f>
        <v>3.2104322905910365E-3</v>
      </c>
      <c r="AA26" s="37">
        <f>IFERROR(YHHistoricalPricesAdjusted!AA26/YHHistoricalPricesAdjusted!AA25-1,  "")</f>
        <v>6.9478196412369186E-2</v>
      </c>
      <c r="AB26" s="37">
        <f>IFERROR(YHHistoricalPricesAdjusted!AB26/YHHistoricalPricesAdjusted!AB25-1,  "")</f>
        <v>5.500691118946377E-2</v>
      </c>
      <c r="AC26" s="37">
        <f>IFERROR(YHHistoricalPricesAdjusted!AC26/YHHistoricalPricesAdjusted!AC25-1,  "")</f>
        <v>-3.5290960803264215E-2</v>
      </c>
      <c r="AD26" s="37">
        <f>IFERROR(YHHistoricalPricesAdjusted!AD26/YHHistoricalPricesAdjusted!AD25-1,  "")</f>
        <v>-7.8464866793260257E-2</v>
      </c>
      <c r="AE26" s="37">
        <f>IFERROR(YHHistoricalPricesAdjusted!AE26/YHHistoricalPricesAdjusted!AE25-1,  "")</f>
        <v>8.9891107811757465E-2</v>
      </c>
      <c r="AF26" s="37">
        <f>IFERROR(YHHistoricalPricesAdjusted!AF26/YHHistoricalPricesAdjusted!AF25-1,  "")</f>
        <v>0.12355757981567472</v>
      </c>
      <c r="AG26" s="37">
        <f>IFERROR(YHHistoricalPricesAdjusted!AG26/YHHistoricalPricesAdjusted!AG25-1,  "")</f>
        <v>3.5468745849256411E-2</v>
      </c>
      <c r="AH26" s="37">
        <f>IFERROR(YHHistoricalPricesAdjusted!AH26/YHHistoricalPricesAdjusted!AH25-1,  "")</f>
        <v>-4.887869525342925E-4</v>
      </c>
      <c r="AI26" s="37">
        <f>IFERROR(YHHistoricalPricesAdjusted!AI26/YHHistoricalPricesAdjusted!AI25-1,  "")</f>
        <v>-4.5238883058794643E-2</v>
      </c>
      <c r="AJ26" s="37">
        <f>IFERROR(YHHistoricalPricesAdjusted!AJ26/YHHistoricalPricesAdjusted!AJ25-1,  "")</f>
        <v>6.6775568627728266E-3</v>
      </c>
      <c r="AK26" s="37">
        <f>IFERROR(YHHistoricalPricesAdjusted!AK26/YHHistoricalPricesAdjusted!AK25-1,  "")</f>
        <v>-2.2971022742239389E-2</v>
      </c>
      <c r="AL26" s="37">
        <f>IFERROR(YHHistoricalPricesAdjusted!AL26/YHHistoricalPricesAdjusted!AL25-1,  "")</f>
        <v>-7.2408764399249925E-3</v>
      </c>
      <c r="AM26" s="37">
        <f>IFERROR(YHHistoricalPricesAdjusted!AM26/YHHistoricalPricesAdjusted!AM25-1,  "")</f>
        <v>-0.17427699460355428</v>
      </c>
      <c r="AN26" s="37">
        <f>IFERROR(YHHistoricalPricesAdjusted!AN26/YHHistoricalPricesAdjusted!AN25-1,  "")</f>
        <v>-6.5603727724255267E-2</v>
      </c>
      <c r="AO26" s="37">
        <f>IFERROR(YHHistoricalPricesAdjusted!AO26/YHHistoricalPricesAdjusted!AO25-1,  "")</f>
        <v>-1.6117002908147771E-2</v>
      </c>
      <c r="AP26" s="37">
        <f>IFERROR(YHHistoricalPricesAdjusted!AP26/YHHistoricalPricesAdjusted!AP25-1,  "")</f>
        <v>5.4646740114292935E-2</v>
      </c>
      <c r="AQ26" s="37">
        <f>IFERROR(YHHistoricalPricesAdjusted!AQ26/YHHistoricalPricesAdjusted!AQ25-1,  "")</f>
        <v>3.7004596908670528E-2</v>
      </c>
      <c r="AR26" s="37">
        <f>IFERROR(YHHistoricalPricesAdjusted!AR26/YHHistoricalPricesAdjusted!AR25-1,  "")</f>
        <v>5.2575837690762572E-2</v>
      </c>
      <c r="AS26" s="37">
        <f>IFERROR(YHHistoricalPricesAdjusted!AS26/YHHistoricalPricesAdjusted!AS25-1,  "")</f>
        <v>-2.8442958699771426E-3</v>
      </c>
      <c r="AT26" s="37">
        <f>IFERROR(YHHistoricalPricesAdjusted!AT26/YHHistoricalPricesAdjusted!AT25-1,  "")</f>
        <v>1.3108551902779819E-2</v>
      </c>
      <c r="AU26" s="37">
        <f>IFERROR(YHHistoricalPricesAdjusted!AU26/YHHistoricalPricesAdjusted!AU25-1,  "")</f>
        <v>5.3283306604510861E-2</v>
      </c>
      <c r="AV26" s="37">
        <f>IFERROR(YHHistoricalPricesAdjusted!AV26/YHHistoricalPricesAdjusted!AV25-1,  "")</f>
        <v>-9.0934744844324289E-3</v>
      </c>
      <c r="AW26" s="37">
        <f>IFERROR(YHHistoricalPricesAdjusted!AW26/YHHistoricalPricesAdjusted!AW25-1,  "")</f>
        <v>2.7754175023658956E-2</v>
      </c>
      <c r="AX26" s="37">
        <f>IFERROR(YHHistoricalPricesAdjusted!AX26/YHHistoricalPricesAdjusted!AX25-1,  "")</f>
        <v>4.3093231260618925E-2</v>
      </c>
      <c r="AY26" s="37">
        <f>IFERROR(YHHistoricalPricesAdjusted!AY26/YHHistoricalPricesAdjusted!AY25-1,  "")</f>
        <v>3.2783529317595095E-2</v>
      </c>
      <c r="AZ26" s="37">
        <f>IFERROR(YHHistoricalPricesAdjusted!AZ26/YHHistoricalPricesAdjusted!AZ25-1,  "")</f>
        <v>1.1274703441098932E-2</v>
      </c>
      <c r="BA26" s="37">
        <f>IFERROR(YHHistoricalPricesAdjusted!BA26/YHHistoricalPricesAdjusted!BA25-1,  "")</f>
        <v>4.6903708739292949E-2</v>
      </c>
      <c r="BB26" s="37">
        <f>IFERROR(YHHistoricalPricesAdjusted!BB26/YHHistoricalPricesAdjusted!BB25-1,  "")</f>
        <v>-0.13103221547788058</v>
      </c>
      <c r="BC26" s="37">
        <f>IFERROR(YHHistoricalPricesAdjusted!BC26/YHHistoricalPricesAdjusted!BC25-1,  "")</f>
        <v>-0.1506819764037991</v>
      </c>
      <c r="BD26" s="37">
        <f>IFERROR(YHHistoricalPricesAdjusted!BD26/YHHistoricalPricesAdjusted!BD25-1,  "")</f>
        <v>-2.7803269582371004E-2</v>
      </c>
      <c r="BE26" s="37">
        <f>IFERROR(YHHistoricalPricesAdjusted!BE26/YHHistoricalPricesAdjusted!BE25-1,  "")</f>
        <v>-0.13232311544971043</v>
      </c>
      <c r="BF26" s="37">
        <f>IFERROR(YHHistoricalPricesAdjusted!BF26/YHHistoricalPricesAdjusted!BF25-1,  "")</f>
        <v>-0.11050922879952196</v>
      </c>
      <c r="BG26" s="37">
        <f>IFERROR(YHHistoricalPricesAdjusted!BG26/YHHistoricalPricesAdjusted!BG25-1,  "")</f>
        <v>-6.2609867255407736E-2</v>
      </c>
      <c r="BH26" s="37">
        <f>IFERROR(YHHistoricalPricesAdjusted!BH26/YHHistoricalPricesAdjusted!BH25-1,  "")</f>
        <v>-5.2900372778276195E-2</v>
      </c>
      <c r="BI26" s="37">
        <f>IFERROR(YHHistoricalPricesAdjusted!BI26/YHHistoricalPricesAdjusted!BI25-1,  "")</f>
        <v>-4.7934284703239904E-2</v>
      </c>
      <c r="BJ26" s="37">
        <f>IFERROR(YHHistoricalPricesAdjusted!BJ26/YHHistoricalPricesAdjusted!BJ25-1,  "")</f>
        <v>-0.19687882668430157</v>
      </c>
      <c r="BK26" s="37">
        <f>IFERROR(YHHistoricalPricesAdjusted!BK26/YHHistoricalPricesAdjusted!BK25-1,  "")</f>
        <v>-0.13273852638411587</v>
      </c>
      <c r="BL26" s="37">
        <f>IFERROR(YHHistoricalPricesAdjusted!BL26/YHHistoricalPricesAdjusted!BL25-1,  "")</f>
        <v>-1.229307692428061E-2</v>
      </c>
      <c r="BM26" s="37">
        <f>IFERROR(YHHistoricalPricesAdjusted!BM26/YHHistoricalPricesAdjusted!BM25-1,  "")</f>
        <v>-2.1619299653232615E-2</v>
      </c>
      <c r="BN26" s="37">
        <f>IFERROR(YHHistoricalPricesAdjusted!BN26/YHHistoricalPricesAdjusted!BN25-1,  "")</f>
        <v>-3.7393670780077382E-2</v>
      </c>
      <c r="BO26" s="37">
        <f>IFERROR(YHHistoricalPricesAdjusted!BO26/YHHistoricalPricesAdjusted!BO25-1,  "")</f>
        <v>-1.2062783457598147E-2</v>
      </c>
      <c r="BP26" s="37">
        <f>IFERROR(YHHistoricalPricesAdjusted!BP26/YHHistoricalPricesAdjusted!BP25-1,  "")</f>
        <v>-1.2856035298813961E-2</v>
      </c>
      <c r="BQ26" s="37">
        <f>IFERROR(YHHistoricalPricesAdjusted!BQ26/YHHistoricalPricesAdjusted!BQ25-1,  "")</f>
        <v>-3.2669713530913969E-2</v>
      </c>
      <c r="BR26" s="37">
        <f>IFERROR(YHHistoricalPricesAdjusted!BR26/YHHistoricalPricesAdjusted!BR25-1,  "")</f>
        <v>-7.0529264346065879E-2</v>
      </c>
      <c r="BS26" s="37">
        <f>IFERROR(YHHistoricalPricesAdjusted!BS26/YHHistoricalPricesAdjusted!BS25-1,  "")</f>
        <v>-6.2653176750486872E-2</v>
      </c>
      <c r="BT26" s="37">
        <f>IFERROR(YHHistoricalPricesAdjusted!BT26/YHHistoricalPricesAdjusted!BT25-1,  "")</f>
        <v>7.8155208466337278E-2</v>
      </c>
      <c r="BU26" s="37">
        <f>IFERROR(YHHistoricalPricesAdjusted!BU26/YHHistoricalPricesAdjusted!BU25-1,  "")</f>
        <v>-4.1170545735026098E-2</v>
      </c>
      <c r="BV26" s="37">
        <f>IFERROR(YHHistoricalPricesAdjusted!BV26/YHHistoricalPricesAdjusted!BV25-1,  "")</f>
        <v>-0.13024734275268035</v>
      </c>
      <c r="BW26" s="37">
        <f>IFERROR(YHHistoricalPricesAdjusted!BW26/YHHistoricalPricesAdjusted!BW25-1,  "")</f>
        <v>-8.9556531507015369E-2</v>
      </c>
      <c r="BX26" s="37">
        <f>IFERROR(YHHistoricalPricesAdjusted!BX26/YHHistoricalPricesAdjusted!BX25-1,  "")</f>
        <v>-2.2873136067019462E-2</v>
      </c>
      <c r="BY26" s="37">
        <f>IFERROR(YHHistoricalPricesAdjusted!BY26/YHHistoricalPricesAdjusted!BY25-1,  "")</f>
        <v>-4.82212097753969E-2</v>
      </c>
      <c r="BZ26" s="37">
        <f>IFERROR(YHHistoricalPricesAdjusted!BZ26/YHHistoricalPricesAdjusted!BZ25-1,  "")</f>
        <v>-5.8249415262662474E-2</v>
      </c>
      <c r="CA26" s="37">
        <f>IFERROR(YHHistoricalPricesAdjusted!CA26/YHHistoricalPricesAdjusted!CA25-1,  "")</f>
        <v>-7.7379202739068731E-2</v>
      </c>
      <c r="CB26" s="37">
        <f>IFERROR(YHHistoricalPricesAdjusted!CB26/YHHistoricalPricesAdjusted!CB25-1,  "")</f>
        <v>-1.621953658536579E-2</v>
      </c>
      <c r="CC26" s="37">
        <f>IFERROR(YHHistoricalPricesAdjusted!CC26/YHHistoricalPricesAdjusted!CC25-1,  "")</f>
        <v>-4.2394123440029241E-2</v>
      </c>
      <c r="CD26" s="37">
        <f>IFERROR(YHHistoricalPricesAdjusted!CD26/YHHistoricalPricesAdjusted!CD25-1,  "")</f>
        <v>-2.7044258922491404E-2</v>
      </c>
      <c r="CE26" s="37">
        <f>IFERROR(YHHistoricalPricesAdjusted!CE26/YHHistoricalPricesAdjusted!CE25-1,  "")</f>
        <v>-9.1583772792721785E-2</v>
      </c>
      <c r="CF26" s="37">
        <f>IFERROR(YHHistoricalPricesAdjusted!CF26/YHHistoricalPricesAdjusted!CF25-1,  "")</f>
        <v>-0.16395310848061184</v>
      </c>
    </row>
    <row r="27" spans="1:84" x14ac:dyDescent="0.25">
      <c r="A27" s="17">
        <v>42063</v>
      </c>
      <c r="B27" s="37">
        <f>IFERROR(YHHistoricalPricesAdjusted!B27/YHHistoricalPricesAdjusted!B26-1,  "")</f>
        <v>9.6449232922371841E-2</v>
      </c>
      <c r="C27" s="37">
        <f>IFERROR(YHHistoricalPricesAdjusted!C27/YHHistoricalPricesAdjusted!C26-1,  "")</f>
        <v>8.7902852671866594E-2</v>
      </c>
      <c r="D27" s="37">
        <f>IFERROR(YHHistoricalPricesAdjusted!D27/YHHistoricalPricesAdjusted!D26-1,  "")</f>
        <v>5.6291169866128143E-2</v>
      </c>
      <c r="E27" s="37">
        <f>IFERROR(YHHistoricalPricesAdjusted!E27/YHHistoricalPricesAdjusted!E26-1,  "")</f>
        <v>0.14423920958794922</v>
      </c>
      <c r="F27" s="37">
        <f>IFERROR(YHHistoricalPricesAdjusted!F27/YHHistoricalPricesAdjusted!F26-1,  "")</f>
        <v>6.9883168299854193E-2</v>
      </c>
      <c r="G27" s="37">
        <f>IFERROR(YHHistoricalPricesAdjusted!G27/YHHistoricalPricesAdjusted!G26-1,  "")</f>
        <v>-1.2355950200956367E-2</v>
      </c>
      <c r="H27" s="37">
        <f>IFERROR(YHHistoricalPricesAdjusted!H27/YHHistoricalPricesAdjusted!H26-1,  "")</f>
        <v>5.1736628189378298E-2</v>
      </c>
      <c r="I27" s="37">
        <f>IFERROR(YHHistoricalPricesAdjusted!I27/YHHistoricalPricesAdjusted!I26-1,  "")</f>
        <v>0.11700202265519977</v>
      </c>
      <c r="J27" s="37">
        <f>IFERROR(YHHistoricalPricesAdjusted!J27/YHHistoricalPricesAdjusted!J26-1,  "")</f>
        <v>0.11187893620768374</v>
      </c>
      <c r="K27" s="37">
        <f>IFERROR(YHHistoricalPricesAdjusted!K27/YHHistoricalPricesAdjusted!K26-1,  "")</f>
        <v>5.0601451500479788E-2</v>
      </c>
      <c r="L27" s="37">
        <f>IFERROR(YHHistoricalPricesAdjusted!L27/YHHistoricalPricesAdjusted!L26-1,  "")</f>
        <v>5.1736628189378298E-2</v>
      </c>
      <c r="M27" s="37">
        <f>IFERROR(YHHistoricalPricesAdjusted!M27/YHHistoricalPricesAdjusted!M26-1,  "")</f>
        <v>5.5448810241794488E-2</v>
      </c>
      <c r="N27" s="37">
        <f>IFERROR(YHHistoricalPricesAdjusted!N27/YHHistoricalPricesAdjusted!N26-1,  "")</f>
        <v>9.6624679371708488E-2</v>
      </c>
      <c r="O27" s="37">
        <f>IFERROR(YHHistoricalPricesAdjusted!O27/YHHistoricalPricesAdjusted!O26-1,  "")</f>
        <v>-1.2770628307348098E-3</v>
      </c>
      <c r="P27" s="37">
        <f>IFERROR(YHHistoricalPricesAdjusted!P27/YHHistoricalPricesAdjusted!P26-1,  "")</f>
        <v>1.2811543264131142E-2</v>
      </c>
      <c r="Q27" s="37">
        <f>IFERROR(YHHistoricalPricesAdjusted!Q27/YHHistoricalPricesAdjusted!Q26-1,  "")</f>
        <v>4.0475865347704421E-2</v>
      </c>
      <c r="R27" s="37">
        <f>IFERROR(YHHistoricalPricesAdjusted!R27/YHHistoricalPricesAdjusted!R26-1,  "")</f>
        <v>5.1351361267222728E-2</v>
      </c>
      <c r="S27" s="37">
        <f>IFERROR(YHHistoricalPricesAdjusted!S27/YHHistoricalPricesAdjusted!S26-1,  "")</f>
        <v>0.16489274009355404</v>
      </c>
      <c r="T27" s="37">
        <f>IFERROR(YHHistoricalPricesAdjusted!T27/YHHistoricalPricesAdjusted!T26-1,  "")</f>
        <v>0.14909064638587433</v>
      </c>
      <c r="U27" s="37">
        <f>IFERROR(YHHistoricalPricesAdjusted!U27/YHHistoricalPricesAdjusted!U26-1,  "")</f>
        <v>0.17219240055376206</v>
      </c>
      <c r="V27" s="37">
        <f>IFERROR(YHHistoricalPricesAdjusted!V27/YHHistoricalPricesAdjusted!V26-1,  "")</f>
        <v>2.5086940645569822E-2</v>
      </c>
      <c r="W27" s="37">
        <f>IFERROR(YHHistoricalPricesAdjusted!W27/YHHistoricalPricesAdjusted!W26-1,  "")</f>
        <v>9.3858990049453084E-2</v>
      </c>
      <c r="X27" s="37">
        <f>IFERROR(YHHistoricalPricesAdjusted!X27/YHHistoricalPricesAdjusted!X26-1,  "")</f>
        <v>3.279200177338959E-2</v>
      </c>
      <c r="Y27" s="37">
        <f>IFERROR(YHHistoricalPricesAdjusted!Y27/YHHistoricalPricesAdjusted!Y26-1,  "")</f>
        <v>2.3666740638501826E-2</v>
      </c>
      <c r="Z27" s="37">
        <f>IFERROR(YHHistoricalPricesAdjusted!Z27/YHHistoricalPricesAdjusted!Z26-1,  "")</f>
        <v>9.8239794081647291E-2</v>
      </c>
      <c r="AA27" s="37">
        <f>IFERROR(YHHistoricalPricesAdjusted!AA27/YHHistoricalPricesAdjusted!AA26-1,  "")</f>
        <v>-2.8865247430993834E-2</v>
      </c>
      <c r="AB27" s="37">
        <f>IFERROR(YHHistoricalPricesAdjusted!AB27/YHHistoricalPricesAdjusted!AB26-1,  "")</f>
        <v>6.9458658723251521E-2</v>
      </c>
      <c r="AC27" s="37">
        <f>IFERROR(YHHistoricalPricesAdjusted!AC27/YHHistoricalPricesAdjusted!AC26-1,  "")</f>
        <v>1.0451980367879976E-2</v>
      </c>
      <c r="AD27" s="37">
        <f>IFERROR(YHHistoricalPricesAdjusted!AD27/YHHistoricalPricesAdjusted!AD26-1,  "")</f>
        <v>0.10553015973377677</v>
      </c>
      <c r="AE27" s="37">
        <f>IFERROR(YHHistoricalPricesAdjusted!AE27/YHHistoricalPricesAdjusted!AE26-1,  "")</f>
        <v>9.8632448854515387E-2</v>
      </c>
      <c r="AF27" s="37">
        <f>IFERROR(YHHistoricalPricesAdjusted!AF27/YHHistoricalPricesAdjusted!AF26-1,  "")</f>
        <v>-9.2732744744744688E-2</v>
      </c>
      <c r="AG27" s="37">
        <f>IFERROR(YHHistoricalPricesAdjusted!AG27/YHHistoricalPricesAdjusted!AG26-1,  "")</f>
        <v>9.3119214434445041E-2</v>
      </c>
      <c r="AH27" s="37">
        <f>IFERROR(YHHistoricalPricesAdjusted!AH27/YHHistoricalPricesAdjusted!AH26-1,  "")</f>
        <v>9.8927385698286407E-2</v>
      </c>
      <c r="AI27" s="37">
        <f>IFERROR(YHHistoricalPricesAdjusted!AI27/YHHistoricalPricesAdjusted!AI26-1,  "")</f>
        <v>0.11543605273991586</v>
      </c>
      <c r="AJ27" s="37">
        <f>IFERROR(YHHistoricalPricesAdjusted!AJ27/YHHistoricalPricesAdjusted!AJ26-1,  "")</f>
        <v>6.7729410690719138E-2</v>
      </c>
      <c r="AK27" s="37">
        <f>IFERROR(YHHistoricalPricesAdjusted!AK27/YHHistoricalPricesAdjusted!AK26-1,  "")</f>
        <v>9.1777021546070037E-2</v>
      </c>
      <c r="AL27" s="37">
        <f>IFERROR(YHHistoricalPricesAdjusted!AL27/YHHistoricalPricesAdjusted!AL26-1,  "")</f>
        <v>2.8672021780187018E-2</v>
      </c>
      <c r="AM27" s="37">
        <f>IFERROR(YHHistoricalPricesAdjusted!AM27/YHHistoricalPricesAdjusted!AM26-1,  "")</f>
        <v>-2.3041501713408241E-2</v>
      </c>
      <c r="AN27" s="37">
        <f>IFERROR(YHHistoricalPricesAdjusted!AN27/YHHistoricalPricesAdjusted!AN26-1,  "")</f>
        <v>7.6075417715023352E-2</v>
      </c>
      <c r="AO27" s="37">
        <f>IFERROR(YHHistoricalPricesAdjusted!AO27/YHHistoricalPricesAdjusted!AO26-1,  "")</f>
        <v>2.602183309276751E-2</v>
      </c>
      <c r="AP27" s="37">
        <f>IFERROR(YHHistoricalPricesAdjusted!AP27/YHHistoricalPricesAdjusted!AP26-1,  "")</f>
        <v>2.5037807110369403E-2</v>
      </c>
      <c r="AQ27" s="37">
        <f>IFERROR(YHHistoricalPricesAdjusted!AQ27/YHHistoricalPricesAdjusted!AQ26-1,  "")</f>
        <v>-6.3211504414078301E-2</v>
      </c>
      <c r="AR27" s="37">
        <f>IFERROR(YHHistoricalPricesAdjusted!AR27/YHHistoricalPricesAdjusted!AR26-1,  "")</f>
        <v>1.2361409798622436E-2</v>
      </c>
      <c r="AS27" s="37">
        <f>IFERROR(YHHistoricalPricesAdjusted!AS27/YHHistoricalPricesAdjusted!AS26-1,  "")</f>
        <v>3.6267411579723907E-2</v>
      </c>
      <c r="AT27" s="37">
        <f>IFERROR(YHHistoricalPricesAdjusted!AT27/YHHistoricalPricesAdjusted!AT26-1,  "")</f>
        <v>-2.2550819706768088E-2</v>
      </c>
      <c r="AU27" s="37">
        <f>IFERROR(YHHistoricalPricesAdjusted!AU27/YHHistoricalPricesAdjusted!AU26-1,  "")</f>
        <v>-3.6693853503699914E-2</v>
      </c>
      <c r="AV27" s="37">
        <f>IFERROR(YHHistoricalPricesAdjusted!AV27/YHHistoricalPricesAdjusted!AV26-1,  "")</f>
        <v>3.1701764074862027E-2</v>
      </c>
      <c r="AW27" s="37">
        <f>IFERROR(YHHistoricalPricesAdjusted!AW27/YHHistoricalPricesAdjusted!AW26-1,  "")</f>
        <v>-5.291097439334147E-2</v>
      </c>
      <c r="AX27" s="37">
        <f>IFERROR(YHHistoricalPricesAdjusted!AX27/YHHistoricalPricesAdjusted!AX26-1,  "")</f>
        <v>-9.8576894903513845E-2</v>
      </c>
      <c r="AY27" s="37">
        <f>IFERROR(YHHistoricalPricesAdjusted!AY27/YHHistoricalPricesAdjusted!AY26-1,  "")</f>
        <v>-9.7200418944698663E-2</v>
      </c>
      <c r="AZ27" s="37">
        <f>IFERROR(YHHistoricalPricesAdjusted!AZ27/YHHistoricalPricesAdjusted!AZ26-1,  "")</f>
        <v>-3.3238152335963944E-2</v>
      </c>
      <c r="BA27" s="37">
        <f>IFERROR(YHHistoricalPricesAdjusted!BA27/YHHistoricalPricesAdjusted!BA26-1,  "")</f>
        <v>-8.5099313660982334E-2</v>
      </c>
      <c r="BB27" s="37">
        <f>IFERROR(YHHistoricalPricesAdjusted!BB27/YHHistoricalPricesAdjusted!BB26-1,  "")</f>
        <v>0.13413394681330115</v>
      </c>
      <c r="BC27" s="37">
        <f>IFERROR(YHHistoricalPricesAdjusted!BC27/YHHistoricalPricesAdjusted!BC26-1,  "")</f>
        <v>4.3564257515079419E-2</v>
      </c>
      <c r="BD27" s="37">
        <f>IFERROR(YHHistoricalPricesAdjusted!BD27/YHHistoricalPricesAdjusted!BD26-1,  "")</f>
        <v>6.433631817056229E-2</v>
      </c>
      <c r="BE27" s="37">
        <f>IFERROR(YHHistoricalPricesAdjusted!BE27/YHHistoricalPricesAdjusted!BE26-1,  "")</f>
        <v>0.11674398094675009</v>
      </c>
      <c r="BF27" s="37">
        <f>IFERROR(YHHistoricalPricesAdjusted!BF27/YHHistoricalPricesAdjusted!BF26-1,  "")</f>
        <v>0.10080619053802686</v>
      </c>
      <c r="BG27" s="37">
        <f>IFERROR(YHHistoricalPricesAdjusted!BG27/YHHistoricalPricesAdjusted!BG26-1,  "")</f>
        <v>6.4423749948400832E-2</v>
      </c>
      <c r="BH27" s="37">
        <f>IFERROR(YHHistoricalPricesAdjusted!BH27/YHHistoricalPricesAdjusted!BH26-1,  "")</f>
        <v>5.5277447197605856E-2</v>
      </c>
      <c r="BI27" s="37">
        <f>IFERROR(YHHistoricalPricesAdjusted!BI27/YHHistoricalPricesAdjusted!BI26-1,  "")</f>
        <v>0.10086413460069377</v>
      </c>
      <c r="BJ27" s="37">
        <f>IFERROR(YHHistoricalPricesAdjusted!BJ27/YHHistoricalPricesAdjusted!BJ26-1,  "")</f>
        <v>0.10774171297103163</v>
      </c>
      <c r="BK27" s="37">
        <f>IFERROR(YHHistoricalPricesAdjusted!BK27/YHHistoricalPricesAdjusted!BK26-1,  "")</f>
        <v>1.4128585043564623E-2</v>
      </c>
      <c r="BL27" s="37">
        <f>IFERROR(YHHistoricalPricesAdjusted!BL27/YHHistoricalPricesAdjusted!BL26-1,  "")</f>
        <v>3.9124971021634813E-2</v>
      </c>
      <c r="BM27" s="37">
        <f>IFERROR(YHHistoricalPricesAdjusted!BM27/YHHistoricalPricesAdjusted!BM26-1,  "")</f>
        <v>5.1350519431397013E-2</v>
      </c>
      <c r="BN27" s="37">
        <f>IFERROR(YHHistoricalPricesAdjusted!BN27/YHHistoricalPricesAdjusted!BN26-1,  "")</f>
        <v>5.9480659877915842E-2</v>
      </c>
      <c r="BO27" s="37">
        <f>IFERROR(YHHistoricalPricesAdjusted!BO27/YHHistoricalPricesAdjusted!BO26-1,  "")</f>
        <v>6.1982948506512647E-2</v>
      </c>
      <c r="BP27" s="37">
        <f>IFERROR(YHHistoricalPricesAdjusted!BP27/YHHistoricalPricesAdjusted!BP26-1,  "")</f>
        <v>8.7533590239559755E-2</v>
      </c>
      <c r="BQ27" s="37">
        <f>IFERROR(YHHistoricalPricesAdjusted!BQ27/YHHistoricalPricesAdjusted!BQ26-1,  "")</f>
        <v>1.9862208714072516E-2</v>
      </c>
      <c r="BR27" s="37">
        <f>IFERROR(YHHistoricalPricesAdjusted!BR27/YHHistoricalPricesAdjusted!BR26-1,  "")</f>
        <v>7.1930933933825436E-2</v>
      </c>
      <c r="BS27" s="37">
        <f>IFERROR(YHHistoricalPricesAdjusted!BS27/YHHistoricalPricesAdjusted!BS26-1,  "")</f>
        <v>5.5860798522864519E-2</v>
      </c>
      <c r="BT27" s="37">
        <f>IFERROR(YHHistoricalPricesAdjusted!BT27/YHHistoricalPricesAdjusted!BT26-1,  "")</f>
        <v>9.0941817528658264E-2</v>
      </c>
      <c r="BU27" s="37">
        <f>IFERROR(YHHistoricalPricesAdjusted!BU27/YHHistoricalPricesAdjusted!BU26-1,  "")</f>
        <v>0.12197436714294985</v>
      </c>
      <c r="BV27" s="37">
        <f>IFERROR(YHHistoricalPricesAdjusted!BV27/YHHistoricalPricesAdjusted!BV26-1,  "")</f>
        <v>8.5395679951460579E-2</v>
      </c>
      <c r="BW27" s="37">
        <f>IFERROR(YHHistoricalPricesAdjusted!BW27/YHHistoricalPricesAdjusted!BW26-1,  "")</f>
        <v>6.3560828717634799E-3</v>
      </c>
      <c r="BX27" s="37">
        <f>IFERROR(YHHistoricalPricesAdjusted!BX27/YHHistoricalPricesAdjusted!BX26-1,  "")</f>
        <v>9.4618760586800743E-2</v>
      </c>
      <c r="BY27" s="37">
        <f>IFERROR(YHHistoricalPricesAdjusted!BY27/YHHistoricalPricesAdjusted!BY26-1,  "")</f>
        <v>0.2290521837191819</v>
      </c>
      <c r="BZ27" s="37">
        <f>IFERROR(YHHistoricalPricesAdjusted!BZ27/YHHistoricalPricesAdjusted!BZ26-1,  "")</f>
        <v>0.12771206867011164</v>
      </c>
      <c r="CA27" s="37">
        <f>IFERROR(YHHistoricalPricesAdjusted!CA27/YHHistoricalPricesAdjusted!CA26-1,  "")</f>
        <v>8.355544625246214E-2</v>
      </c>
      <c r="CB27" s="37">
        <f>IFERROR(YHHistoricalPricesAdjusted!CB27/YHHistoricalPricesAdjusted!CB26-1,  "")</f>
        <v>6.5699803289941627E-2</v>
      </c>
      <c r="CC27" s="37">
        <f>IFERROR(YHHistoricalPricesAdjusted!CC27/YHHistoricalPricesAdjusted!CC26-1,  "")</f>
        <v>0.14895851153064821</v>
      </c>
      <c r="CD27" s="37">
        <f>IFERROR(YHHistoricalPricesAdjusted!CD27/YHHistoricalPricesAdjusted!CD26-1,  "")</f>
        <v>4.0310852835681477E-2</v>
      </c>
      <c r="CE27" s="37">
        <f>IFERROR(YHHistoricalPricesAdjusted!CE27/YHHistoricalPricesAdjusted!CE26-1,  "")</f>
        <v>-3.5704316615030263E-2</v>
      </c>
      <c r="CF27" s="37">
        <f>IFERROR(YHHistoricalPricesAdjusted!CF27/YHHistoricalPricesAdjusted!CF26-1,  "")</f>
        <v>4.7830543218312371E-2</v>
      </c>
    </row>
    <row r="28" spans="1:84" x14ac:dyDescent="0.25">
      <c r="A28" s="17">
        <v>42094</v>
      </c>
      <c r="B28" s="37">
        <f>IFERROR(YHHistoricalPricesAdjusted!B28/YHHistoricalPricesAdjusted!B27-1,  "")</f>
        <v>-2.7548945284449067E-2</v>
      </c>
      <c r="C28" s="37">
        <f>IFERROR(YHHistoricalPricesAdjusted!C28/YHHistoricalPricesAdjusted!C27-1,  "")</f>
        <v>-3.6626808373651398E-2</v>
      </c>
      <c r="D28" s="37">
        <f>IFERROR(YHHistoricalPricesAdjusted!D28/YHHistoricalPricesAdjusted!D27-1,  "")</f>
        <v>-1.9397821925145609E-3</v>
      </c>
      <c r="E28" s="37">
        <f>IFERROR(YHHistoricalPricesAdjusted!E28/YHHistoricalPricesAdjusted!E27-1,  "")</f>
        <v>7.7824893888498448E-3</v>
      </c>
      <c r="F28" s="37">
        <f>IFERROR(YHHistoricalPricesAdjusted!F28/YHHistoricalPricesAdjusted!F27-1,  "")</f>
        <v>-6.2003080259220855E-3</v>
      </c>
      <c r="G28" s="37">
        <f>IFERROR(YHHistoricalPricesAdjusted!G28/YHHistoricalPricesAdjusted!G27-1,  "")</f>
        <v>-2.0016501574627865E-2</v>
      </c>
      <c r="H28" s="37">
        <f>IFERROR(YHHistoricalPricesAdjusted!H28/YHHistoricalPricesAdjusted!H27-1,  "")</f>
        <v>-6.3510285955833301E-2</v>
      </c>
      <c r="I28" s="37">
        <f>IFERROR(YHHistoricalPricesAdjusted!I28/YHHistoricalPricesAdjusted!I27-1,  "")</f>
        <v>7.5942172738523439E-3</v>
      </c>
      <c r="J28" s="37">
        <f>IFERROR(YHHistoricalPricesAdjusted!J28/YHHistoricalPricesAdjusted!J27-1,  "")</f>
        <v>8.5300568380541897E-3</v>
      </c>
      <c r="K28" s="37">
        <f>IFERROR(YHHistoricalPricesAdjusted!K28/YHHistoricalPricesAdjusted!K27-1,  "")</f>
        <v>3.3389941147655477E-2</v>
      </c>
      <c r="L28" s="37">
        <f>IFERROR(YHHistoricalPricesAdjusted!L28/YHHistoricalPricesAdjusted!L27-1,  "")</f>
        <v>-6.3510285955833301E-2</v>
      </c>
      <c r="M28" s="37">
        <f>IFERROR(YHHistoricalPricesAdjusted!M28/YHHistoricalPricesAdjusted!M27-1,  "")</f>
        <v>-3.3946188573416913E-2</v>
      </c>
      <c r="N28" s="37">
        <f>IFERROR(YHHistoricalPricesAdjusted!N28/YHHistoricalPricesAdjusted!N27-1,  "")</f>
        <v>-1.146642725678948E-2</v>
      </c>
      <c r="O28" s="37">
        <f>IFERROR(YHHistoricalPricesAdjusted!O28/YHHistoricalPricesAdjusted!O27-1,  "")</f>
        <v>-7.1653350480050282E-2</v>
      </c>
      <c r="P28" s="37">
        <f>IFERROR(YHHistoricalPricesAdjusted!P28/YHHistoricalPricesAdjusted!P27-1,  "")</f>
        <v>-3.2755763895867207E-2</v>
      </c>
      <c r="Q28" s="37">
        <f>IFERROR(YHHistoricalPricesAdjusted!Q28/YHHistoricalPricesAdjusted!Q27-1,  "")</f>
        <v>-6.2671389710474701E-3</v>
      </c>
      <c r="R28" s="37">
        <f>IFERROR(YHHistoricalPricesAdjusted!R28/YHHistoricalPricesAdjusted!R27-1,  "")</f>
        <v>-1.2631019988729175E-4</v>
      </c>
      <c r="S28" s="37">
        <f>IFERROR(YHHistoricalPricesAdjusted!S28/YHHistoricalPricesAdjusted!S27-1,  "")</f>
        <v>7.7591653175098863E-2</v>
      </c>
      <c r="T28" s="37">
        <f>IFERROR(YHHistoricalPricesAdjusted!T28/YHHistoricalPricesAdjusted!T27-1,  "")</f>
        <v>-3.7152444598852585E-2</v>
      </c>
      <c r="U28" s="37">
        <f>IFERROR(YHHistoricalPricesAdjusted!U28/YHHistoricalPricesAdjusted!U27-1,  "")</f>
        <v>-6.5936066622549472E-2</v>
      </c>
      <c r="V28" s="37">
        <f>IFERROR(YHHistoricalPricesAdjusted!V28/YHHistoricalPricesAdjusted!V27-1,  "")</f>
        <v>-6.5515249602856374E-2</v>
      </c>
      <c r="W28" s="37">
        <f>IFERROR(YHHistoricalPricesAdjusted!W28/YHHistoricalPricesAdjusted!W27-1,  "")</f>
        <v>-0.13518580625814458</v>
      </c>
      <c r="X28" s="37">
        <f>IFERROR(YHHistoricalPricesAdjusted!X28/YHHistoricalPricesAdjusted!X27-1,  "")</f>
        <v>3.2364636424643045E-2</v>
      </c>
      <c r="Y28" s="37">
        <f>IFERROR(YHHistoricalPricesAdjusted!Y28/YHHistoricalPricesAdjusted!Y27-1,  "")</f>
        <v>-1.1762746402080193E-2</v>
      </c>
      <c r="Z28" s="37">
        <f>IFERROR(YHHistoricalPricesAdjusted!Z28/YHHistoricalPricesAdjusted!Z27-1,  "")</f>
        <v>2.263710461615176E-2</v>
      </c>
      <c r="AA28" s="37">
        <f>IFERROR(YHHistoricalPricesAdjusted!AA28/YHHistoricalPricesAdjusted!AA27-1,  "")</f>
        <v>-1.8107289496356205E-2</v>
      </c>
      <c r="AB28" s="37">
        <f>IFERROR(YHHistoricalPricesAdjusted!AB28/YHHistoricalPricesAdjusted!AB27-1,  "")</f>
        <v>4.1010385798326832E-2</v>
      </c>
      <c r="AC28" s="37">
        <f>IFERROR(YHHistoricalPricesAdjusted!AC28/YHHistoricalPricesAdjusted!AC27-1,  "")</f>
        <v>5.1579543968530039E-2</v>
      </c>
      <c r="AD28" s="37">
        <f>IFERROR(YHHistoricalPricesAdjusted!AD28/YHHistoricalPricesAdjusted!AD27-1,  "")</f>
        <v>3.9416732566048829E-2</v>
      </c>
      <c r="AE28" s="37">
        <f>IFERROR(YHHistoricalPricesAdjusted!AE28/YHHistoricalPricesAdjusted!AE27-1,  "")</f>
        <v>0.11215735997115717</v>
      </c>
      <c r="AF28" s="37">
        <f>IFERROR(YHHistoricalPricesAdjusted!AF28/YHHistoricalPricesAdjusted!AF27-1,  "")</f>
        <v>-6.6397452222924036E-2</v>
      </c>
      <c r="AG28" s="37">
        <f>IFERROR(YHHistoricalPricesAdjusted!AG28/YHHistoricalPricesAdjusted!AG27-1,  "")</f>
        <v>2.1854025203954075E-2</v>
      </c>
      <c r="AH28" s="37">
        <f>IFERROR(YHHistoricalPricesAdjusted!AH28/YHHistoricalPricesAdjusted!AH27-1,  "")</f>
        <v>-9.9347260431955631E-3</v>
      </c>
      <c r="AI28" s="37">
        <f>IFERROR(YHHistoricalPricesAdjusted!AI28/YHHistoricalPricesAdjusted!AI27-1,  "")</f>
        <v>-3.109748414876945E-2</v>
      </c>
      <c r="AJ28" s="37">
        <f>IFERROR(YHHistoricalPricesAdjusted!AJ28/YHHistoricalPricesAdjusted!AJ27-1,  "")</f>
        <v>2.5940050337613929E-2</v>
      </c>
      <c r="AK28" s="37">
        <f>IFERROR(YHHistoricalPricesAdjusted!AK28/YHHistoricalPricesAdjusted!AK27-1,  "")</f>
        <v>-1.1040757706873183E-2</v>
      </c>
      <c r="AL28" s="37">
        <f>IFERROR(YHHistoricalPricesAdjusted!AL28/YHHistoricalPricesAdjusted!AL27-1,  "")</f>
        <v>-4.2542883954637456E-2</v>
      </c>
      <c r="AM28" s="37">
        <f>IFERROR(YHHistoricalPricesAdjusted!AM28/YHHistoricalPricesAdjusted!AM27-1,  "")</f>
        <v>-7.0754608151977649E-2</v>
      </c>
      <c r="AN28" s="37">
        <f>IFERROR(YHHistoricalPricesAdjusted!AN28/YHHistoricalPricesAdjusted!AN27-1,  "")</f>
        <v>-2.1803733138222592E-2</v>
      </c>
      <c r="AO28" s="37">
        <f>IFERROR(YHHistoricalPricesAdjusted!AO28/YHHistoricalPricesAdjusted!AO27-1,  "")</f>
        <v>-9.5312610358175731E-2</v>
      </c>
      <c r="AP28" s="37">
        <f>IFERROR(YHHistoricalPricesAdjusted!AP28/YHHistoricalPricesAdjusted!AP27-1,  "")</f>
        <v>-9.6523975047158039E-3</v>
      </c>
      <c r="AQ28" s="37">
        <f>IFERROR(YHHistoricalPricesAdjusted!AQ28/YHHistoricalPricesAdjusted!AQ27-1,  "")</f>
        <v>-2.1700217497490515E-2</v>
      </c>
      <c r="AR28" s="37">
        <f>IFERROR(YHHistoricalPricesAdjusted!AR28/YHHistoricalPricesAdjusted!AR27-1,  "")</f>
        <v>-5.3038475176436783E-4</v>
      </c>
      <c r="AS28" s="37">
        <f>IFERROR(YHHistoricalPricesAdjusted!AS28/YHHistoricalPricesAdjusted!AS27-1,  "")</f>
        <v>-2.9674086880430606E-2</v>
      </c>
      <c r="AT28" s="37">
        <f>IFERROR(YHHistoricalPricesAdjusted!AT28/YHHistoricalPricesAdjusted!AT27-1,  "")</f>
        <v>2.8024631904970398E-3</v>
      </c>
      <c r="AU28" s="37">
        <f>IFERROR(YHHistoricalPricesAdjusted!AU28/YHHistoricalPricesAdjusted!AU27-1,  "")</f>
        <v>1.3595136849744005E-2</v>
      </c>
      <c r="AV28" s="37">
        <f>IFERROR(YHHistoricalPricesAdjusted!AV28/YHHistoricalPricesAdjusted!AV27-1,  "")</f>
        <v>-1.4032679173460516E-2</v>
      </c>
      <c r="AW28" s="37">
        <f>IFERROR(YHHistoricalPricesAdjusted!AW28/YHHistoricalPricesAdjusted!AW27-1,  "")</f>
        <v>1.3056222117636018E-2</v>
      </c>
      <c r="AX28" s="37">
        <f>IFERROR(YHHistoricalPricesAdjusted!AX28/YHHistoricalPricesAdjusted!AX27-1,  "")</f>
        <v>-1.3214197206654954E-2</v>
      </c>
      <c r="AY28" s="37">
        <f>IFERROR(YHHistoricalPricesAdjusted!AY28/YHHistoricalPricesAdjusted!AY27-1,  "")</f>
        <v>-1.1121289177756344E-2</v>
      </c>
      <c r="AZ28" s="37">
        <f>IFERROR(YHHistoricalPricesAdjusted!AZ28/YHHistoricalPricesAdjusted!AZ27-1,  "")</f>
        <v>7.5784945588937003E-3</v>
      </c>
      <c r="BA28" s="37">
        <f>IFERROR(YHHistoricalPricesAdjusted!BA28/YHHistoricalPricesAdjusted!BA27-1,  "")</f>
        <v>-1.6335571971736629E-2</v>
      </c>
      <c r="BB28" s="37">
        <f>IFERROR(YHHistoricalPricesAdjusted!BB28/YHHistoricalPricesAdjusted!BB27-1,  "")</f>
        <v>-1.1423004049355145E-2</v>
      </c>
      <c r="BC28" s="37">
        <f>IFERROR(YHHistoricalPricesAdjusted!BC28/YHHistoricalPricesAdjusted!BC27-1,  "")</f>
        <v>-2.6565443256525434E-2</v>
      </c>
      <c r="BD28" s="37">
        <f>IFERROR(YHHistoricalPricesAdjusted!BD28/YHHistoricalPricesAdjusted!BD27-1,  "")</f>
        <v>-2.859164570237227E-2</v>
      </c>
      <c r="BE28" s="37">
        <f>IFERROR(YHHistoricalPricesAdjusted!BE28/YHHistoricalPricesAdjusted!BE27-1,  "")</f>
        <v>-1.7168863986429694E-2</v>
      </c>
      <c r="BF28" s="37">
        <f>IFERROR(YHHistoricalPricesAdjusted!BF28/YHHistoricalPricesAdjusted!BF27-1,  "")</f>
        <v>-6.4803694746318197E-3</v>
      </c>
      <c r="BG28" s="37">
        <f>IFERROR(YHHistoricalPricesAdjusted!BG28/YHHistoricalPricesAdjusted!BG27-1,  "")</f>
        <v>-2.1071523294580619E-2</v>
      </c>
      <c r="BH28" s="37">
        <f>IFERROR(YHHistoricalPricesAdjusted!BH28/YHHistoricalPricesAdjusted!BH27-1,  "")</f>
        <v>-5.7370198075490375E-4</v>
      </c>
      <c r="BI28" s="37">
        <f>IFERROR(YHHistoricalPricesAdjusted!BI28/YHHistoricalPricesAdjusted!BI27-1,  "")</f>
        <v>-4.1495695574722657E-2</v>
      </c>
      <c r="BJ28" s="37">
        <f>IFERROR(YHHistoricalPricesAdjusted!BJ28/YHHistoricalPricesAdjusted!BJ27-1,  "")</f>
        <v>2.3351532400512909E-2</v>
      </c>
      <c r="BK28" s="37">
        <f>IFERROR(YHHistoricalPricesAdjusted!BK28/YHHistoricalPricesAdjusted!BK27-1,  "")</f>
        <v>-4.2529441786048006E-2</v>
      </c>
      <c r="BL28" s="37">
        <f>IFERROR(YHHistoricalPricesAdjusted!BL28/YHHistoricalPricesAdjusted!BL27-1,  "")</f>
        <v>-1.5855579547619514E-2</v>
      </c>
      <c r="BM28" s="37">
        <f>IFERROR(YHHistoricalPricesAdjusted!BM28/YHHistoricalPricesAdjusted!BM27-1,  "")</f>
        <v>1.9970056649101675E-2</v>
      </c>
      <c r="BN28" s="37">
        <f>IFERROR(YHHistoricalPricesAdjusted!BN28/YHHistoricalPricesAdjusted!BN27-1,  "")</f>
        <v>-2.7268693829818003E-2</v>
      </c>
      <c r="BO28" s="37">
        <f>IFERROR(YHHistoricalPricesAdjusted!BO28/YHHistoricalPricesAdjusted!BO27-1,  "")</f>
        <v>-1.73984179520148E-2</v>
      </c>
      <c r="BP28" s="37">
        <f>IFERROR(YHHistoricalPricesAdjusted!BP28/YHHistoricalPricesAdjusted!BP27-1,  "")</f>
        <v>2.6436627760193954E-2</v>
      </c>
      <c r="BQ28" s="37">
        <f>IFERROR(YHHistoricalPricesAdjusted!BQ28/YHHistoricalPricesAdjusted!BQ27-1,  "")</f>
        <v>-1.9644157981395405E-2</v>
      </c>
      <c r="BR28" s="37">
        <f>IFERROR(YHHistoricalPricesAdjusted!BR28/YHHistoricalPricesAdjusted!BR27-1,  "")</f>
        <v>-1.8508951680527796E-2</v>
      </c>
      <c r="BS28" s="37">
        <f>IFERROR(YHHistoricalPricesAdjusted!BS28/YHHistoricalPricesAdjusted!BS27-1,  "")</f>
        <v>2.1197770711693709E-2</v>
      </c>
      <c r="BT28" s="37">
        <f>IFERROR(YHHistoricalPricesAdjusted!BT28/YHHistoricalPricesAdjusted!BT27-1,  "")</f>
        <v>-3.6244040541109079E-3</v>
      </c>
      <c r="BU28" s="37">
        <f>IFERROR(YHHistoricalPricesAdjusted!BU28/YHHistoricalPricesAdjusted!BU27-1,  "")</f>
        <v>-3.7144723411080327E-2</v>
      </c>
      <c r="BV28" s="37">
        <f>IFERROR(YHHistoricalPricesAdjusted!BV28/YHHistoricalPricesAdjusted!BV27-1,  "")</f>
        <v>-6.6148948637827054E-2</v>
      </c>
      <c r="BW28" s="37">
        <f>IFERROR(YHHistoricalPricesAdjusted!BW28/YHHistoricalPricesAdjusted!BW27-1,  "")</f>
        <v>-5.2803272608896168E-2</v>
      </c>
      <c r="BX28" s="37">
        <f>IFERROR(YHHistoricalPricesAdjusted!BX28/YHHistoricalPricesAdjusted!BX27-1,  "")</f>
        <v>-1.6582413116643324E-2</v>
      </c>
      <c r="BY28" s="37">
        <f>IFERROR(YHHistoricalPricesAdjusted!BY28/YHHistoricalPricesAdjusted!BY27-1,  "")</f>
        <v>-3.7042362512641924E-2</v>
      </c>
      <c r="BZ28" s="37">
        <f>IFERROR(YHHistoricalPricesAdjusted!BZ28/YHHistoricalPricesAdjusted!BZ27-1,  "")</f>
        <v>-6.8626956136917938E-3</v>
      </c>
      <c r="CA28" s="37">
        <f>IFERROR(YHHistoricalPricesAdjusted!CA28/YHHistoricalPricesAdjusted!CA27-1,  "")</f>
        <v>9.5920091322912793E-2</v>
      </c>
      <c r="CB28" s="37">
        <f>IFERROR(YHHistoricalPricesAdjusted!CB28/YHHistoricalPricesAdjusted!CB27-1,  "")</f>
        <v>2.5822972829789848E-2</v>
      </c>
      <c r="CC28" s="37">
        <f>IFERROR(YHHistoricalPricesAdjusted!CC28/YHHistoricalPricesAdjusted!CC27-1,  "")</f>
        <v>-4.7570630160708727E-2</v>
      </c>
      <c r="CD28" s="37">
        <f>IFERROR(YHHistoricalPricesAdjusted!CD28/YHHistoricalPricesAdjusted!CD27-1,  "")</f>
        <v>4.1154868416425572E-2</v>
      </c>
      <c r="CE28" s="37">
        <f>IFERROR(YHHistoricalPricesAdjusted!CE28/YHHistoricalPricesAdjusted!CE27-1,  "")</f>
        <v>-0.10562556071366225</v>
      </c>
      <c r="CF28" s="37">
        <f>IFERROR(YHHistoricalPricesAdjusted!CF28/YHHistoricalPricesAdjusted!CF27-1,  "")</f>
        <v>-0.11542226931855237</v>
      </c>
    </row>
    <row r="29" spans="1:84" x14ac:dyDescent="0.25">
      <c r="A29" s="17">
        <v>42124</v>
      </c>
      <c r="B29" s="37">
        <f>IFERROR(YHHistoricalPricesAdjusted!B29/YHHistoricalPricesAdjusted!B28-1,  "")</f>
        <v>5.7864471159687625E-3</v>
      </c>
      <c r="C29" s="37">
        <f>IFERROR(YHHistoricalPricesAdjusted!C29/YHHistoricalPricesAdjusted!C28-1,  "")</f>
        <v>9.1495533208195035E-2</v>
      </c>
      <c r="D29" s="37">
        <f>IFERROR(YHHistoricalPricesAdjusted!D29/YHHistoricalPricesAdjusted!D28-1,  "")</f>
        <v>6.7227553885092162E-2</v>
      </c>
      <c r="E29" s="37">
        <f>IFERROR(YHHistoricalPricesAdjusted!E29/YHHistoricalPricesAdjusted!E28-1,  "")</f>
        <v>3.6514434948994534E-2</v>
      </c>
      <c r="F29" s="37">
        <f>IFERROR(YHHistoricalPricesAdjusted!F29/YHHistoricalPricesAdjusted!F28-1,  "")</f>
        <v>-9.1337661152270933E-3</v>
      </c>
      <c r="G29" s="37">
        <f>IFERROR(YHHistoricalPricesAdjusted!G29/YHHistoricalPricesAdjusted!G28-1,  "")</f>
        <v>-4.5364403851142154E-2</v>
      </c>
      <c r="H29" s="37">
        <f>IFERROR(YHHistoricalPricesAdjusted!H29/YHHistoricalPricesAdjusted!H28-1,  "")</f>
        <v>8.5463899874540505E-3</v>
      </c>
      <c r="I29" s="37">
        <f>IFERROR(YHHistoricalPricesAdjusted!I29/YHHistoricalPricesAdjusted!I28-1,  "")</f>
        <v>-6.5948855989232835E-2</v>
      </c>
      <c r="J29" s="37">
        <f>IFERROR(YHHistoricalPricesAdjusted!J29/YHHistoricalPricesAdjusted!J28-1,  "")</f>
        <v>-6.6796261113230559E-2</v>
      </c>
      <c r="K29" s="37">
        <f>IFERROR(YHHistoricalPricesAdjusted!K29/YHHistoricalPricesAdjusted!K28-1,  "")</f>
        <v>7.9511084638326235E-3</v>
      </c>
      <c r="L29" s="37">
        <f>IFERROR(YHHistoricalPricesAdjusted!L29/YHHistoricalPricesAdjusted!L28-1,  "")</f>
        <v>8.5463899874540505E-3</v>
      </c>
      <c r="M29" s="37">
        <f>IFERROR(YHHistoricalPricesAdjusted!M29/YHHistoricalPricesAdjusted!M28-1,  "")</f>
        <v>1.4371357460074563E-3</v>
      </c>
      <c r="N29" s="37">
        <f>IFERROR(YHHistoricalPricesAdjusted!N29/YHHistoricalPricesAdjusted!N28-1,  "")</f>
        <v>2.8924262983350157E-2</v>
      </c>
      <c r="O29" s="37">
        <f>IFERROR(YHHistoricalPricesAdjusted!O29/YHHistoricalPricesAdjusted!O28-1,  "")</f>
        <v>0.19748899830504851</v>
      </c>
      <c r="P29" s="37">
        <f>IFERROR(YHHistoricalPricesAdjusted!P29/YHHistoricalPricesAdjusted!P28-1,  "")</f>
        <v>2.7882237703918511E-2</v>
      </c>
      <c r="Q29" s="37">
        <f>IFERROR(YHHistoricalPricesAdjusted!Q29/YHHistoricalPricesAdjusted!Q28-1,  "")</f>
        <v>5.7915622373494235E-2</v>
      </c>
      <c r="R29" s="37">
        <f>IFERROR(YHHistoricalPricesAdjusted!R29/YHHistoricalPricesAdjusted!R28-1,  "")</f>
        <v>-2.2847021361295905E-2</v>
      </c>
      <c r="S29" s="37">
        <f>IFERROR(YHHistoricalPricesAdjusted!S29/YHHistoricalPricesAdjusted!S28-1,  "")</f>
        <v>8.6619338213862029E-2</v>
      </c>
      <c r="T29" s="37">
        <f>IFERROR(YHHistoricalPricesAdjusted!T29/YHHistoricalPricesAdjusted!T28-1,  "")</f>
        <v>-1.8713234094149045E-2</v>
      </c>
      <c r="U29" s="37">
        <f>IFERROR(YHHistoricalPricesAdjusted!U29/YHHistoricalPricesAdjusted!U28-1,  "")</f>
        <v>0.1359789503464166</v>
      </c>
      <c r="V29" s="37">
        <f>IFERROR(YHHistoricalPricesAdjusted!V29/YHHistoricalPricesAdjusted!V28-1,  "")</f>
        <v>1.7013025876743582E-2</v>
      </c>
      <c r="W29" s="37">
        <f>IFERROR(YHHistoricalPricesAdjusted!W29/YHHistoricalPricesAdjusted!W28-1,  "")</f>
        <v>-4.0242013260627707E-2</v>
      </c>
      <c r="X29" s="37">
        <f>IFERROR(YHHistoricalPricesAdjusted!X29/YHHistoricalPricesAdjusted!X28-1,  "")</f>
        <v>-3.9600874911323913E-2</v>
      </c>
      <c r="Y29" s="37">
        <f>IFERROR(YHHistoricalPricesAdjusted!Y29/YHHistoricalPricesAdjusted!Y28-1,  "")</f>
        <v>-1.3916733103215617E-2</v>
      </c>
      <c r="Z29" s="37">
        <f>IFERROR(YHHistoricalPricesAdjusted!Z29/YHHistoricalPricesAdjusted!Z28-1,  "")</f>
        <v>-2.4719646543393758E-2</v>
      </c>
      <c r="AA29" s="37">
        <f>IFERROR(YHHistoricalPricesAdjusted!AA29/YHHistoricalPricesAdjusted!AA28-1,  "")</f>
        <v>4.4571363697571309E-2</v>
      </c>
      <c r="AB29" s="37">
        <f>IFERROR(YHHistoricalPricesAdjusted!AB29/YHHistoricalPricesAdjusted!AB28-1,  "")</f>
        <v>-5.5095939015691764E-2</v>
      </c>
      <c r="AC29" s="37">
        <f>IFERROR(YHHistoricalPricesAdjusted!AC29/YHHistoricalPricesAdjusted!AC28-1,  "")</f>
        <v>-1.6216953224458708E-2</v>
      </c>
      <c r="AD29" s="37">
        <f>IFERROR(YHHistoricalPricesAdjusted!AD29/YHHistoricalPricesAdjusted!AD28-1,  "")</f>
        <v>-6.4564747623259144E-3</v>
      </c>
      <c r="AE29" s="37">
        <f>IFERROR(YHHistoricalPricesAdjusted!AE29/YHHistoricalPricesAdjusted!AE28-1,  "")</f>
        <v>-7.3938760450721897E-2</v>
      </c>
      <c r="AF29" s="37">
        <f>IFERROR(YHHistoricalPricesAdjusted!AF29/YHHistoricalPricesAdjusted!AF28-1,  "")</f>
        <v>-2.9780756078711113E-3</v>
      </c>
      <c r="AG29" s="37">
        <f>IFERROR(YHHistoricalPricesAdjusted!AG29/YHHistoricalPricesAdjusted!AG28-1,  "")</f>
        <v>-4.9593434177148232E-2</v>
      </c>
      <c r="AH29" s="37">
        <f>IFERROR(YHHistoricalPricesAdjusted!AH29/YHHistoricalPricesAdjusted!AH28-1,  "")</f>
        <v>-5.3511933989311644E-2</v>
      </c>
      <c r="AI29" s="37">
        <f>IFERROR(YHHistoricalPricesAdjusted!AI29/YHHistoricalPricesAdjusted!AI28-1,  "")</f>
        <v>-3.3614213360771972E-3</v>
      </c>
      <c r="AJ29" s="37">
        <f>IFERROR(YHHistoricalPricesAdjusted!AJ29/YHHistoricalPricesAdjusted!AJ28-1,  "")</f>
        <v>3.038455860982392E-3</v>
      </c>
      <c r="AK29" s="37">
        <f>IFERROR(YHHistoricalPricesAdjusted!AK29/YHHistoricalPricesAdjusted!AK28-1,  "")</f>
        <v>-5.1577370432564495E-2</v>
      </c>
      <c r="AL29" s="37">
        <f>IFERROR(YHHistoricalPricesAdjusted!AL29/YHHistoricalPricesAdjusted!AL28-1,  "")</f>
        <v>8.8100059620369597E-2</v>
      </c>
      <c r="AM29" s="37">
        <f>IFERROR(YHHistoricalPricesAdjusted!AM29/YHHistoricalPricesAdjusted!AM28-1,  "")</f>
        <v>0.14314706715544068</v>
      </c>
      <c r="AN29" s="37">
        <f>IFERROR(YHHistoricalPricesAdjusted!AN29/YHHistoricalPricesAdjusted!AN28-1,  "")</f>
        <v>-1.9756937559213705E-2</v>
      </c>
      <c r="AO29" s="37">
        <f>IFERROR(YHHistoricalPricesAdjusted!AO29/YHHistoricalPricesAdjusted!AO28-1,  "")</f>
        <v>-1.9203989043136804E-2</v>
      </c>
      <c r="AP29" s="37">
        <f>IFERROR(YHHistoricalPricesAdjusted!AP29/YHHistoricalPricesAdjusted!AP28-1,  "")</f>
        <v>7.5968780529987789E-2</v>
      </c>
      <c r="AQ29" s="37">
        <f>IFERROR(YHHistoricalPricesAdjusted!AQ29/YHHistoricalPricesAdjusted!AQ28-1,  "")</f>
        <v>-4.4885713388086446E-2</v>
      </c>
      <c r="AR29" s="37">
        <f>IFERROR(YHHistoricalPricesAdjusted!AR29/YHHistoricalPricesAdjusted!AR28-1,  "")</f>
        <v>-3.7603469485623653E-2</v>
      </c>
      <c r="AS29" s="37">
        <f>IFERROR(YHHistoricalPricesAdjusted!AS29/YHHistoricalPricesAdjusted!AS28-1,  "")</f>
        <v>-2.6111746560518179E-2</v>
      </c>
      <c r="AT29" s="37">
        <f>IFERROR(YHHistoricalPricesAdjusted!AT29/YHHistoricalPricesAdjusted!AT28-1,  "")</f>
        <v>1.7836789430974775E-2</v>
      </c>
      <c r="AU29" s="37">
        <f>IFERROR(YHHistoricalPricesAdjusted!AU29/YHHistoricalPricesAdjusted!AU28-1,  "")</f>
        <v>5.7185869867422134E-3</v>
      </c>
      <c r="AV29" s="37">
        <f>IFERROR(YHHistoricalPricesAdjusted!AV29/YHHistoricalPricesAdjusted!AV28-1,  "")</f>
        <v>-9.083377846792251E-3</v>
      </c>
      <c r="AW29" s="37">
        <f>IFERROR(YHHistoricalPricesAdjusted!AW29/YHHistoricalPricesAdjusted!AW28-1,  "")</f>
        <v>-2.9985589672486657E-2</v>
      </c>
      <c r="AX29" s="37">
        <f>IFERROR(YHHistoricalPricesAdjusted!AX29/YHHistoricalPricesAdjusted!AX28-1,  "")</f>
        <v>1.028926483825221E-2</v>
      </c>
      <c r="AY29" s="37">
        <f>IFERROR(YHHistoricalPricesAdjusted!AY29/YHHistoricalPricesAdjusted!AY28-1,  "")</f>
        <v>4.5163653915314406E-4</v>
      </c>
      <c r="AZ29" s="37">
        <f>IFERROR(YHHistoricalPricesAdjusted!AZ29/YHHistoricalPricesAdjusted!AZ28-1,  "")</f>
        <v>-1.9960417451279411E-2</v>
      </c>
      <c r="BA29" s="37">
        <f>IFERROR(YHHistoricalPricesAdjusted!BA29/YHHistoricalPricesAdjusted!BA28-1,  "")</f>
        <v>-4.345956112592031E-3</v>
      </c>
      <c r="BB29" s="37">
        <f>IFERROR(YHHistoricalPricesAdjusted!BB29/YHHistoricalPricesAdjusted!BB28-1,  "")</f>
        <v>4.4238885051350652E-2</v>
      </c>
      <c r="BC29" s="37">
        <f>IFERROR(YHHistoricalPricesAdjusted!BC29/YHHistoricalPricesAdjusted!BC28-1,  "")</f>
        <v>3.8324481564124824E-2</v>
      </c>
      <c r="BD29" s="37">
        <f>IFERROR(YHHistoricalPricesAdjusted!BD29/YHHistoricalPricesAdjusted!BD28-1,  "")</f>
        <v>9.7841601932819877E-3</v>
      </c>
      <c r="BE29" s="37">
        <f>IFERROR(YHHistoricalPricesAdjusted!BE29/YHHistoricalPricesAdjusted!BE28-1,  "")</f>
        <v>3.4937806406627026E-2</v>
      </c>
      <c r="BF29" s="37">
        <f>IFERROR(YHHistoricalPricesAdjusted!BF29/YHHistoricalPricesAdjusted!BF28-1,  "")</f>
        <v>4.495392543804444E-2</v>
      </c>
      <c r="BG29" s="37">
        <f>IFERROR(YHHistoricalPricesAdjusted!BG29/YHHistoricalPricesAdjusted!BG28-1,  "")</f>
        <v>-1.2726672908795922E-2</v>
      </c>
      <c r="BH29" s="37">
        <f>IFERROR(YHHistoricalPricesAdjusted!BH29/YHHistoricalPricesAdjusted!BH28-1,  "")</f>
        <v>1.2867481216766175E-2</v>
      </c>
      <c r="BI29" s="37">
        <f>IFERROR(YHHistoricalPricesAdjusted!BI29/YHHistoricalPricesAdjusted!BI28-1,  "")</f>
        <v>4.4218318261858514E-2</v>
      </c>
      <c r="BJ29" s="37">
        <f>IFERROR(YHHistoricalPricesAdjusted!BJ29/YHHistoricalPricesAdjusted!BJ28-1,  "")</f>
        <v>9.3960452461685495E-3</v>
      </c>
      <c r="BK29" s="37">
        <f>IFERROR(YHHistoricalPricesAdjusted!BK29/YHHistoricalPricesAdjusted!BK28-1,  "")</f>
        <v>-5.2630028348010782E-3</v>
      </c>
      <c r="BL29" s="37">
        <f>IFERROR(YHHistoricalPricesAdjusted!BL29/YHHistoricalPricesAdjusted!BL28-1,  "")</f>
        <v>-5.1894585949745942E-2</v>
      </c>
      <c r="BM29" s="37">
        <f>IFERROR(YHHistoricalPricesAdjusted!BM29/YHHistoricalPricesAdjusted!BM28-1,  "")</f>
        <v>-3.2499351611259386E-2</v>
      </c>
      <c r="BN29" s="37">
        <f>IFERROR(YHHistoricalPricesAdjusted!BN29/YHHistoricalPricesAdjusted!BN28-1,  "")</f>
        <v>-3.3568386715267406E-2</v>
      </c>
      <c r="BO29" s="37">
        <f>IFERROR(YHHistoricalPricesAdjusted!BO29/YHHistoricalPricesAdjusted!BO28-1,  "")</f>
        <v>-3.1783308091791529E-2</v>
      </c>
      <c r="BP29" s="37">
        <f>IFERROR(YHHistoricalPricesAdjusted!BP29/YHHistoricalPricesAdjusted!BP28-1,  "")</f>
        <v>-2.2267525993372561E-2</v>
      </c>
      <c r="BQ29" s="37">
        <f>IFERROR(YHHistoricalPricesAdjusted!BQ29/YHHistoricalPricesAdjusted!BQ28-1,  "")</f>
        <v>-2.7407860417568708E-3</v>
      </c>
      <c r="BR29" s="37">
        <f>IFERROR(YHHistoricalPricesAdjusted!BR29/YHHistoricalPricesAdjusted!BR28-1,  "")</f>
        <v>-1.0813659757334282E-2</v>
      </c>
      <c r="BS29" s="37">
        <f>IFERROR(YHHistoricalPricesAdjusted!BS29/YHHistoricalPricesAdjusted!BS28-1,  "")</f>
        <v>1.6722068419070535E-2</v>
      </c>
      <c r="BT29" s="37">
        <f>IFERROR(YHHistoricalPricesAdjusted!BT29/YHHistoricalPricesAdjusted!BT28-1,  "")</f>
        <v>1.499119251552905E-2</v>
      </c>
      <c r="BU29" s="37">
        <f>IFERROR(YHHistoricalPricesAdjusted!BU29/YHHistoricalPricesAdjusted!BU28-1,  "")</f>
        <v>-1.2761870184863744E-2</v>
      </c>
      <c r="BV29" s="37">
        <f>IFERROR(YHHistoricalPricesAdjusted!BV29/YHHistoricalPricesAdjusted!BV28-1,  "")</f>
        <v>0.1962616876860015</v>
      </c>
      <c r="BW29" s="37">
        <f>IFERROR(YHHistoricalPricesAdjusted!BW29/YHHistoricalPricesAdjusted!BW28-1,  "")</f>
        <v>4.0933926737514392E-2</v>
      </c>
      <c r="BX29" s="37">
        <f>IFERROR(YHHistoricalPricesAdjusted!BX29/YHHistoricalPricesAdjusted!BX28-1,  "")</f>
        <v>3.7219807109543979E-2</v>
      </c>
      <c r="BY29" s="37">
        <f>IFERROR(YHHistoricalPricesAdjusted!BY29/YHHistoricalPricesAdjusted!BY28-1,  "")</f>
        <v>8.9956625952900104E-2</v>
      </c>
      <c r="BZ29" s="37">
        <f>IFERROR(YHHistoricalPricesAdjusted!BZ29/YHHistoricalPricesAdjusted!BZ28-1,  "")</f>
        <v>3.4756723185579208E-2</v>
      </c>
      <c r="CA29" s="37">
        <f>IFERROR(YHHistoricalPricesAdjusted!CA29/YHHistoricalPricesAdjusted!CA28-1,  "")</f>
        <v>-6.4686204620462151E-3</v>
      </c>
      <c r="CB29" s="37">
        <f>IFERROR(YHHistoricalPricesAdjusted!CB29/YHHistoricalPricesAdjusted!CB28-1,  "")</f>
        <v>-2.6647079563508869E-2</v>
      </c>
      <c r="CC29" s="37">
        <f>IFERROR(YHHistoricalPricesAdjusted!CC29/YHHistoricalPricesAdjusted!CC28-1,  "")</f>
        <v>6.06783600847427E-2</v>
      </c>
      <c r="CD29" s="37">
        <f>IFERROR(YHHistoricalPricesAdjusted!CD29/YHHistoricalPricesAdjusted!CD28-1,  "")</f>
        <v>-4.1960641669172349E-2</v>
      </c>
      <c r="CE29" s="37">
        <f>IFERROR(YHHistoricalPricesAdjusted!CE29/YHHistoricalPricesAdjusted!CE28-1,  "")</f>
        <v>6.9442873902780367E-2</v>
      </c>
      <c r="CF29" s="37">
        <f>IFERROR(YHHistoricalPricesAdjusted!CF29/YHHistoricalPricesAdjusted!CF28-1,  "")</f>
        <v>3.6859566415759826E-2</v>
      </c>
    </row>
    <row r="30" spans="1:84" x14ac:dyDescent="0.25">
      <c r="A30" s="17">
        <v>42155</v>
      </c>
      <c r="B30" s="37">
        <f>IFERROR(YHHistoricalPricesAdjusted!B30/YHHistoricalPricesAdjusted!B29-1,  "")</f>
        <v>4.0990828386431977E-2</v>
      </c>
      <c r="C30" s="37">
        <f>IFERROR(YHHistoricalPricesAdjusted!C30/YHHistoricalPricesAdjusted!C29-1,  "")</f>
        <v>7.0161457027770879E-3</v>
      </c>
      <c r="D30" s="37">
        <f>IFERROR(YHHistoricalPricesAdjusted!D30/YHHistoricalPricesAdjusted!D29-1,  "")</f>
        <v>-9.5744925696760186E-3</v>
      </c>
      <c r="E30" s="37">
        <f>IFERROR(YHHistoricalPricesAdjusted!E30/YHHistoricalPricesAdjusted!E29-1,  "")</f>
        <v>1.5176590340772123E-2</v>
      </c>
      <c r="F30" s="37">
        <f>IFERROR(YHHistoricalPricesAdjusted!F30/YHHistoricalPricesAdjusted!F29-1,  "")</f>
        <v>-6.4218034223930687E-3</v>
      </c>
      <c r="G30" s="37">
        <f>IFERROR(YHHistoricalPricesAdjusted!G30/YHHistoricalPricesAdjusted!G29-1,  "")</f>
        <v>-4.8430478874226024E-2</v>
      </c>
      <c r="H30" s="37">
        <f>IFERROR(YHHistoricalPricesAdjusted!H30/YHHistoricalPricesAdjusted!H29-1,  "")</f>
        <v>9.8618554112097634E-3</v>
      </c>
      <c r="I30" s="37">
        <f>IFERROR(YHHistoricalPricesAdjusted!I30/YHHistoricalPricesAdjusted!I29-1,  "")</f>
        <v>7.5734864553314019E-2</v>
      </c>
      <c r="J30" s="37">
        <f>IFERROR(YHHistoricalPricesAdjusted!J30/YHHistoricalPricesAdjusted!J29-1,  "")</f>
        <v>2.1421012620543856E-2</v>
      </c>
      <c r="K30" s="37">
        <f>IFERROR(YHHistoricalPricesAdjusted!K30/YHHistoricalPricesAdjusted!K29-1,  "")</f>
        <v>-8.1282820067186679E-3</v>
      </c>
      <c r="L30" s="37">
        <f>IFERROR(YHHistoricalPricesAdjusted!L30/YHHistoricalPricesAdjusted!L29-1,  "")</f>
        <v>9.8618554112097634E-3</v>
      </c>
      <c r="M30" s="37">
        <f>IFERROR(YHHistoricalPricesAdjusted!M30/YHHistoricalPricesAdjusted!M29-1,  "")</f>
        <v>1.3772018354136772E-2</v>
      </c>
      <c r="N30" s="37">
        <f>IFERROR(YHHistoricalPricesAdjusted!N30/YHHistoricalPricesAdjusted!N29-1,  "")</f>
        <v>2.0578784195714128E-2</v>
      </c>
      <c r="O30" s="37">
        <f>IFERROR(YHHistoricalPricesAdjusted!O30/YHHistoricalPricesAdjusted!O29-1,  "")</f>
        <v>0.10948904964181749</v>
      </c>
      <c r="P30" s="37">
        <f>IFERROR(YHHistoricalPricesAdjusted!P30/YHHistoricalPricesAdjusted!P29-1,  "")</f>
        <v>-2.4836947296501211E-2</v>
      </c>
      <c r="Q30" s="37">
        <f>IFERROR(YHHistoricalPricesAdjusted!Q30/YHHistoricalPricesAdjusted!Q29-1,  "")</f>
        <v>-7.257339446056843E-2</v>
      </c>
      <c r="R30" s="37">
        <f>IFERROR(YHHistoricalPricesAdjusted!R30/YHHistoricalPricesAdjusted!R29-1,  "")</f>
        <v>3.6618611517932331E-2</v>
      </c>
      <c r="S30" s="37">
        <f>IFERROR(YHHistoricalPricesAdjusted!S30/YHHistoricalPricesAdjusted!S29-1,  "")</f>
        <v>-9.5793768188644934E-2</v>
      </c>
      <c r="T30" s="37">
        <f>IFERROR(YHHistoricalPricesAdjusted!T30/YHHistoricalPricesAdjusted!T29-1,  "")</f>
        <v>3.7385588686869919E-2</v>
      </c>
      <c r="U30" s="37">
        <f>IFERROR(YHHistoricalPricesAdjusted!U30/YHHistoricalPricesAdjusted!U29-1,  "")</f>
        <v>7.5375744825525448E-3</v>
      </c>
      <c r="V30" s="37">
        <f>IFERROR(YHHistoricalPricesAdjusted!V30/YHHistoricalPricesAdjusted!V29-1,  "")</f>
        <v>2.6500475319090278E-2</v>
      </c>
      <c r="W30" s="37">
        <f>IFERROR(YHHistoricalPricesAdjusted!W30/YHHistoricalPricesAdjusted!W29-1,  "")</f>
        <v>4.2045581967730783E-2</v>
      </c>
      <c r="X30" s="37">
        <f>IFERROR(YHHistoricalPricesAdjusted!X30/YHHistoricalPricesAdjusted!X29-1,  "")</f>
        <v>-5.0379877038531973E-2</v>
      </c>
      <c r="Y30" s="37">
        <f>IFERROR(YHHistoricalPricesAdjusted!Y30/YHHistoricalPricesAdjusted!Y29-1,  "")</f>
        <v>9.475940305329722E-3</v>
      </c>
      <c r="Z30" s="37">
        <f>IFERROR(YHHistoricalPricesAdjusted!Z30/YHHistoricalPricesAdjusted!Z29-1,  "")</f>
        <v>2.4167281321272549E-2</v>
      </c>
      <c r="AA30" s="37">
        <f>IFERROR(YHHistoricalPricesAdjusted!AA30/YHHistoricalPricesAdjusted!AA29-1,  "")</f>
        <v>2.2330429032418886E-2</v>
      </c>
      <c r="AB30" s="37">
        <f>IFERROR(YHHistoricalPricesAdjusted!AB30/YHHistoricalPricesAdjusted!AB29-1,  "")</f>
        <v>7.9084304054240606E-2</v>
      </c>
      <c r="AC30" s="37">
        <f>IFERROR(YHHistoricalPricesAdjusted!AC30/YHHistoricalPricesAdjusted!AC29-1,  "")</f>
        <v>0.10566143199837552</v>
      </c>
      <c r="AD30" s="37">
        <f>IFERROR(YHHistoricalPricesAdjusted!AD30/YHHistoricalPricesAdjusted!AD29-1,  "")</f>
        <v>0.10799485893639793</v>
      </c>
      <c r="AE30" s="37">
        <f>IFERROR(YHHistoricalPricesAdjusted!AE30/YHHistoricalPricesAdjusted!AE29-1,  "")</f>
        <v>0.15047904501873566</v>
      </c>
      <c r="AF30" s="37">
        <f>IFERROR(YHHistoricalPricesAdjusted!AF30/YHHistoricalPricesAdjusted!AF29-1,  "")</f>
        <v>5.7534997101664098E-2</v>
      </c>
      <c r="AG30" s="37">
        <f>IFERROR(YHHistoricalPricesAdjusted!AG30/YHHistoricalPricesAdjusted!AG29-1,  "")</f>
        <v>8.4670907618776603E-2</v>
      </c>
      <c r="AH30" s="37">
        <f>IFERROR(YHHistoricalPricesAdjusted!AH30/YHHistoricalPricesAdjusted!AH29-1,  "")</f>
        <v>4.1502903494342158E-2</v>
      </c>
      <c r="AI30" s="37">
        <f>IFERROR(YHHistoricalPricesAdjusted!AI30/YHHistoricalPricesAdjusted!AI29-1,  "")</f>
        <v>-2.5734093693917992E-2</v>
      </c>
      <c r="AJ30" s="37">
        <f>IFERROR(YHHistoricalPricesAdjusted!AJ30/YHHistoricalPricesAdjusted!AJ29-1,  "")</f>
        <v>0.13827854596401901</v>
      </c>
      <c r="AK30" s="37">
        <f>IFERROR(YHHistoricalPricesAdjusted!AK30/YHHistoricalPricesAdjusted!AK29-1,  "")</f>
        <v>-5.737848434756665E-3</v>
      </c>
      <c r="AL30" s="37">
        <f>IFERROR(YHHistoricalPricesAdjusted!AL30/YHHistoricalPricesAdjusted!AL29-1,  "")</f>
        <v>-7.6272051868995216E-3</v>
      </c>
      <c r="AM30" s="37">
        <f>IFERROR(YHHistoricalPricesAdjusted!AM30/YHHistoricalPricesAdjusted!AM29-1,  "")</f>
        <v>0.10035525883273899</v>
      </c>
      <c r="AN30" s="37">
        <f>IFERROR(YHHistoricalPricesAdjusted!AN30/YHHistoricalPricesAdjusted!AN29-1,  "")</f>
        <v>-1.0163632107283327E-2</v>
      </c>
      <c r="AO30" s="37">
        <f>IFERROR(YHHistoricalPricesAdjusted!AO30/YHHistoricalPricesAdjusted!AO29-1,  "")</f>
        <v>-5.0079997385198749E-2</v>
      </c>
      <c r="AP30" s="37">
        <f>IFERROR(YHHistoricalPricesAdjusted!AP30/YHHistoricalPricesAdjusted!AP29-1,  "")</f>
        <v>7.510517634246705E-3</v>
      </c>
      <c r="AQ30" s="37">
        <f>IFERROR(YHHistoricalPricesAdjusted!AQ30/YHHistoricalPricesAdjusted!AQ29-1,  "")</f>
        <v>-9.3668631459339347E-3</v>
      </c>
      <c r="AR30" s="37">
        <f>IFERROR(YHHistoricalPricesAdjusted!AR30/YHHistoricalPricesAdjusted!AR29-1,  "")</f>
        <v>1.0419452904422144E-3</v>
      </c>
      <c r="AS30" s="37">
        <f>IFERROR(YHHistoricalPricesAdjusted!AS30/YHHistoricalPricesAdjusted!AS29-1,  "")</f>
        <v>8.3779448332244044E-4</v>
      </c>
      <c r="AT30" s="37">
        <f>IFERROR(YHHistoricalPricesAdjusted!AT30/YHHistoricalPricesAdjusted!AT29-1,  "")</f>
        <v>-1.8642828344216156E-2</v>
      </c>
      <c r="AU30" s="37">
        <f>IFERROR(YHHistoricalPricesAdjusted!AU30/YHHistoricalPricesAdjusted!AU29-1,  "")</f>
        <v>-3.0264179808889735E-2</v>
      </c>
      <c r="AV30" s="37">
        <f>IFERROR(YHHistoricalPricesAdjusted!AV30/YHHistoricalPricesAdjusted!AV29-1,  "")</f>
        <v>-2.0833467020865193E-2</v>
      </c>
      <c r="AW30" s="37">
        <f>IFERROR(YHHistoricalPricesAdjusted!AW30/YHHistoricalPricesAdjusted!AW29-1,  "")</f>
        <v>1.3970093839960507E-2</v>
      </c>
      <c r="AX30" s="37">
        <f>IFERROR(YHHistoricalPricesAdjusted!AX30/YHHistoricalPricesAdjusted!AX29-1,  "")</f>
        <v>-2.3720760351200854E-2</v>
      </c>
      <c r="AY30" s="37">
        <f>IFERROR(YHHistoricalPricesAdjusted!AY30/YHHistoricalPricesAdjusted!AY29-1,  "")</f>
        <v>-1.3769475405168929E-2</v>
      </c>
      <c r="AZ30" s="37">
        <f>IFERROR(YHHistoricalPricesAdjusted!AZ30/YHHistoricalPricesAdjusted!AZ29-1,  "")</f>
        <v>1.2244581897290496E-2</v>
      </c>
      <c r="BA30" s="37">
        <f>IFERROR(YHHistoricalPricesAdjusted!BA30/YHHistoricalPricesAdjusted!BA29-1,  "")</f>
        <v>-5.0232795812300557E-3</v>
      </c>
      <c r="BB30" s="37">
        <f>IFERROR(YHHistoricalPricesAdjusted!BB30/YHHistoricalPricesAdjusted!BB29-1,  "")</f>
        <v>4.6747197961987341E-2</v>
      </c>
      <c r="BC30" s="37">
        <f>IFERROR(YHHistoricalPricesAdjusted!BC30/YHHistoricalPricesAdjusted!BC29-1,  "")</f>
        <v>3.5781402809465623E-2</v>
      </c>
      <c r="BD30" s="37">
        <f>IFERROR(YHHistoricalPricesAdjusted!BD30/YHHistoricalPricesAdjusted!BD29-1,  "")</f>
        <v>3.9818735680269279E-2</v>
      </c>
      <c r="BE30" s="37">
        <f>IFERROR(YHHistoricalPricesAdjusted!BE30/YHHistoricalPricesAdjusted!BE29-1,  "")</f>
        <v>1.4253705151904494E-2</v>
      </c>
      <c r="BF30" s="37">
        <f>IFERROR(YHHistoricalPricesAdjusted!BF30/YHHistoricalPricesAdjusted!BF29-1,  "")</f>
        <v>4.9740479477264232E-2</v>
      </c>
      <c r="BG30" s="37">
        <f>IFERROR(YHHistoricalPricesAdjusted!BG30/YHHistoricalPricesAdjusted!BG29-1,  "")</f>
        <v>5.5984677182197018E-3</v>
      </c>
      <c r="BH30" s="37">
        <f>IFERROR(YHHistoricalPricesAdjusted!BH30/YHHistoricalPricesAdjusted!BH29-1,  "")</f>
        <v>1.5608133729952733E-2</v>
      </c>
      <c r="BI30" s="37">
        <f>IFERROR(YHHistoricalPricesAdjusted!BI30/YHHistoricalPricesAdjusted!BI29-1,  "")</f>
        <v>2.4601814224516572E-2</v>
      </c>
      <c r="BJ30" s="37">
        <f>IFERROR(YHHistoricalPricesAdjusted!BJ30/YHHistoricalPricesAdjusted!BJ29-1,  "")</f>
        <v>-3.4456204341168917E-2</v>
      </c>
      <c r="BK30" s="37">
        <f>IFERROR(YHHistoricalPricesAdjusted!BK30/YHHistoricalPricesAdjusted!BK29-1,  "")</f>
        <v>2.9309173392219501E-2</v>
      </c>
      <c r="BL30" s="37">
        <f>IFERROR(YHHistoricalPricesAdjusted!BL30/YHHistoricalPricesAdjusted!BL29-1,  "")</f>
        <v>1.7200639112811666E-2</v>
      </c>
      <c r="BM30" s="37">
        <f>IFERROR(YHHistoricalPricesAdjusted!BM30/YHHistoricalPricesAdjusted!BM29-1,  "")</f>
        <v>3.2500948265504537E-2</v>
      </c>
      <c r="BN30" s="37">
        <f>IFERROR(YHHistoricalPricesAdjusted!BN30/YHHistoricalPricesAdjusted!BN29-1,  "")</f>
        <v>5.4225676402258394E-2</v>
      </c>
      <c r="BO30" s="37">
        <f>IFERROR(YHHistoricalPricesAdjusted!BO30/YHHistoricalPricesAdjusted!BO29-1,  "")</f>
        <v>2.6714599384964899E-3</v>
      </c>
      <c r="BP30" s="37">
        <f>IFERROR(YHHistoricalPricesAdjusted!BP30/YHHistoricalPricesAdjusted!BP29-1,  "")</f>
        <v>4.1899798743182837E-2</v>
      </c>
      <c r="BQ30" s="37">
        <f>IFERROR(YHHistoricalPricesAdjusted!BQ30/YHHistoricalPricesAdjusted!BQ29-1,  "")</f>
        <v>-1.9600698351361134E-2</v>
      </c>
      <c r="BR30" s="37">
        <f>IFERROR(YHHistoricalPricesAdjusted!BR30/YHHistoricalPricesAdjusted!BR29-1,  "")</f>
        <v>3.4306590274824744E-2</v>
      </c>
      <c r="BS30" s="37">
        <f>IFERROR(YHHistoricalPricesAdjusted!BS30/YHHistoricalPricesAdjusted!BS29-1,  "")</f>
        <v>1.581913907199417E-2</v>
      </c>
      <c r="BT30" s="37">
        <f>IFERROR(YHHistoricalPricesAdjusted!BT30/YHHistoricalPricesAdjusted!BT29-1,  "")</f>
        <v>0.19070369915934626</v>
      </c>
      <c r="BU30" s="37">
        <f>IFERROR(YHHistoricalPricesAdjusted!BU30/YHHistoricalPricesAdjusted!BU29-1,  "")</f>
        <v>7.2626813602794993E-2</v>
      </c>
      <c r="BV30" s="37">
        <f>IFERROR(YHHistoricalPricesAdjusted!BV30/YHHistoricalPricesAdjusted!BV29-1,  "")</f>
        <v>-3.6595299357422117E-2</v>
      </c>
      <c r="BW30" s="37">
        <f>IFERROR(YHHistoricalPricesAdjusted!BW30/YHHistoricalPricesAdjusted!BW29-1,  "")</f>
        <v>5.8678608268977861E-2</v>
      </c>
      <c r="BX30" s="37">
        <f>IFERROR(YHHistoricalPricesAdjusted!BX30/YHHistoricalPricesAdjusted!BX29-1,  "")</f>
        <v>-8.7602983687499192E-3</v>
      </c>
      <c r="BY30" s="37">
        <f>IFERROR(YHHistoricalPricesAdjusted!BY30/YHHistoricalPricesAdjusted!BY29-1,  "")</f>
        <v>-9.6127437517157244E-4</v>
      </c>
      <c r="BZ30" s="37">
        <f>IFERROR(YHHistoricalPricesAdjusted!BZ30/YHHistoricalPricesAdjusted!BZ29-1,  "")</f>
        <v>4.0747167591579592E-2</v>
      </c>
      <c r="CA30" s="37">
        <f>IFERROR(YHHistoricalPricesAdjusted!CA30/YHHistoricalPricesAdjusted!CA29-1,  "")</f>
        <v>2.6707347151013971E-2</v>
      </c>
      <c r="CB30" s="37">
        <f>IFERROR(YHHistoricalPricesAdjusted!CB30/YHHistoricalPricesAdjusted!CB29-1,  "")</f>
        <v>3.6812723057442875E-2</v>
      </c>
      <c r="CC30" s="37">
        <f>IFERROR(YHHistoricalPricesAdjusted!CC30/YHHistoricalPricesAdjusted!CC29-1,  "")</f>
        <v>-3.1529902012032984E-3</v>
      </c>
      <c r="CD30" s="37">
        <f>IFERROR(YHHistoricalPricesAdjusted!CD30/YHHistoricalPricesAdjusted!CD29-1,  "")</f>
        <v>5.3320428589074265E-3</v>
      </c>
      <c r="CE30" s="37">
        <f>IFERROR(YHHistoricalPricesAdjusted!CE30/YHHistoricalPricesAdjusted!CE29-1,  "")</f>
        <v>1.3041994608346652E-2</v>
      </c>
      <c r="CF30" s="37">
        <f>IFERROR(YHHistoricalPricesAdjusted!CF30/YHHistoricalPricesAdjusted!CF29-1,  "")</f>
        <v>-7.1098118417992628E-3</v>
      </c>
    </row>
    <row r="31" spans="1:84" x14ac:dyDescent="0.25">
      <c r="A31" s="17">
        <v>42185</v>
      </c>
      <c r="B31" s="37">
        <f>IFERROR(YHHistoricalPricesAdjusted!B31/YHHistoricalPricesAdjusted!B30-1,  "")</f>
        <v>-3.3205857232882163E-2</v>
      </c>
      <c r="C31" s="37">
        <f>IFERROR(YHHistoricalPricesAdjusted!C31/YHHistoricalPricesAdjusted!C30-1,  "")</f>
        <v>-2.5669202511368172E-2</v>
      </c>
      <c r="D31" s="37">
        <f>IFERROR(YHHistoricalPricesAdjusted!D31/YHHistoricalPricesAdjusted!D30-1,  "")</f>
        <v>-2.6504250679943997E-2</v>
      </c>
      <c r="E31" s="37">
        <f>IFERROR(YHHistoricalPricesAdjusted!E31/YHHistoricalPricesAdjusted!E30-1,  "")</f>
        <v>3.4157889535613162E-2</v>
      </c>
      <c r="F31" s="37">
        <f>IFERROR(YHHistoricalPricesAdjusted!F31/YHHistoricalPricesAdjusted!F30-1,  "")</f>
        <v>-3.5228210160986873E-4</v>
      </c>
      <c r="G31" s="37">
        <f>IFERROR(YHHistoricalPricesAdjusted!G31/YHHistoricalPricesAdjusted!G30-1,  "")</f>
        <v>-3.8943574293296201E-2</v>
      </c>
      <c r="H31" s="37">
        <f>IFERROR(YHHistoricalPricesAdjusted!H31/YHHistoricalPricesAdjusted!H30-1,  "")</f>
        <v>-4.2236453881609237E-2</v>
      </c>
      <c r="I31" s="37">
        <f>IFERROR(YHHistoricalPricesAdjusted!I31/YHHistoricalPricesAdjusted!I30-1,  "")</f>
        <v>2.2824662574071342E-2</v>
      </c>
      <c r="J31" s="37">
        <f>IFERROR(YHHistoricalPricesAdjusted!J31/YHHistoricalPricesAdjusted!J30-1,  "")</f>
        <v>6.2874497118988737E-2</v>
      </c>
      <c r="K31" s="37">
        <f>IFERROR(YHHistoricalPricesAdjusted!K31/YHHistoricalPricesAdjusted!K30-1,  "")</f>
        <v>-3.0024076038105862E-2</v>
      </c>
      <c r="L31" s="37">
        <f>IFERROR(YHHistoricalPricesAdjusted!L31/YHHistoricalPricesAdjusted!L30-1,  "")</f>
        <v>-4.2236453881609237E-2</v>
      </c>
      <c r="M31" s="37">
        <f>IFERROR(YHHistoricalPricesAdjusted!M31/YHHistoricalPricesAdjusted!M30-1,  "")</f>
        <v>-3.2044002392943804E-2</v>
      </c>
      <c r="N31" s="37">
        <f>IFERROR(YHHistoricalPricesAdjusted!N31/YHHistoricalPricesAdjusted!N30-1,  "")</f>
        <v>-5.3185233340374727E-2</v>
      </c>
      <c r="O31" s="37">
        <f>IFERROR(YHHistoricalPricesAdjusted!O31/YHHistoricalPricesAdjusted!O30-1,  "")</f>
        <v>6.9617251958326465E-2</v>
      </c>
      <c r="P31" s="37">
        <f>IFERROR(YHHistoricalPricesAdjusted!P31/YHHistoricalPricesAdjusted!P30-1,  "")</f>
        <v>-1.539731126253796E-2</v>
      </c>
      <c r="Q31" s="37">
        <f>IFERROR(YHHistoricalPricesAdjusted!Q31/YHHistoricalPricesAdjusted!Q30-1,  "")</f>
        <v>-5.406520808264903E-2</v>
      </c>
      <c r="R31" s="37">
        <f>IFERROR(YHHistoricalPricesAdjusted!R31/YHHistoricalPricesAdjusted!R30-1,  "")</f>
        <v>-4.3446179733206636E-2</v>
      </c>
      <c r="S31" s="37">
        <f>IFERROR(YHHistoricalPricesAdjusted!S31/YHHistoricalPricesAdjusted!S30-1,  "")</f>
        <v>-2.4936010513080809E-2</v>
      </c>
      <c r="T31" s="37">
        <f>IFERROR(YHHistoricalPricesAdjusted!T31/YHHistoricalPricesAdjusted!T30-1,  "")</f>
        <v>-8.1905287101674107E-2</v>
      </c>
      <c r="U31" s="37">
        <f>IFERROR(YHHistoricalPricesAdjusted!U31/YHHistoricalPricesAdjusted!U30-1,  "")</f>
        <v>-8.1130288865125744E-2</v>
      </c>
      <c r="V31" s="37">
        <f>IFERROR(YHHistoricalPricesAdjusted!V31/YHHistoricalPricesAdjusted!V30-1,  "")</f>
        <v>-8.8818591536275582E-2</v>
      </c>
      <c r="W31" s="37">
        <f>IFERROR(YHHistoricalPricesAdjusted!W31/YHHistoricalPricesAdjusted!W30-1,  "")</f>
        <v>2.1810303315225044E-2</v>
      </c>
      <c r="X31" s="37">
        <f>IFERROR(YHHistoricalPricesAdjusted!X31/YHHistoricalPricesAdjusted!X30-1,  "")</f>
        <v>-2.6722717844797406E-2</v>
      </c>
      <c r="Y31" s="37">
        <f>IFERROR(YHHistoricalPricesAdjusted!Y31/YHHistoricalPricesAdjusted!Y30-1,  "")</f>
        <v>-1.966550990746474E-2</v>
      </c>
      <c r="Z31" s="37">
        <f>IFERROR(YHHistoricalPricesAdjusted!Z31/YHHistoricalPricesAdjusted!Z30-1,  "")</f>
        <v>-2.7124196964965486E-2</v>
      </c>
      <c r="AA31" s="37">
        <f>IFERROR(YHHistoricalPricesAdjusted!AA31/YHHistoricalPricesAdjusted!AA30-1,  "")</f>
        <v>-6.5035236671339147E-2</v>
      </c>
      <c r="AB31" s="37">
        <f>IFERROR(YHHistoricalPricesAdjusted!AB31/YHHistoricalPricesAdjusted!AB30-1,  "")</f>
        <v>1.4890645288857751E-2</v>
      </c>
      <c r="AC31" s="37">
        <f>IFERROR(YHHistoricalPricesAdjusted!AC31/YHHistoricalPricesAdjusted!AC30-1,  "")</f>
        <v>0.10863981122675526</v>
      </c>
      <c r="AD31" s="37">
        <f>IFERROR(YHHistoricalPricesAdjusted!AD31/YHHistoricalPricesAdjusted!AD30-1,  "")</f>
        <v>9.745309335324337E-2</v>
      </c>
      <c r="AE31" s="37">
        <f>IFERROR(YHHistoricalPricesAdjusted!AE31/YHHistoricalPricesAdjusted!AE30-1,  "")</f>
        <v>-5.3178771754959886E-2</v>
      </c>
      <c r="AF31" s="37">
        <f>IFERROR(YHHistoricalPricesAdjusted!AF31/YHHistoricalPricesAdjusted!AF30-1,  "")</f>
        <v>-3.3691964365002658E-2</v>
      </c>
      <c r="AG31" s="37">
        <f>IFERROR(YHHistoricalPricesAdjusted!AG31/YHHistoricalPricesAdjusted!AG30-1,  "")</f>
        <v>-1.0918832907640397E-2</v>
      </c>
      <c r="AH31" s="37">
        <f>IFERROR(YHHistoricalPricesAdjusted!AH31/YHHistoricalPricesAdjusted!AH30-1,  "")</f>
        <v>-2.6026891005188624E-3</v>
      </c>
      <c r="AI31" s="37">
        <f>IFERROR(YHHistoricalPricesAdjusted!AI31/YHHistoricalPricesAdjusted!AI30-1,  "")</f>
        <v>-4.3202993420025981E-2</v>
      </c>
      <c r="AJ31" s="37">
        <f>IFERROR(YHHistoricalPricesAdjusted!AJ31/YHHistoricalPricesAdjusted!AJ30-1,  "")</f>
        <v>2.1111856270056961E-2</v>
      </c>
      <c r="AK31" s="37">
        <f>IFERROR(YHHistoricalPricesAdjusted!AK31/YHHistoricalPricesAdjusted!AK30-1,  "")</f>
        <v>-3.0542145962640932E-2</v>
      </c>
      <c r="AL31" s="37">
        <f>IFERROR(YHHistoricalPricesAdjusted!AL31/YHHistoricalPricesAdjusted!AL30-1,  "")</f>
        <v>-3.2982825287971917E-2</v>
      </c>
      <c r="AM31" s="37">
        <f>IFERROR(YHHistoricalPricesAdjusted!AM31/YHHistoricalPricesAdjusted!AM30-1,  "")</f>
        <v>-1.4527835798988975E-2</v>
      </c>
      <c r="AN31" s="37">
        <f>IFERROR(YHHistoricalPricesAdjusted!AN31/YHHistoricalPricesAdjusted!AN30-1,  "")</f>
        <v>-1.3400595264674853E-2</v>
      </c>
      <c r="AO31" s="37">
        <f>IFERROR(YHHistoricalPricesAdjusted!AO31/YHHistoricalPricesAdjusted!AO30-1,  "")</f>
        <v>-4.9821858901774485E-2</v>
      </c>
      <c r="AP31" s="37">
        <f>IFERROR(YHHistoricalPricesAdjusted!AP31/YHHistoricalPricesAdjusted!AP30-1,  "")</f>
        <v>4.362226994250018E-2</v>
      </c>
      <c r="AQ31" s="37">
        <f>IFERROR(YHHistoricalPricesAdjusted!AQ31/YHHistoricalPricesAdjusted!AQ30-1,  "")</f>
        <v>-1.7107534536407121E-2</v>
      </c>
      <c r="AR31" s="37">
        <f>IFERROR(YHHistoricalPricesAdjusted!AR31/YHHistoricalPricesAdjusted!AR30-1,  "")</f>
        <v>-2.1599588217243948E-2</v>
      </c>
      <c r="AS31" s="37">
        <f>IFERROR(YHHistoricalPricesAdjusted!AS31/YHHistoricalPricesAdjusted!AS30-1,  "")</f>
        <v>-3.6784985536136516E-2</v>
      </c>
      <c r="AT31" s="37">
        <f>IFERROR(YHHistoricalPricesAdjusted!AT31/YHHistoricalPricesAdjusted!AT30-1,  "")</f>
        <v>-6.3679045359749553E-2</v>
      </c>
      <c r="AU31" s="37">
        <f>IFERROR(YHHistoricalPricesAdjusted!AU31/YHHistoricalPricesAdjusted!AU30-1,  "")</f>
        <v>-7.4264745728284121E-2</v>
      </c>
      <c r="AV31" s="37">
        <f>IFERROR(YHHistoricalPricesAdjusted!AV31/YHHistoricalPricesAdjusted!AV30-1,  "")</f>
        <v>-2.3808959900752158E-2</v>
      </c>
      <c r="AW31" s="37">
        <f>IFERROR(YHHistoricalPricesAdjusted!AW31/YHHistoricalPricesAdjusted!AW30-1,  "")</f>
        <v>-3.4757956283942848E-2</v>
      </c>
      <c r="AX31" s="37">
        <f>IFERROR(YHHistoricalPricesAdjusted!AX31/YHHistoricalPricesAdjusted!AX30-1,  "")</f>
        <v>-5.7657848456661998E-2</v>
      </c>
      <c r="AY31" s="37">
        <f>IFERROR(YHHistoricalPricesAdjusted!AY31/YHHistoricalPricesAdjusted!AY30-1,  "")</f>
        <v>-2.8825293507435457E-2</v>
      </c>
      <c r="AZ31" s="37">
        <f>IFERROR(YHHistoricalPricesAdjusted!AZ31/YHHistoricalPricesAdjusted!AZ30-1,  "")</f>
        <v>-7.9371067903829084E-2</v>
      </c>
      <c r="BA31" s="37">
        <f>IFERROR(YHHistoricalPricesAdjusted!BA31/YHHistoricalPricesAdjusted!BA30-1,  "")</f>
        <v>-5.7932479463612352E-2</v>
      </c>
      <c r="BB31" s="37">
        <f>IFERROR(YHHistoricalPricesAdjusted!BB31/YHHistoricalPricesAdjusted!BB30-1,  "")</f>
        <v>3.010029065831854E-2</v>
      </c>
      <c r="BC31" s="37">
        <f>IFERROR(YHHistoricalPricesAdjusted!BC31/YHHistoricalPricesAdjusted!BC30-1,  "")</f>
        <v>3.1515270116094563E-2</v>
      </c>
      <c r="BD31" s="37">
        <f>IFERROR(YHHistoricalPricesAdjusted!BD31/YHHistoricalPricesAdjusted!BD30-1,  "")</f>
        <v>-2.0566426753470868E-2</v>
      </c>
      <c r="BE31" s="37">
        <f>IFERROR(YHHistoricalPricesAdjusted!BE31/YHHistoricalPricesAdjusted!BE30-1,  "")</f>
        <v>2.2417524980256509E-2</v>
      </c>
      <c r="BF31" s="37">
        <f>IFERROR(YHHistoricalPricesAdjusted!BF31/YHHistoricalPricesAdjusted!BF30-1,  "")</f>
        <v>1.5767914420312001E-2</v>
      </c>
      <c r="BG31" s="37">
        <f>IFERROR(YHHistoricalPricesAdjusted!BG31/YHHistoricalPricesAdjusted!BG30-1,  "")</f>
        <v>6.7271990449171426E-3</v>
      </c>
      <c r="BH31" s="37">
        <f>IFERROR(YHHistoricalPricesAdjusted!BH31/YHHistoricalPricesAdjusted!BH30-1,  "")</f>
        <v>1.1813067679025568E-2</v>
      </c>
      <c r="BI31" s="37">
        <f>IFERROR(YHHistoricalPricesAdjusted!BI31/YHHistoricalPricesAdjusted!BI30-1,  "")</f>
        <v>1.3223500169405655E-2</v>
      </c>
      <c r="BJ31" s="37">
        <f>IFERROR(YHHistoricalPricesAdjusted!BJ31/YHHistoricalPricesAdjusted!BJ30-1,  "")</f>
        <v>-1.2675768781421182E-2</v>
      </c>
      <c r="BK31" s="37">
        <f>IFERROR(YHHistoricalPricesAdjusted!BK31/YHHistoricalPricesAdjusted!BK30-1,  "")</f>
        <v>-2.5087815192816332E-2</v>
      </c>
      <c r="BL31" s="37">
        <f>IFERROR(YHHistoricalPricesAdjusted!BL31/YHHistoricalPricesAdjusted!BL30-1,  "")</f>
        <v>-2.3914376572565121E-2</v>
      </c>
      <c r="BM31" s="37">
        <f>IFERROR(YHHistoricalPricesAdjusted!BM31/YHHistoricalPricesAdjusted!BM30-1,  "")</f>
        <v>-1.6609465070733909E-2</v>
      </c>
      <c r="BN31" s="37">
        <f>IFERROR(YHHistoricalPricesAdjusted!BN31/YHHistoricalPricesAdjusted!BN30-1,  "")</f>
        <v>-8.4569406463660401E-3</v>
      </c>
      <c r="BO31" s="37">
        <f>IFERROR(YHHistoricalPricesAdjusted!BO31/YHHistoricalPricesAdjusted!BO30-1,  "")</f>
        <v>-2.1741492731558565E-2</v>
      </c>
      <c r="BP31" s="37">
        <f>IFERROR(YHHistoricalPricesAdjusted!BP31/YHHistoricalPricesAdjusted!BP30-1,  "")</f>
        <v>-1.4289063925073342E-2</v>
      </c>
      <c r="BQ31" s="37">
        <f>IFERROR(YHHistoricalPricesAdjusted!BQ31/YHHistoricalPricesAdjusted!BQ30-1,  "")</f>
        <v>-2.6865165579992745E-2</v>
      </c>
      <c r="BR31" s="37">
        <f>IFERROR(YHHistoricalPricesAdjusted!BR31/YHHistoricalPricesAdjusted!BR30-1,  "")</f>
        <v>1.7085165687541037E-2</v>
      </c>
      <c r="BS31" s="37">
        <f>IFERROR(YHHistoricalPricesAdjusted!BS31/YHHistoricalPricesAdjusted!BS30-1,  "")</f>
        <v>-3.4760404812850254E-2</v>
      </c>
      <c r="BT31" s="37">
        <f>IFERROR(YHHistoricalPricesAdjusted!BT31/YHHistoricalPricesAdjusted!BT30-1,  "")</f>
        <v>1.2860306574792979E-2</v>
      </c>
      <c r="BU31" s="37">
        <f>IFERROR(YHHistoricalPricesAdjusted!BU31/YHHistoricalPricesAdjusted!BU30-1,  "")</f>
        <v>3.2474757106019103E-2</v>
      </c>
      <c r="BV31" s="37">
        <f>IFERROR(YHHistoricalPricesAdjusted!BV31/YHHistoricalPricesAdjusted!BV30-1,  "")</f>
        <v>-5.1708880550236258E-2</v>
      </c>
      <c r="BW31" s="37">
        <f>IFERROR(YHHistoricalPricesAdjusted!BW31/YHHistoricalPricesAdjusted!BW30-1,  "")</f>
        <v>-0.11085371790411236</v>
      </c>
      <c r="BX31" s="37">
        <f>IFERROR(YHHistoricalPricesAdjusted!BX31/YHHistoricalPricesAdjusted!BX30-1,  "")</f>
        <v>-5.7241163408936258E-2</v>
      </c>
      <c r="BY31" s="37">
        <f>IFERROR(YHHistoricalPricesAdjusted!BY31/YHHistoricalPricesAdjusted!BY30-1,  "")</f>
        <v>-4.2886639175257701E-2</v>
      </c>
      <c r="BZ31" s="37">
        <f>IFERROR(YHHistoricalPricesAdjusted!BZ31/YHHistoricalPricesAdjusted!BZ30-1,  "")</f>
        <v>-3.2453389844179115E-2</v>
      </c>
      <c r="CA31" s="37">
        <f>IFERROR(YHHistoricalPricesAdjusted!CA31/YHHistoricalPricesAdjusted!CA30-1,  "")</f>
        <v>-1.7341750382104948E-2</v>
      </c>
      <c r="CB31" s="37">
        <f>IFERROR(YHHistoricalPricesAdjusted!CB31/YHHistoricalPricesAdjusted!CB30-1,  "")</f>
        <v>2.5168516853932621E-2</v>
      </c>
      <c r="CC31" s="37">
        <f>IFERROR(YHHistoricalPricesAdjusted!CC31/YHHistoricalPricesAdjusted!CC30-1,  "")</f>
        <v>-8.711578222843408E-2</v>
      </c>
      <c r="CD31" s="37">
        <f>IFERROR(YHHistoricalPricesAdjusted!CD31/YHHistoricalPricesAdjusted!CD30-1,  "")</f>
        <v>8.309123416867692E-2</v>
      </c>
      <c r="CE31" s="37">
        <f>IFERROR(YHHistoricalPricesAdjusted!CE31/YHHistoricalPricesAdjusted!CE30-1,  "")</f>
        <v>-0.10149678197768142</v>
      </c>
      <c r="CF31" s="37">
        <f>IFERROR(YHHistoricalPricesAdjusted!CF31/YHHistoricalPricesAdjusted!CF30-1,  "")</f>
        <v>-0.32545649838882917</v>
      </c>
    </row>
    <row r="32" spans="1:84" x14ac:dyDescent="0.25">
      <c r="A32" s="17">
        <v>42216</v>
      </c>
      <c r="B32" s="37">
        <f>IFERROR(YHHistoricalPricesAdjusted!B32/YHHistoricalPricesAdjusted!B31-1,  "")</f>
        <v>-3.2926844704566416E-2</v>
      </c>
      <c r="C32" s="37">
        <f>IFERROR(YHHistoricalPricesAdjusted!C32/YHHistoricalPricesAdjusted!C31-1,  "")</f>
        <v>-9.3336782392016149E-3</v>
      </c>
      <c r="D32" s="37">
        <f>IFERROR(YHHistoricalPricesAdjusted!D32/YHHistoricalPricesAdjusted!D31-1,  "")</f>
        <v>-4.1191406039056133E-3</v>
      </c>
      <c r="E32" s="37">
        <f>IFERROR(YHHistoricalPricesAdjusted!E32/YHHistoricalPricesAdjusted!E31-1,  "")</f>
        <v>5.1340401054839502E-2</v>
      </c>
      <c r="F32" s="37">
        <f>IFERROR(YHHistoricalPricesAdjusted!F32/YHHistoricalPricesAdjusted!F31-1,  "")</f>
        <v>5.0384079339928833E-2</v>
      </c>
      <c r="G32" s="37">
        <f>IFERROR(YHHistoricalPricesAdjusted!G32/YHHistoricalPricesAdjusted!G31-1,  "")</f>
        <v>1.480346160731183E-2</v>
      </c>
      <c r="H32" s="37">
        <f>IFERROR(YHHistoricalPricesAdjusted!H32/YHHistoricalPricesAdjusted!H31-1,  "")</f>
        <v>5.579669505808349E-2</v>
      </c>
      <c r="I32" s="37">
        <f>IFERROR(YHHistoricalPricesAdjusted!I32/YHHistoricalPricesAdjusted!I31-1,  "")</f>
        <v>5.5997916898834488E-2</v>
      </c>
      <c r="J32" s="37">
        <f>IFERROR(YHHistoricalPricesAdjusted!J32/YHHistoricalPricesAdjusted!J31-1,  "")</f>
        <v>3.4196608005931939E-3</v>
      </c>
      <c r="K32" s="37">
        <f>IFERROR(YHHistoricalPricesAdjusted!K32/YHHistoricalPricesAdjusted!K31-1,  "")</f>
        <v>-2.1680341848483442E-3</v>
      </c>
      <c r="L32" s="37">
        <f>IFERROR(YHHistoricalPricesAdjusted!L32/YHHistoricalPricesAdjusted!L31-1,  "")</f>
        <v>5.579669505808349E-2</v>
      </c>
      <c r="M32" s="37">
        <f>IFERROR(YHHistoricalPricesAdjusted!M32/YHHistoricalPricesAdjusted!M31-1,  "")</f>
        <v>3.9853042833462693E-2</v>
      </c>
      <c r="N32" s="37">
        <f>IFERROR(YHHistoricalPricesAdjusted!N32/YHHistoricalPricesAdjusted!N31-1,  "")</f>
        <v>4.8148044140830182E-2</v>
      </c>
      <c r="O32" s="37">
        <f>IFERROR(YHHistoricalPricesAdjusted!O32/YHHistoricalPricesAdjusted!O31-1,  "")</f>
        <v>-7.8655629663177962E-3</v>
      </c>
      <c r="P32" s="37">
        <f>IFERROR(YHHistoricalPricesAdjusted!P32/YHHistoricalPricesAdjusted!P31-1,  "")</f>
        <v>-4.795646512605789E-2</v>
      </c>
      <c r="Q32" s="37">
        <f>IFERROR(YHHistoricalPricesAdjusted!Q32/YHHistoricalPricesAdjusted!Q31-1,  "")</f>
        <v>-8.2823490826051227E-2</v>
      </c>
      <c r="R32" s="37">
        <f>IFERROR(YHHistoricalPricesAdjusted!R32/YHHistoricalPricesAdjusted!R31-1,  "")</f>
        <v>9.9631172376140054E-3</v>
      </c>
      <c r="S32" s="37">
        <f>IFERROR(YHHistoricalPricesAdjusted!S32/YHHistoricalPricesAdjusted!S31-1,  "")</f>
        <v>-8.9225872564942077E-2</v>
      </c>
      <c r="T32" s="37">
        <f>IFERROR(YHHistoricalPricesAdjusted!T32/YHHistoricalPricesAdjusted!T31-1,  "")</f>
        <v>6.2053850491826656E-2</v>
      </c>
      <c r="U32" s="37">
        <f>IFERROR(YHHistoricalPricesAdjusted!U32/YHHistoricalPricesAdjusted!U31-1,  "")</f>
        <v>-1.471043233527991E-2</v>
      </c>
      <c r="V32" s="37">
        <f>IFERROR(YHHistoricalPricesAdjusted!V32/YHHistoricalPricesAdjusted!V31-1,  "")</f>
        <v>-3.9537350975573538E-2</v>
      </c>
      <c r="W32" s="37">
        <f>IFERROR(YHHistoricalPricesAdjusted!W32/YHHistoricalPricesAdjusted!W31-1,  "")</f>
        <v>-7.7867358848913715E-2</v>
      </c>
      <c r="X32" s="37">
        <f>IFERROR(YHHistoricalPricesAdjusted!X32/YHHistoricalPricesAdjusted!X31-1,  "")</f>
        <v>1.9929021968487115E-2</v>
      </c>
      <c r="Y32" s="37">
        <f>IFERROR(YHHistoricalPricesAdjusted!Y32/YHHistoricalPricesAdjusted!Y31-1,  "")</f>
        <v>2.8216730911294174E-2</v>
      </c>
      <c r="Z32" s="37">
        <f>IFERROR(YHHistoricalPricesAdjusted!Z32/YHHistoricalPricesAdjusted!Z31-1,  "")</f>
        <v>7.5454896689707951E-2</v>
      </c>
      <c r="AA32" s="37">
        <f>IFERROR(YHHistoricalPricesAdjusted!AA32/YHHistoricalPricesAdjusted!AA31-1,  "")</f>
        <v>4.3535342370030428E-2</v>
      </c>
      <c r="AB32" s="37">
        <f>IFERROR(YHHistoricalPricesAdjusted!AB32/YHHistoricalPricesAdjusted!AB31-1,  "")</f>
        <v>-7.0337280409582537E-4</v>
      </c>
      <c r="AC32" s="37">
        <f>IFERROR(YHHistoricalPricesAdjusted!AC32/YHHistoricalPricesAdjusted!AC31-1,  "")</f>
        <v>2.5242547741358701E-2</v>
      </c>
      <c r="AD32" s="37">
        <f>IFERROR(YHHistoricalPricesAdjusted!AD32/YHHistoricalPricesAdjusted!AD31-1,  "")</f>
        <v>2.2026923706911949E-2</v>
      </c>
      <c r="AE32" s="37">
        <f>IFERROR(YHHistoricalPricesAdjusted!AE32/YHHistoricalPricesAdjusted!AE31-1,  "")</f>
        <v>-2.638687024524633E-2</v>
      </c>
      <c r="AF32" s="37">
        <f>IFERROR(YHHistoricalPricesAdjusted!AF32/YHHistoricalPricesAdjusted!AF31-1,  "")</f>
        <v>-3.0203882939607629E-2</v>
      </c>
      <c r="AG32" s="37">
        <f>IFERROR(YHHistoricalPricesAdjusted!AG32/YHHistoricalPricesAdjusted!AG31-1,  "")</f>
        <v>9.1247601240906695E-2</v>
      </c>
      <c r="AH32" s="37">
        <f>IFERROR(YHHistoricalPricesAdjusted!AH32/YHHistoricalPricesAdjusted!AH31-1,  "")</f>
        <v>5.8684370170114963E-2</v>
      </c>
      <c r="AI32" s="37">
        <f>IFERROR(YHHistoricalPricesAdjusted!AI32/YHHistoricalPricesAdjusted!AI31-1,  "")</f>
        <v>-2.3928036954331433E-2</v>
      </c>
      <c r="AJ32" s="37">
        <f>IFERROR(YHHistoricalPricesAdjusted!AJ32/YHHistoricalPricesAdjusted!AJ31-1,  "")</f>
        <v>0.11056241778918929</v>
      </c>
      <c r="AK32" s="37">
        <f>IFERROR(YHHistoricalPricesAdjusted!AK32/YHHistoricalPricesAdjusted!AK31-1,  "")</f>
        <v>7.446841534300086E-3</v>
      </c>
      <c r="AL32" s="37">
        <f>IFERROR(YHHistoricalPricesAdjusted!AL32/YHHistoricalPricesAdjusted!AL31-1,  "")</f>
        <v>3.3860694836575611E-2</v>
      </c>
      <c r="AM32" s="37">
        <f>IFERROR(YHHistoricalPricesAdjusted!AM32/YHHistoricalPricesAdjusted!AM31-1,  "")</f>
        <v>-5.159706038502776E-2</v>
      </c>
      <c r="AN32" s="37">
        <f>IFERROR(YHHistoricalPricesAdjusted!AN32/YHHistoricalPricesAdjusted!AN31-1,  "")</f>
        <v>-1.5170203995677367E-2</v>
      </c>
      <c r="AO32" s="37">
        <f>IFERROR(YHHistoricalPricesAdjusted!AO32/YHHistoricalPricesAdjusted!AO31-1,  "")</f>
        <v>2.3277892706030645E-2</v>
      </c>
      <c r="AP32" s="37">
        <f>IFERROR(YHHistoricalPricesAdjusted!AP32/YHHistoricalPricesAdjusted!AP31-1,  "")</f>
        <v>6.6567615514585565E-3</v>
      </c>
      <c r="AQ32" s="37">
        <f>IFERROR(YHHistoricalPricesAdjusted!AQ32/YHHistoricalPricesAdjusted!AQ31-1,  "")</f>
        <v>0.22684671195964734</v>
      </c>
      <c r="AR32" s="37">
        <f>IFERROR(YHHistoricalPricesAdjusted!AR32/YHHistoricalPricesAdjusted!AR31-1,  "")</f>
        <v>3.1024471564299327E-2</v>
      </c>
      <c r="AS32" s="37">
        <f>IFERROR(YHHistoricalPricesAdjusted!AS32/YHHistoricalPricesAdjusted!AS31-1,  "")</f>
        <v>-5.7768255620678555E-2</v>
      </c>
      <c r="AT32" s="37">
        <f>IFERROR(YHHistoricalPricesAdjusted!AT32/YHHistoricalPricesAdjusted!AT31-1,  "")</f>
        <v>3.879120706914696E-2</v>
      </c>
      <c r="AU32" s="37">
        <f>IFERROR(YHHistoricalPricesAdjusted!AU32/YHHistoricalPricesAdjusted!AU31-1,  "")</f>
        <v>6.7448072366442569E-2</v>
      </c>
      <c r="AV32" s="37">
        <f>IFERROR(YHHistoricalPricesAdjusted!AV32/YHHistoricalPricesAdjusted!AV31-1,  "")</f>
        <v>-3.5127801228957978E-3</v>
      </c>
      <c r="AW32" s="37">
        <f>IFERROR(YHHistoricalPricesAdjusted!AW32/YHHistoricalPricesAdjusted!AW31-1,  "")</f>
        <v>7.3141127883841639E-2</v>
      </c>
      <c r="AX32" s="37">
        <f>IFERROR(YHHistoricalPricesAdjusted!AX32/YHHistoricalPricesAdjusted!AX31-1,  "")</f>
        <v>5.0977118520824316E-2</v>
      </c>
      <c r="AY32" s="37">
        <f>IFERROR(YHHistoricalPricesAdjusted!AY32/YHHistoricalPricesAdjusted!AY31-1,  "")</f>
        <v>6.7541638409353011E-2</v>
      </c>
      <c r="AZ32" s="37">
        <f>IFERROR(YHHistoricalPricesAdjusted!AZ32/YHHistoricalPricesAdjusted!AZ31-1,  "")</f>
        <v>3.5884226637990402E-2</v>
      </c>
      <c r="BA32" s="37">
        <f>IFERROR(YHHistoricalPricesAdjusted!BA32/YHHistoricalPricesAdjusted!BA31-1,  "")</f>
        <v>8.7979601818955366E-2</v>
      </c>
      <c r="BB32" s="37">
        <f>IFERROR(YHHistoricalPricesAdjusted!BB32/YHHistoricalPricesAdjusted!BB31-1,  "")</f>
        <v>1.1363842652097444E-2</v>
      </c>
      <c r="BC32" s="37">
        <f>IFERROR(YHHistoricalPricesAdjusted!BC32/YHHistoricalPricesAdjusted!BC31-1,  "")</f>
        <v>5.3679548589353976E-2</v>
      </c>
      <c r="BD32" s="37">
        <f>IFERROR(YHHistoricalPricesAdjusted!BD32/YHHistoricalPricesAdjusted!BD31-1,  "")</f>
        <v>0.12196565167376239</v>
      </c>
      <c r="BE32" s="37">
        <f>IFERROR(YHHistoricalPricesAdjusted!BE32/YHHistoricalPricesAdjusted!BE31-1,  "")</f>
        <v>5.8290980149082516E-2</v>
      </c>
      <c r="BF32" s="37">
        <f>IFERROR(YHHistoricalPricesAdjusted!BF32/YHHistoricalPricesAdjusted!BF31-1,  "")</f>
        <v>-1.7817001451665315E-2</v>
      </c>
      <c r="BG32" s="37">
        <f>IFERROR(YHHistoricalPricesAdjusted!BG32/YHHistoricalPricesAdjusted!BG31-1,  "")</f>
        <v>4.7700439693820762E-2</v>
      </c>
      <c r="BH32" s="37">
        <f>IFERROR(YHHistoricalPricesAdjusted!BH32/YHHistoricalPricesAdjusted!BH31-1,  "")</f>
        <v>2.8982957999916126E-2</v>
      </c>
      <c r="BI32" s="37">
        <f>IFERROR(YHHistoricalPricesAdjusted!BI32/YHHistoricalPricesAdjusted!BI31-1,  "")</f>
        <v>4.1934115341586864E-2</v>
      </c>
      <c r="BJ32" s="37">
        <f>IFERROR(YHHistoricalPricesAdjusted!BJ32/YHHistoricalPricesAdjusted!BJ31-1,  "")</f>
        <v>-2.8530921198881232E-2</v>
      </c>
      <c r="BK32" s="37">
        <f>IFERROR(YHHistoricalPricesAdjusted!BK32/YHHistoricalPricesAdjusted!BK31-1,  "")</f>
        <v>-1.7697127516856148E-2</v>
      </c>
      <c r="BL32" s="37">
        <f>IFERROR(YHHistoricalPricesAdjusted!BL32/YHHistoricalPricesAdjusted!BL31-1,  "")</f>
        <v>-1.9183193914077634E-2</v>
      </c>
      <c r="BM32" s="37">
        <f>IFERROR(YHHistoricalPricesAdjusted!BM32/YHHistoricalPricesAdjusted!BM31-1,  "")</f>
        <v>3.0204969219677302E-2</v>
      </c>
      <c r="BN32" s="37">
        <f>IFERROR(YHHistoricalPricesAdjusted!BN32/YHHistoricalPricesAdjusted!BN31-1,  "")</f>
        <v>7.1977711317942505E-2</v>
      </c>
      <c r="BO32" s="37">
        <f>IFERROR(YHHistoricalPricesAdjusted!BO32/YHHistoricalPricesAdjusted!BO31-1,  "")</f>
        <v>-2.0160138804897088E-2</v>
      </c>
      <c r="BP32" s="37">
        <f>IFERROR(YHHistoricalPricesAdjusted!BP32/YHHistoricalPricesAdjusted!BP31-1,  "")</f>
        <v>-3.0094034874361575E-2</v>
      </c>
      <c r="BQ32" s="37">
        <f>IFERROR(YHHistoricalPricesAdjusted!BQ32/YHHistoricalPricesAdjusted!BQ31-1,  "")</f>
        <v>-1.2653392770282212E-2</v>
      </c>
      <c r="BR32" s="37">
        <f>IFERROR(YHHistoricalPricesAdjusted!BR32/YHHistoricalPricesAdjusted!BR31-1,  "")</f>
        <v>-3.2450672994892016E-2</v>
      </c>
      <c r="BS32" s="37">
        <f>IFERROR(YHHistoricalPricesAdjusted!BS32/YHHistoricalPricesAdjusted!BS31-1,  "")</f>
        <v>-4.8529934053643253E-2</v>
      </c>
      <c r="BT32" s="37">
        <f>IFERROR(YHHistoricalPricesAdjusted!BT32/YHHistoricalPricesAdjusted!BT31-1,  "")</f>
        <v>-3.0796991513813876E-2</v>
      </c>
      <c r="BU32" s="37">
        <f>IFERROR(YHHistoricalPricesAdjusted!BU32/YHHistoricalPricesAdjusted!BU31-1,  "")</f>
        <v>9.3290508064942212E-2</v>
      </c>
      <c r="BV32" s="37">
        <f>IFERROR(YHHistoricalPricesAdjusted!BV32/YHHistoricalPricesAdjusted!BV31-1,  "")</f>
        <v>5.7757575456626187E-2</v>
      </c>
      <c r="BW32" s="37">
        <f>IFERROR(YHHistoricalPricesAdjusted!BW32/YHHistoricalPricesAdjusted!BW31-1,  "")</f>
        <v>-4.8323605489618671E-2</v>
      </c>
      <c r="BX32" s="37">
        <f>IFERROR(YHHistoricalPricesAdjusted!BX32/YHHistoricalPricesAdjusted!BX31-1,  "")</f>
        <v>3.8620303251484245E-3</v>
      </c>
      <c r="BY32" s="37">
        <f>IFERROR(YHHistoricalPricesAdjusted!BY32/YHHistoricalPricesAdjusted!BY31-1,  "")</f>
        <v>5.2707254891882327E-2</v>
      </c>
      <c r="BZ32" s="37">
        <f>IFERROR(YHHistoricalPricesAdjusted!BZ32/YHHistoricalPricesAdjusted!BZ31-1,  "")</f>
        <v>4.9617999420232373E-2</v>
      </c>
      <c r="CA32" s="37">
        <f>IFERROR(YHHistoricalPricesAdjusted!CA32/YHHistoricalPricesAdjusted!CA31-1,  "")</f>
        <v>4.1485605162649541E-2</v>
      </c>
      <c r="CB32" s="37">
        <f>IFERROR(YHHistoricalPricesAdjusted!CB32/YHHistoricalPricesAdjusted!CB31-1,  "")</f>
        <v>3.1893950721042286E-2</v>
      </c>
      <c r="CC32" s="37">
        <f>IFERROR(YHHistoricalPricesAdjusted!CC32/YHHistoricalPricesAdjusted!CC31-1,  "")</f>
        <v>-7.956315373938927E-3</v>
      </c>
      <c r="CD32" s="37">
        <f>IFERROR(YHHistoricalPricesAdjusted!CD32/YHHistoricalPricesAdjusted!CD31-1,  "")</f>
        <v>9.6070948912356791E-2</v>
      </c>
      <c r="CE32" s="37">
        <f>IFERROR(YHHistoricalPricesAdjusted!CE32/YHHistoricalPricesAdjusted!CE31-1,  "")</f>
        <v>2.9109448473615407E-2</v>
      </c>
      <c r="CF32" s="37">
        <f>IFERROR(YHHistoricalPricesAdjusted!CF32/YHHistoricalPricesAdjusted!CF31-1,  "")</f>
        <v>-1.7515923566878921E-2</v>
      </c>
    </row>
    <row r="33" spans="1:84" x14ac:dyDescent="0.25">
      <c r="A33" s="17">
        <v>42247</v>
      </c>
      <c r="B33" s="37">
        <f>IFERROR(YHHistoricalPricesAdjusted!B33/YHHistoricalPricesAdjusted!B32-1,  "")</f>
        <v>-6.90848631914045E-2</v>
      </c>
      <c r="C33" s="37">
        <f>IFERROR(YHHistoricalPricesAdjusted!C33/YHHistoricalPricesAdjusted!C32-1,  "")</f>
        <v>-4.1762502911211974E-2</v>
      </c>
      <c r="D33" s="37">
        <f>IFERROR(YHHistoricalPricesAdjusted!D33/YHHistoricalPricesAdjusted!D32-1,  "")</f>
        <v>-8.7042418727726112E-2</v>
      </c>
      <c r="E33" s="37">
        <f>IFERROR(YHHistoricalPricesAdjusted!E33/YHHistoricalPricesAdjusted!E32-1,  "")</f>
        <v>-0.14606218678002014</v>
      </c>
      <c r="F33" s="37">
        <f>IFERROR(YHHistoricalPricesAdjusted!F33/YHHistoricalPricesAdjusted!F32-1,  "")</f>
        <v>-2.5335600321019558E-2</v>
      </c>
      <c r="G33" s="37">
        <f>IFERROR(YHHistoricalPricesAdjusted!G33/YHHistoricalPricesAdjusted!G32-1,  "")</f>
        <v>-0.10072256215127162</v>
      </c>
      <c r="H33" s="37">
        <f>IFERROR(YHHistoricalPricesAdjusted!H33/YHHistoricalPricesAdjusted!H32-1,  "")</f>
        <v>-4.2843166835766944E-2</v>
      </c>
      <c r="I33" s="37">
        <f>IFERROR(YHHistoricalPricesAdjusted!I33/YHHistoricalPricesAdjusted!I32-1,  "")</f>
        <v>-2.2917779114396186E-2</v>
      </c>
      <c r="J33" s="37">
        <f>IFERROR(YHHistoricalPricesAdjusted!J33/YHHistoricalPricesAdjusted!J32-1,  "")</f>
        <v>-1.0508506666866757E-2</v>
      </c>
      <c r="K33" s="37">
        <f>IFERROR(YHHistoricalPricesAdjusted!K33/YHHistoricalPricesAdjusted!K32-1,  "")</f>
        <v>-0.11299281561275976</v>
      </c>
      <c r="L33" s="37">
        <f>IFERROR(YHHistoricalPricesAdjusted!L33/YHHistoricalPricesAdjusted!L32-1,  "")</f>
        <v>-4.2843166835766944E-2</v>
      </c>
      <c r="M33" s="37">
        <f>IFERROR(YHHistoricalPricesAdjusted!M33/YHHistoricalPricesAdjusted!M32-1,  "")</f>
        <v>-2.8541696132566186E-2</v>
      </c>
      <c r="N33" s="37">
        <f>IFERROR(YHHistoricalPricesAdjusted!N33/YHHistoricalPricesAdjusted!N32-1,  "")</f>
        <v>-6.7670126833940025E-2</v>
      </c>
      <c r="O33" s="37">
        <f>IFERROR(YHHistoricalPricesAdjusted!O33/YHHistoricalPricesAdjusted!O32-1,  "")</f>
        <v>-6.4211896995195805E-2</v>
      </c>
      <c r="P33" s="37">
        <f>IFERROR(YHHistoricalPricesAdjusted!P33/YHHistoricalPricesAdjusted!P32-1,  "")</f>
        <v>-5.012031730380484E-2</v>
      </c>
      <c r="Q33" s="37">
        <f>IFERROR(YHHistoricalPricesAdjusted!Q33/YHHistoricalPricesAdjusted!Q32-1,  "")</f>
        <v>-8.4651936470007461E-2</v>
      </c>
      <c r="R33" s="37">
        <f>IFERROR(YHHistoricalPricesAdjusted!R33/YHHistoricalPricesAdjusted!R32-1,  "")</f>
        <v>-6.6208405346099397E-2</v>
      </c>
      <c r="S33" s="37">
        <f>IFERROR(YHHistoricalPricesAdjusted!S33/YHHistoricalPricesAdjusted!S32-1,  "")</f>
        <v>-0.11589557037430731</v>
      </c>
      <c r="T33" s="37">
        <f>IFERROR(YHHistoricalPricesAdjusted!T33/YHHistoricalPricesAdjusted!T32-1,  "")</f>
        <v>-5.2253511902555783E-2</v>
      </c>
      <c r="U33" s="37">
        <f>IFERROR(YHHistoricalPricesAdjusted!U33/YHHistoricalPricesAdjusted!U32-1,  "")</f>
        <v>-0.16586727216042885</v>
      </c>
      <c r="V33" s="37">
        <f>IFERROR(YHHistoricalPricesAdjusted!V33/YHHistoricalPricesAdjusted!V32-1,  "")</f>
        <v>-3.4252474891845908E-2</v>
      </c>
      <c r="W33" s="37">
        <f>IFERROR(YHHistoricalPricesAdjusted!W33/YHHistoricalPricesAdjusted!W32-1,  "")</f>
        <v>-4.9138191378524487E-2</v>
      </c>
      <c r="X33" s="37">
        <f>IFERROR(YHHistoricalPricesAdjusted!X33/YHHistoricalPricesAdjusted!X32-1,  "")</f>
        <v>4.3715738021046224E-2</v>
      </c>
      <c r="Y33" s="37">
        <f>IFERROR(YHHistoricalPricesAdjusted!Y33/YHHistoricalPricesAdjusted!Y32-1,  "")</f>
        <v>-6.2169380212281355E-2</v>
      </c>
      <c r="Z33" s="37">
        <f>IFERROR(YHHistoricalPricesAdjusted!Z33/YHHistoricalPricesAdjusted!Z32-1,  "")</f>
        <v>-7.7648450067751118E-2</v>
      </c>
      <c r="AA33" s="37">
        <f>IFERROR(YHHistoricalPricesAdjusted!AA33/YHHistoricalPricesAdjusted!AA32-1,  "")</f>
        <v>-8.6668912577370305E-2</v>
      </c>
      <c r="AB33" s="37">
        <f>IFERROR(YHHistoricalPricesAdjusted!AB33/YHHistoricalPricesAdjusted!AB32-1,  "")</f>
        <v>-4.6952207373148758E-2</v>
      </c>
      <c r="AC33" s="37">
        <f>IFERROR(YHHistoricalPricesAdjusted!AC33/YHHistoricalPricesAdjusted!AC32-1,  "")</f>
        <v>-6.8702314700953893E-2</v>
      </c>
      <c r="AD33" s="37">
        <f>IFERROR(YHHistoricalPricesAdjusted!AD33/YHHistoricalPricesAdjusted!AD32-1,  "")</f>
        <v>-2.9332920909293514E-2</v>
      </c>
      <c r="AE33" s="37">
        <f>IFERROR(YHHistoricalPricesAdjusted!AE33/YHHistoricalPricesAdjusted!AE32-1,  "")</f>
        <v>-0.11065190062203656</v>
      </c>
      <c r="AF33" s="37">
        <f>IFERROR(YHHistoricalPricesAdjusted!AF33/YHHistoricalPricesAdjusted!AF32-1,  "")</f>
        <v>-3.4015104383992578E-2</v>
      </c>
      <c r="AG33" s="37">
        <f>IFERROR(YHHistoricalPricesAdjusted!AG33/YHHistoricalPricesAdjusted!AG32-1,  "")</f>
        <v>-8.2772171525703042E-2</v>
      </c>
      <c r="AH33" s="37">
        <f>IFERROR(YHHistoricalPricesAdjusted!AH33/YHHistoricalPricesAdjusted!AH32-1,  "")</f>
        <v>-4.8706040106246684E-3</v>
      </c>
      <c r="AI33" s="37">
        <f>IFERROR(YHHistoricalPricesAdjusted!AI33/YHHistoricalPricesAdjusted!AI32-1,  "")</f>
        <v>-2.6855608338431924E-2</v>
      </c>
      <c r="AJ33" s="37">
        <f>IFERROR(YHHistoricalPricesAdjusted!AJ33/YHHistoricalPricesAdjusted!AJ32-1,  "")</f>
        <v>-5.3112699967928667E-2</v>
      </c>
      <c r="AK33" s="37">
        <f>IFERROR(YHHistoricalPricesAdjusted!AK33/YHHistoricalPricesAdjusted!AK32-1,  "")</f>
        <v>-6.3984349546869712E-2</v>
      </c>
      <c r="AL33" s="37">
        <f>IFERROR(YHHistoricalPricesAdjusted!AL33/YHHistoricalPricesAdjusted!AL32-1,  "")</f>
        <v>-0.10566592145826048</v>
      </c>
      <c r="AM33" s="37">
        <f>IFERROR(YHHistoricalPricesAdjusted!AM33/YHHistoricalPricesAdjusted!AM32-1,  "")</f>
        <v>0.10751289239038497</v>
      </c>
      <c r="AN33" s="37">
        <f>IFERROR(YHHistoricalPricesAdjusted!AN33/YHHistoricalPricesAdjusted!AN32-1,  "")</f>
        <v>-7.0213183544921343E-2</v>
      </c>
      <c r="AO33" s="37">
        <f>IFERROR(YHHistoricalPricesAdjusted!AO33/YHHistoricalPricesAdjusted!AO32-1,  "")</f>
        <v>-0.12142642487015987</v>
      </c>
      <c r="AP33" s="37">
        <f>IFERROR(YHHistoricalPricesAdjusted!AP33/YHHistoricalPricesAdjusted!AP32-1,  "")</f>
        <v>-5.3056834842130529E-2</v>
      </c>
      <c r="AQ33" s="37">
        <f>IFERROR(YHHistoricalPricesAdjusted!AQ33/YHHistoricalPricesAdjusted!AQ32-1,  "")</f>
        <v>-2.0290203044614263E-2</v>
      </c>
      <c r="AR33" s="37">
        <f>IFERROR(YHHistoricalPricesAdjusted!AR33/YHHistoricalPricesAdjusted!AR32-1,  "")</f>
        <v>-2.0752456933523455E-2</v>
      </c>
      <c r="AS33" s="37">
        <f>IFERROR(YHHistoricalPricesAdjusted!AS33/YHHistoricalPricesAdjusted!AS32-1,  "")</f>
        <v>-4.1802047347838434E-2</v>
      </c>
      <c r="AT33" s="37">
        <f>IFERROR(YHHistoricalPricesAdjusted!AT33/YHHistoricalPricesAdjusted!AT32-1,  "")</f>
        <v>5.8964010900777186E-3</v>
      </c>
      <c r="AU33" s="37">
        <f>IFERROR(YHHistoricalPricesAdjusted!AU33/YHHistoricalPricesAdjusted!AU32-1,  "")</f>
        <v>5.7797339689047433E-4</v>
      </c>
      <c r="AV33" s="37">
        <f>IFERROR(YHHistoricalPricesAdjusted!AV33/YHHistoricalPricesAdjusted!AV32-1,  "")</f>
        <v>1.5276062531248913E-2</v>
      </c>
      <c r="AW33" s="37">
        <f>IFERROR(YHHistoricalPricesAdjusted!AW33/YHHistoricalPricesAdjusted!AW32-1,  "")</f>
        <v>-6.4543906432799392E-2</v>
      </c>
      <c r="AX33" s="37">
        <f>IFERROR(YHHistoricalPricesAdjusted!AX33/YHHistoricalPricesAdjusted!AX32-1,  "")</f>
        <v>-4.4597120114420519E-2</v>
      </c>
      <c r="AY33" s="37">
        <f>IFERROR(YHHistoricalPricesAdjusted!AY33/YHHistoricalPricesAdjusted!AY32-1,  "")</f>
        <v>-2.9510229417741618E-2</v>
      </c>
      <c r="AZ33" s="37">
        <f>IFERROR(YHHistoricalPricesAdjusted!AZ33/YHHistoricalPricesAdjusted!AZ32-1,  "")</f>
        <v>-3.8710762996316816E-2</v>
      </c>
      <c r="BA33" s="37">
        <f>IFERROR(YHHistoricalPricesAdjusted!BA33/YHHistoricalPricesAdjusted!BA32-1,  "")</f>
        <v>-2.9828476095444478E-2</v>
      </c>
      <c r="BB33" s="37">
        <f>IFERROR(YHHistoricalPricesAdjusted!BB33/YHHistoricalPricesAdjusted!BB32-1,  "")</f>
        <v>-5.8529734678116729E-2</v>
      </c>
      <c r="BC33" s="37">
        <f>IFERROR(YHHistoricalPricesAdjusted!BC33/YHHistoricalPricesAdjusted!BC32-1,  "")</f>
        <v>-8.0536847835758096E-2</v>
      </c>
      <c r="BD33" s="37">
        <f>IFERROR(YHHistoricalPricesAdjusted!BD33/YHHistoricalPricesAdjusted!BD32-1,  "")</f>
        <v>-5.3623556331054423E-2</v>
      </c>
      <c r="BE33" s="37">
        <f>IFERROR(YHHistoricalPricesAdjusted!BE33/YHHistoricalPricesAdjusted!BE32-1,  "")</f>
        <v>-8.4409443936043882E-2</v>
      </c>
      <c r="BF33" s="37">
        <f>IFERROR(YHHistoricalPricesAdjusted!BF33/YHHistoricalPricesAdjusted!BF32-1,  "")</f>
        <v>-7.7339453873848996E-2</v>
      </c>
      <c r="BG33" s="37">
        <f>IFERROR(YHHistoricalPricesAdjusted!BG33/YHHistoricalPricesAdjusted!BG32-1,  "")</f>
        <v>-6.3260390360367347E-2</v>
      </c>
      <c r="BH33" s="37">
        <f>IFERROR(YHHistoricalPricesAdjusted!BH33/YHHistoricalPricesAdjusted!BH32-1,  "")</f>
        <v>-6.6355699732539297E-2</v>
      </c>
      <c r="BI33" s="37">
        <f>IFERROR(YHHistoricalPricesAdjusted!BI33/YHHistoricalPricesAdjusted!BI32-1,  "")</f>
        <v>-3.2756921327849353E-2</v>
      </c>
      <c r="BJ33" s="37">
        <f>IFERROR(YHHistoricalPricesAdjusted!BJ33/YHHistoricalPricesAdjusted!BJ32-1,  "")</f>
        <v>-9.8777317579210377E-2</v>
      </c>
      <c r="BK33" s="37">
        <f>IFERROR(YHHistoricalPricesAdjusted!BK33/YHHistoricalPricesAdjusted!BK32-1,  "")</f>
        <v>8.6773618038578082E-3</v>
      </c>
      <c r="BL33" s="37">
        <f>IFERROR(YHHistoricalPricesAdjusted!BL33/YHHistoricalPricesAdjusted!BL32-1,  "")</f>
        <v>-6.0790338845044589E-2</v>
      </c>
      <c r="BM33" s="37">
        <f>IFERROR(YHHistoricalPricesAdjusted!BM33/YHHistoricalPricesAdjusted!BM32-1,  "")</f>
        <v>-4.4051020211145486E-2</v>
      </c>
      <c r="BN33" s="37">
        <f>IFERROR(YHHistoricalPricesAdjusted!BN33/YHHistoricalPricesAdjusted!BN32-1,  "")</f>
        <v>-4.9584963528903736E-2</v>
      </c>
      <c r="BO33" s="37">
        <f>IFERROR(YHHistoricalPricesAdjusted!BO33/YHHistoricalPricesAdjusted!BO32-1,  "")</f>
        <v>-5.1972696765342774E-2</v>
      </c>
      <c r="BP33" s="37">
        <f>IFERROR(YHHistoricalPricesAdjusted!BP33/YHHistoricalPricesAdjusted!BP32-1,  "")</f>
        <v>-2.9581752104013814E-2</v>
      </c>
      <c r="BQ33" s="37">
        <f>IFERROR(YHHistoricalPricesAdjusted!BQ33/YHHistoricalPricesAdjusted!BQ32-1,  "")</f>
        <v>-5.3500995631749704E-2</v>
      </c>
      <c r="BR33" s="37">
        <f>IFERROR(YHHistoricalPricesAdjusted!BR33/YHHistoricalPricesAdjusted!BR32-1,  "")</f>
        <v>-5.1360506230797465E-2</v>
      </c>
      <c r="BS33" s="37">
        <f>IFERROR(YHHistoricalPricesAdjusted!BS33/YHHistoricalPricesAdjusted!BS32-1,  "")</f>
        <v>-0.10241545641838234</v>
      </c>
      <c r="BT33" s="37">
        <f>IFERROR(YHHistoricalPricesAdjusted!BT33/YHHistoricalPricesAdjusted!BT32-1,  "")</f>
        <v>-0.22995448006934349</v>
      </c>
      <c r="BU33" s="37">
        <f>IFERROR(YHHistoricalPricesAdjusted!BU33/YHHistoricalPricesAdjusted!BU32-1,  "")</f>
        <v>-0.10880195050045516</v>
      </c>
      <c r="BV33" s="37">
        <f>IFERROR(YHHistoricalPricesAdjusted!BV33/YHHistoricalPricesAdjusted!BV32-1,  "")</f>
        <v>-6.8094222671796989E-2</v>
      </c>
      <c r="BW33" s="37">
        <f>IFERROR(YHHistoricalPricesAdjusted!BW33/YHHistoricalPricesAdjusted!BW32-1,  "")</f>
        <v>-1.4162257742341033E-2</v>
      </c>
      <c r="BX33" s="37">
        <f>IFERROR(YHHistoricalPricesAdjusted!BX33/YHHistoricalPricesAdjusted!BX32-1,  "")</f>
        <v>-5.0894193859210013E-3</v>
      </c>
      <c r="BY33" s="37">
        <f>IFERROR(YHHistoricalPricesAdjusted!BY33/YHHistoricalPricesAdjusted!BY32-1,  "")</f>
        <v>-5.3751730405795617E-2</v>
      </c>
      <c r="BZ33" s="37">
        <f>IFERROR(YHHistoricalPricesAdjusted!BZ33/YHHistoricalPricesAdjusted!BZ32-1,  "")</f>
        <v>-0.1873171993577023</v>
      </c>
      <c r="CA33" s="37">
        <f>IFERROR(YHHistoricalPricesAdjusted!CA33/YHHistoricalPricesAdjusted!CA32-1,  "")</f>
        <v>-8.687408733247115E-2</v>
      </c>
      <c r="CB33" s="37">
        <f>IFERROR(YHHistoricalPricesAdjusted!CB33/YHHistoricalPricesAdjusted!CB32-1,  "")</f>
        <v>-4.6309090890938043E-2</v>
      </c>
      <c r="CC33" s="37">
        <f>IFERROR(YHHistoricalPricesAdjusted!CC33/YHHistoricalPricesAdjusted!CC32-1,  "")</f>
        <v>0.12681702257183325</v>
      </c>
      <c r="CD33" s="37">
        <f>IFERROR(YHHistoricalPricesAdjusted!CD33/YHHistoricalPricesAdjusted!CD32-1,  "")</f>
        <v>-4.5527059982404916E-2</v>
      </c>
      <c r="CE33" s="37">
        <f>IFERROR(YHHistoricalPricesAdjusted!CE33/YHHistoricalPricesAdjusted!CE32-1,  "")</f>
        <v>-8.0602815898716096E-2</v>
      </c>
      <c r="CF33" s="37">
        <f>IFERROR(YHHistoricalPricesAdjusted!CF33/YHHistoricalPricesAdjusted!CF32-1,  "")</f>
        <v>-0.11345218800648305</v>
      </c>
    </row>
    <row r="34" spans="1:84" x14ac:dyDescent="0.25">
      <c r="A34" s="17">
        <v>42277</v>
      </c>
      <c r="B34" s="37">
        <f>IFERROR(YHHistoricalPricesAdjusted!B34/YHHistoricalPricesAdjusted!B33-1,  "")</f>
        <v>-1.8780874111426149E-2</v>
      </c>
      <c r="C34" s="37">
        <f>IFERROR(YHHistoricalPricesAdjusted!C34/YHHistoricalPricesAdjusted!C33-1,  "")</f>
        <v>8.3966601410561115E-3</v>
      </c>
      <c r="D34" s="37">
        <f>IFERROR(YHHistoricalPricesAdjusted!D34/YHHistoricalPricesAdjusted!D33-1,  "")</f>
        <v>-1.1606619601360002E-2</v>
      </c>
      <c r="E34" s="37">
        <f>IFERROR(YHHistoricalPricesAdjusted!E34/YHHistoricalPricesAdjusted!E33-1,  "")</f>
        <v>3.1409092947478623E-3</v>
      </c>
      <c r="F34" s="37">
        <f>IFERROR(YHHistoricalPricesAdjusted!F34/YHHistoricalPricesAdjusted!F33-1,  "")</f>
        <v>2.1247946253133643E-2</v>
      </c>
      <c r="G34" s="37">
        <f>IFERROR(YHHistoricalPricesAdjusted!G34/YHHistoricalPricesAdjusted!G33-1,  "")</f>
        <v>8.5390451467000084E-3</v>
      </c>
      <c r="H34" s="37">
        <f>IFERROR(YHHistoricalPricesAdjusted!H34/YHHistoricalPricesAdjusted!H33-1,  "")</f>
        <v>2.034603196257545E-2</v>
      </c>
      <c r="I34" s="37">
        <f>IFERROR(YHHistoricalPricesAdjusted!I34/YHHistoricalPricesAdjusted!I33-1,  "")</f>
        <v>-7.7067613966250614E-2</v>
      </c>
      <c r="J34" s="37">
        <f>IFERROR(YHHistoricalPricesAdjusted!J34/YHHistoricalPricesAdjusted!J33-1,  "")</f>
        <v>4.1474629248855255E-2</v>
      </c>
      <c r="K34" s="37">
        <f>IFERROR(YHHistoricalPricesAdjusted!K34/YHHistoricalPricesAdjusted!K33-1,  "")</f>
        <v>3.717060513071857E-3</v>
      </c>
      <c r="L34" s="37">
        <f>IFERROR(YHHistoricalPricesAdjusted!L34/YHHistoricalPricesAdjusted!L33-1,  "")</f>
        <v>2.034603196257545E-2</v>
      </c>
      <c r="M34" s="37">
        <f>IFERROR(YHHistoricalPricesAdjusted!M34/YHHistoricalPricesAdjusted!M33-1,  "")</f>
        <v>7.4785526369836042E-3</v>
      </c>
      <c r="N34" s="37">
        <f>IFERROR(YHHistoricalPricesAdjusted!N34/YHHistoricalPricesAdjusted!N33-1,  "")</f>
        <v>-5.0190525400782615E-2</v>
      </c>
      <c r="O34" s="37">
        <f>IFERROR(YHHistoricalPricesAdjusted!O34/YHHistoricalPricesAdjusted!O33-1,  "")</f>
        <v>-2.6499799457960771E-3</v>
      </c>
      <c r="P34" s="37">
        <f>IFERROR(YHHistoricalPricesAdjusted!P34/YHHistoricalPricesAdjusted!P33-1,  "")</f>
        <v>-2.5827115925580735E-3</v>
      </c>
      <c r="Q34" s="37">
        <f>IFERROR(YHHistoricalPricesAdjusted!Q34/YHHistoricalPricesAdjusted!Q33-1,  "")</f>
        <v>-1.3780908280385473E-2</v>
      </c>
      <c r="R34" s="37">
        <f>IFERROR(YHHistoricalPricesAdjusted!R34/YHHistoricalPricesAdjusted!R33-1,  "")</f>
        <v>-0.13894397348786447</v>
      </c>
      <c r="S34" s="37">
        <f>IFERROR(YHHistoricalPricesAdjusted!S34/YHHistoricalPricesAdjusted!S33-1,  "")</f>
        <v>-6.0474465650529163E-2</v>
      </c>
      <c r="T34" s="37">
        <f>IFERROR(YHHistoricalPricesAdjusted!T34/YHHistoricalPricesAdjusted!T33-1,  "")</f>
        <v>-5.741666237382026E-2</v>
      </c>
      <c r="U34" s="37">
        <f>IFERROR(YHHistoricalPricesAdjusted!U34/YHHistoricalPricesAdjusted!U33-1,  "")</f>
        <v>-2.4552162536581434E-2</v>
      </c>
      <c r="V34" s="37">
        <f>IFERROR(YHHistoricalPricesAdjusted!V34/YHHistoricalPricesAdjusted!V33-1,  "")</f>
        <v>-0.13272388611438668</v>
      </c>
      <c r="W34" s="37">
        <f>IFERROR(YHHistoricalPricesAdjusted!W34/YHHistoricalPricesAdjusted!W33-1,  "")</f>
        <v>-0.23806031283068163</v>
      </c>
      <c r="X34" s="37">
        <f>IFERROR(YHHistoricalPricesAdjusted!X34/YHHistoricalPricesAdjusted!X33-1,  "")</f>
        <v>-2.7615499280290612E-2</v>
      </c>
      <c r="Y34" s="37">
        <f>IFERROR(YHHistoricalPricesAdjusted!Y34/YHHistoricalPricesAdjusted!Y33-1,  "")</f>
        <v>8.9495889440183163E-4</v>
      </c>
      <c r="Z34" s="37">
        <f>IFERROR(YHHistoricalPricesAdjusted!Z34/YHHistoricalPricesAdjusted!Z33-1,  "")</f>
        <v>-4.8242324007110038E-2</v>
      </c>
      <c r="AA34" s="37">
        <f>IFERROR(YHHistoricalPricesAdjusted!AA34/YHHistoricalPricesAdjusted!AA33-1,  "")</f>
        <v>-8.2822655287397073E-2</v>
      </c>
      <c r="AB34" s="37">
        <f>IFERROR(YHHistoricalPricesAdjusted!AB34/YHHistoricalPricesAdjusted!AB33-1,  "")</f>
        <v>2.6794527179703209E-3</v>
      </c>
      <c r="AC34" s="37">
        <f>IFERROR(YHHistoricalPricesAdjusted!AC34/YHHistoricalPricesAdjusted!AC33-1,  "")</f>
        <v>-0.1069037191168869</v>
      </c>
      <c r="AD34" s="37">
        <f>IFERROR(YHHistoricalPricesAdjusted!AD34/YHHistoricalPricesAdjusted!AD33-1,  "")</f>
        <v>-0.11400596077294001</v>
      </c>
      <c r="AE34" s="37">
        <f>IFERROR(YHHistoricalPricesAdjusted!AE34/YHHistoricalPricesAdjusted!AE33-1,  "")</f>
        <v>-0.12866810943659901</v>
      </c>
      <c r="AF34" s="37">
        <f>IFERROR(YHHistoricalPricesAdjusted!AF34/YHHistoricalPricesAdjusted!AF33-1,  "")</f>
        <v>0.11953046490208385</v>
      </c>
      <c r="AG34" s="37">
        <f>IFERROR(YHHistoricalPricesAdjusted!AG34/YHHistoricalPricesAdjusted!AG33-1,  "")</f>
        <v>-0.1051227268379552</v>
      </c>
      <c r="AH34" s="37">
        <f>IFERROR(YHHistoricalPricesAdjusted!AH34/YHHistoricalPricesAdjusted!AH33-1,  "")</f>
        <v>-8.3289638968502278E-3</v>
      </c>
      <c r="AI34" s="37">
        <f>IFERROR(YHHistoricalPricesAdjusted!AI34/YHHistoricalPricesAdjusted!AI33-1,  "")</f>
        <v>-3.1495076086684226E-2</v>
      </c>
      <c r="AJ34" s="37">
        <f>IFERROR(YHHistoricalPricesAdjusted!AJ34/YHHistoricalPricesAdjusted!AJ33-1,  "")</f>
        <v>2.5665600661637589E-2</v>
      </c>
      <c r="AK34" s="37">
        <f>IFERROR(YHHistoricalPricesAdjusted!AK34/YHHistoricalPricesAdjusted!AK33-1,  "")</f>
        <v>-6.3838204209645477E-2</v>
      </c>
      <c r="AL34" s="37">
        <f>IFERROR(YHHistoricalPricesAdjusted!AL34/YHHistoricalPricesAdjusted!AL33-1,  "")</f>
        <v>-0.22413840910633254</v>
      </c>
      <c r="AM34" s="37">
        <f>IFERROR(YHHistoricalPricesAdjusted!AM34/YHHistoricalPricesAdjusted!AM33-1,  "")</f>
        <v>-5.1461904995785179E-2</v>
      </c>
      <c r="AN34" s="37">
        <f>IFERROR(YHHistoricalPricesAdjusted!AN34/YHHistoricalPricesAdjusted!AN33-1,  "")</f>
        <v>-9.2660418083548857E-2</v>
      </c>
      <c r="AO34" s="37">
        <f>IFERROR(YHHistoricalPricesAdjusted!AO34/YHHistoricalPricesAdjusted!AO33-1,  "")</f>
        <v>3.7973745841401563E-2</v>
      </c>
      <c r="AP34" s="37">
        <f>IFERROR(YHHistoricalPricesAdjusted!AP34/YHHistoricalPricesAdjusted!AP33-1,  "")</f>
        <v>1.0203222510376531E-3</v>
      </c>
      <c r="AQ34" s="37">
        <f>IFERROR(YHHistoricalPricesAdjusted!AQ34/YHHistoricalPricesAdjusted!AQ33-1,  "")</f>
        <v>-9.5163210277892096E-3</v>
      </c>
      <c r="AR34" s="37">
        <f>IFERROR(YHHistoricalPricesAdjusted!AR34/YHHistoricalPricesAdjusted!AR33-1,  "")</f>
        <v>0.10308520330119486</v>
      </c>
      <c r="AS34" s="37">
        <f>IFERROR(YHHistoricalPricesAdjusted!AS34/YHHistoricalPricesAdjusted!AS33-1,  "")</f>
        <v>8.0604723157577718E-2</v>
      </c>
      <c r="AT34" s="37">
        <f>IFERROR(YHHistoricalPricesAdjusted!AT34/YHHistoricalPricesAdjusted!AT33-1,  "")</f>
        <v>4.1491214324806514E-2</v>
      </c>
      <c r="AU34" s="37">
        <f>IFERROR(YHHistoricalPricesAdjusted!AU34/YHHistoricalPricesAdjusted!AU33-1,  "")</f>
        <v>6.7488229285983747E-2</v>
      </c>
      <c r="AV34" s="37">
        <f>IFERROR(YHHistoricalPricesAdjusted!AV34/YHHistoricalPricesAdjusted!AV33-1,  "")</f>
        <v>6.4955817692361029E-2</v>
      </c>
      <c r="AW34" s="37">
        <f>IFERROR(YHHistoricalPricesAdjusted!AW34/YHHistoricalPricesAdjusted!AW33-1,  "")</f>
        <v>-1.0862678155787453E-3</v>
      </c>
      <c r="AX34" s="37">
        <f>IFERROR(YHHistoricalPricesAdjusted!AX34/YHHistoricalPricesAdjusted!AX33-1,  "")</f>
        <v>2.576551915255898E-2</v>
      </c>
      <c r="AY34" s="37">
        <f>IFERROR(YHHistoricalPricesAdjusted!AY34/YHHistoricalPricesAdjusted!AY33-1,  "")</f>
        <v>4.1853409310832035E-2</v>
      </c>
      <c r="AZ34" s="37">
        <f>IFERROR(YHHistoricalPricesAdjusted!AZ34/YHHistoricalPricesAdjusted!AZ33-1,  "")</f>
        <v>-1.1447310152652213E-2</v>
      </c>
      <c r="BA34" s="37">
        <f>IFERROR(YHHistoricalPricesAdjusted!BA34/YHHistoricalPricesAdjusted!BA33-1,  "")</f>
        <v>2.9592614287919705E-2</v>
      </c>
      <c r="BB34" s="37">
        <f>IFERROR(YHHistoricalPricesAdjusted!BB34/YHHistoricalPricesAdjusted!BB33-1,  "")</f>
        <v>-4.8830143115653146E-2</v>
      </c>
      <c r="BC34" s="37">
        <f>IFERROR(YHHistoricalPricesAdjusted!BC34/YHHistoricalPricesAdjusted!BC33-1,  "")</f>
        <v>-5.2311465358675702E-2</v>
      </c>
      <c r="BD34" s="37">
        <f>IFERROR(YHHistoricalPricesAdjusted!BD34/YHHistoricalPricesAdjusted!BD33-1,  "")</f>
        <v>-2.1400629308931163E-2</v>
      </c>
      <c r="BE34" s="37">
        <f>IFERROR(YHHistoricalPricesAdjusted!BE34/YHHistoricalPricesAdjusted!BE33-1,  "")</f>
        <v>-7.2363620991620192E-2</v>
      </c>
      <c r="BF34" s="37">
        <f>IFERROR(YHHistoricalPricesAdjusted!BF34/YHHistoricalPricesAdjusted!BF33-1,  "")</f>
        <v>-7.8489705787158082E-2</v>
      </c>
      <c r="BG34" s="37">
        <f>IFERROR(YHHistoricalPricesAdjusted!BG34/YHHistoricalPricesAdjusted!BG33-1,  "")</f>
        <v>-3.1640913121554592E-2</v>
      </c>
      <c r="BH34" s="37">
        <f>IFERROR(YHHistoricalPricesAdjusted!BH34/YHHistoricalPricesAdjusted!BH33-1,  "")</f>
        <v>-4.3397721838405623E-2</v>
      </c>
      <c r="BI34" s="37">
        <f>IFERROR(YHHistoricalPricesAdjusted!BI34/YHHistoricalPricesAdjusted!BI33-1,  "")</f>
        <v>-4.1786472380086259E-2</v>
      </c>
      <c r="BJ34" s="37">
        <f>IFERROR(YHHistoricalPricesAdjusted!BJ34/YHHistoricalPricesAdjusted!BJ33-1,  "")</f>
        <v>-0.13300489641358926</v>
      </c>
      <c r="BK34" s="37">
        <f>IFERROR(YHHistoricalPricesAdjusted!BK34/YHHistoricalPricesAdjusted!BK33-1,  "")</f>
        <v>-3.3759373751056088E-2</v>
      </c>
      <c r="BL34" s="37">
        <f>IFERROR(YHHistoricalPricesAdjusted!BL34/YHHistoricalPricesAdjusted!BL33-1,  "")</f>
        <v>4.3378894531196366E-3</v>
      </c>
      <c r="BM34" s="37">
        <f>IFERROR(YHHistoricalPricesAdjusted!BM34/YHHistoricalPricesAdjusted!BM33-1,  "")</f>
        <v>-5.2444775364025031E-2</v>
      </c>
      <c r="BN34" s="37">
        <f>IFERROR(YHHistoricalPricesAdjusted!BN34/YHHistoricalPricesAdjusted!BN33-1,  "")</f>
        <v>-2.0799704084571657E-2</v>
      </c>
      <c r="BO34" s="37">
        <f>IFERROR(YHHistoricalPricesAdjusted!BO34/YHHistoricalPricesAdjusted!BO33-1,  "")</f>
        <v>-2.9592119767593461E-2</v>
      </c>
      <c r="BP34" s="37">
        <f>IFERROR(YHHistoricalPricesAdjusted!BP34/YHHistoricalPricesAdjusted!BP33-1,  "")</f>
        <v>-3.3253101098707383E-2</v>
      </c>
      <c r="BQ34" s="37">
        <f>IFERROR(YHHistoricalPricesAdjusted!BQ34/YHHistoricalPricesAdjusted!BQ33-1,  "")</f>
        <v>-0.10755999657143289</v>
      </c>
      <c r="BR34" s="37">
        <f>IFERROR(YHHistoricalPricesAdjusted!BR34/YHHistoricalPricesAdjusted!BR33-1,  "")</f>
        <v>-7.3788604608848729E-3</v>
      </c>
      <c r="BS34" s="37">
        <f>IFERROR(YHHistoricalPricesAdjusted!BS34/YHHistoricalPricesAdjusted!BS33-1,  "")</f>
        <v>-5.0615974338355407E-2</v>
      </c>
      <c r="BT34" s="37">
        <f>IFERROR(YHHistoricalPricesAdjusted!BT34/YHHistoricalPricesAdjusted!BT33-1,  "")</f>
        <v>-7.6375412996214309E-2</v>
      </c>
      <c r="BU34" s="37">
        <f>IFERROR(YHHistoricalPricesAdjusted!BU34/YHHistoricalPricesAdjusted!BU33-1,  "")</f>
        <v>-3.8042945368869541E-2</v>
      </c>
      <c r="BV34" s="37">
        <f>IFERROR(YHHistoricalPricesAdjusted!BV34/YHHistoricalPricesAdjusted!BV33-1,  "")</f>
        <v>2.3710346680252181E-2</v>
      </c>
      <c r="BW34" s="37">
        <f>IFERROR(YHHistoricalPricesAdjusted!BW34/YHHistoricalPricesAdjusted!BW33-1,  "")</f>
        <v>6.4834689701333215E-2</v>
      </c>
      <c r="BX34" s="37">
        <f>IFERROR(YHHistoricalPricesAdjusted!BX34/YHHistoricalPricesAdjusted!BX33-1,  "")</f>
        <v>-5.4336123861043029E-2</v>
      </c>
      <c r="BY34" s="37">
        <f>IFERROR(YHHistoricalPricesAdjusted!BY34/YHHistoricalPricesAdjusted!BY33-1,  "")</f>
        <v>1.0092127882179724E-3</v>
      </c>
      <c r="BZ34" s="37">
        <f>IFERROR(YHHistoricalPricesAdjusted!BZ34/YHHistoricalPricesAdjusted!BZ33-1,  "")</f>
        <v>3.4985618413972519E-2</v>
      </c>
      <c r="CA34" s="37">
        <f>IFERROR(YHHistoricalPricesAdjusted!CA34/YHHistoricalPricesAdjusted!CA33-1,  "")</f>
        <v>-4.5700319148320734E-3</v>
      </c>
      <c r="CB34" s="37">
        <f>IFERROR(YHHistoricalPricesAdjusted!CB34/YHHistoricalPricesAdjusted!CB33-1,  "")</f>
        <v>-1.8376233228909356E-2</v>
      </c>
      <c r="CC34" s="37">
        <f>IFERROR(YHHistoricalPricesAdjusted!CC34/YHHistoricalPricesAdjusted!CC33-1,  "")</f>
        <v>0.10112029776622578</v>
      </c>
      <c r="CD34" s="37">
        <f>IFERROR(YHHistoricalPricesAdjusted!CD34/YHHistoricalPricesAdjusted!CD33-1,  "")</f>
        <v>1.8945613988221588E-3</v>
      </c>
      <c r="CE34" s="37">
        <f>IFERROR(YHHistoricalPricesAdjusted!CE34/YHHistoricalPricesAdjusted!CE33-1,  "")</f>
        <v>-8.7312993718904885E-2</v>
      </c>
      <c r="CF34" s="37">
        <f>IFERROR(YHHistoricalPricesAdjusted!CF34/YHHistoricalPricesAdjusted!CF33-1,  "")</f>
        <v>-8.7141986593540555E-2</v>
      </c>
    </row>
    <row r="35" spans="1:84" x14ac:dyDescent="0.25">
      <c r="A35" s="17">
        <v>42308</v>
      </c>
      <c r="B35" s="37">
        <f>IFERROR(YHHistoricalPricesAdjusted!B35/YHHistoricalPricesAdjusted!B34-1,  "")</f>
        <v>8.3408847117319551E-2</v>
      </c>
      <c r="C35" s="37">
        <f>IFERROR(YHHistoricalPricesAdjusted!C35/YHHistoricalPricesAdjusted!C34-1,  "")</f>
        <v>0.15697125048050742</v>
      </c>
      <c r="D35" s="37">
        <f>IFERROR(YHHistoricalPricesAdjusted!D35/YHHistoricalPricesAdjusted!D34-1,  "")</f>
        <v>-3.3731275210900025E-2</v>
      </c>
      <c r="E35" s="37">
        <f>IFERROR(YHHistoricalPricesAdjusted!E35/YHHistoricalPricesAdjusted!E34-1,  "")</f>
        <v>0.11291579347801428</v>
      </c>
      <c r="F35" s="37">
        <f>IFERROR(YHHistoricalPricesAdjusted!F35/YHHistoricalPricesAdjusted!F34-1,  "")</f>
        <v>0.13924696051447571</v>
      </c>
      <c r="G35" s="37">
        <f>IFERROR(YHHistoricalPricesAdjusted!G35/YHHistoricalPricesAdjusted!G34-1,  "")</f>
        <v>-0.11721138305436707</v>
      </c>
      <c r="H35" s="37">
        <f>IFERROR(YHHistoricalPricesAdjusted!H35/YHHistoricalPricesAdjusted!H34-1,  "")</f>
        <v>6.4728385231934915E-2</v>
      </c>
      <c r="I35" s="37">
        <f>IFERROR(YHHistoricalPricesAdjusted!I35/YHHistoricalPricesAdjusted!I34-1,  "")</f>
        <v>7.5416730996848536E-2</v>
      </c>
      <c r="J35" s="37">
        <f>IFERROR(YHHistoricalPricesAdjusted!J35/YHHistoricalPricesAdjusted!J34-1,  "")</f>
        <v>0.12780068241447706</v>
      </c>
      <c r="K35" s="37">
        <f>IFERROR(YHHistoricalPricesAdjusted!K35/YHHistoricalPricesAdjusted!K34-1,  "")</f>
        <v>4.635511033202433E-2</v>
      </c>
      <c r="L35" s="37">
        <f>IFERROR(YHHistoricalPricesAdjusted!L35/YHHistoricalPricesAdjusted!L34-1,  "")</f>
        <v>6.4728385231934915E-2</v>
      </c>
      <c r="M35" s="37">
        <f>IFERROR(YHHistoricalPricesAdjusted!M35/YHHistoricalPricesAdjusted!M34-1,  "")</f>
        <v>9.2069212988995064E-2</v>
      </c>
      <c r="N35" s="37">
        <f>IFERROR(YHHistoricalPricesAdjusted!N35/YHHistoricalPricesAdjusted!N34-1,  "")</f>
        <v>0.11450209251321186</v>
      </c>
      <c r="O35" s="37">
        <f>IFERROR(YHHistoricalPricesAdjusted!O35/YHHistoricalPricesAdjusted!O34-1,  "")</f>
        <v>-0.16694847826767656</v>
      </c>
      <c r="P35" s="37">
        <f>IFERROR(YHHistoricalPricesAdjusted!P35/YHHistoricalPricesAdjusted!P34-1,  "")</f>
        <v>0.11284472927130951</v>
      </c>
      <c r="Q35" s="37">
        <f>IFERROR(YHHistoricalPricesAdjusted!Q35/YHHistoricalPricesAdjusted!Q34-1,  "")</f>
        <v>0.15212983640115763</v>
      </c>
      <c r="R35" s="37">
        <f>IFERROR(YHHistoricalPricesAdjusted!R35/YHHistoricalPricesAdjusted!R34-1,  "")</f>
        <v>0.19772865368437564</v>
      </c>
      <c r="S35" s="37">
        <f>IFERROR(YHHistoricalPricesAdjusted!S35/YHHistoricalPricesAdjusted!S34-1,  "")</f>
        <v>0.16556616285223424</v>
      </c>
      <c r="T35" s="37">
        <f>IFERROR(YHHistoricalPricesAdjusted!T35/YHHistoricalPricesAdjusted!T34-1,  "")</f>
        <v>0.12998138907636214</v>
      </c>
      <c r="U35" s="37">
        <f>IFERROR(YHHistoricalPricesAdjusted!U35/YHHistoricalPricesAdjusted!U34-1,  "")</f>
        <v>0.22204359189741352</v>
      </c>
      <c r="V35" s="37">
        <f>IFERROR(YHHistoricalPricesAdjusted!V35/YHHistoricalPricesAdjusted!V34-1,  "")</f>
        <v>9.2336721491443452E-2</v>
      </c>
      <c r="W35" s="37">
        <f>IFERROR(YHHistoricalPricesAdjusted!W35/YHHistoricalPricesAdjusted!W34-1,  "")</f>
        <v>9.3511007731552631E-2</v>
      </c>
      <c r="X35" s="37">
        <f>IFERROR(YHHistoricalPricesAdjusted!X35/YHHistoricalPricesAdjusted!X34-1,  "")</f>
        <v>8.7800148872681838E-2</v>
      </c>
      <c r="Y35" s="37">
        <f>IFERROR(YHHistoricalPricesAdjusted!Y35/YHHistoricalPricesAdjusted!Y34-1,  "")</f>
        <v>8.2271247092675415E-2</v>
      </c>
      <c r="Z35" s="37">
        <f>IFERROR(YHHistoricalPricesAdjusted!Z35/YHHistoricalPricesAdjusted!Z34-1,  "")</f>
        <v>7.67271887472043E-2</v>
      </c>
      <c r="AA35" s="37">
        <f>IFERROR(YHHistoricalPricesAdjusted!AA35/YHHistoricalPricesAdjusted!AA34-1,  "")</f>
        <v>0.11622961424311629</v>
      </c>
      <c r="AB35" s="37">
        <f>IFERROR(YHHistoricalPricesAdjusted!AB35/YHHistoricalPricesAdjusted!AB34-1,  "")</f>
        <v>1.9648929806412196E-2</v>
      </c>
      <c r="AC35" s="37">
        <f>IFERROR(YHHistoricalPricesAdjusted!AC35/YHHistoricalPricesAdjusted!AC34-1,  "")</f>
        <v>-0.11078076866217834</v>
      </c>
      <c r="AD35" s="37">
        <f>IFERROR(YHHistoricalPricesAdjusted!AD35/YHHistoricalPricesAdjusted!AD34-1,  "")</f>
        <v>-2.1793152101661217E-2</v>
      </c>
      <c r="AE35" s="37">
        <f>IFERROR(YHHistoricalPricesAdjusted!AE35/YHHistoricalPricesAdjusted!AE34-1,  "")</f>
        <v>0.11726607294780278</v>
      </c>
      <c r="AF35" s="37">
        <f>IFERROR(YHHistoricalPricesAdjusted!AF35/YHHistoricalPricesAdjusted!AF34-1,  "")</f>
        <v>-3.6363610544730141E-2</v>
      </c>
      <c r="AG35" s="37">
        <f>IFERROR(YHHistoricalPricesAdjusted!AG35/YHHistoricalPricesAdjusted!AG34-1,  "")</f>
        <v>0.13487365790725159</v>
      </c>
      <c r="AH35" s="37">
        <f>IFERROR(YHHistoricalPricesAdjusted!AH35/YHHistoricalPricesAdjusted!AH34-1,  "")</f>
        <v>7.6020130480014547E-2</v>
      </c>
      <c r="AI35" s="37">
        <f>IFERROR(YHHistoricalPricesAdjusted!AI35/YHHistoricalPricesAdjusted!AI34-1,  "")</f>
        <v>0.12580622503328032</v>
      </c>
      <c r="AJ35" s="37">
        <f>IFERROR(YHHistoricalPricesAdjusted!AJ35/YHHistoricalPricesAdjusted!AJ34-1,  "")</f>
        <v>0.15822542589026201</v>
      </c>
      <c r="AK35" s="37">
        <f>IFERROR(YHHistoricalPricesAdjusted!AK35/YHHistoricalPricesAdjusted!AK34-1,  "")</f>
        <v>0.13143238202488905</v>
      </c>
      <c r="AL35" s="37">
        <f>IFERROR(YHHistoricalPricesAdjusted!AL35/YHHistoricalPricesAdjusted!AL34-1,  "")</f>
        <v>0.382323348093631</v>
      </c>
      <c r="AM35" s="37">
        <f>IFERROR(YHHistoricalPricesAdjusted!AM35/YHHistoricalPricesAdjusted!AM34-1,  "")</f>
        <v>0.20509647723287316</v>
      </c>
      <c r="AN35" s="37">
        <f>IFERROR(YHHistoricalPricesAdjusted!AN35/YHHistoricalPricesAdjusted!AN34-1,  "")</f>
        <v>7.0063785585036786E-2</v>
      </c>
      <c r="AO35" s="37">
        <f>IFERROR(YHHistoricalPricesAdjusted!AO35/YHHistoricalPricesAdjusted!AO34-1,  "")</f>
        <v>1.0631995070105038E-2</v>
      </c>
      <c r="AP35" s="37">
        <f>IFERROR(YHHistoricalPricesAdjusted!AP35/YHHistoricalPricesAdjusted!AP34-1,  "")</f>
        <v>-8.6437351379703431E-3</v>
      </c>
      <c r="AQ35" s="37">
        <f>IFERROR(YHHistoricalPricesAdjusted!AQ35/YHHistoricalPricesAdjusted!AQ34-1,  "")</f>
        <v>-0.11110034015966685</v>
      </c>
      <c r="AR35" s="37">
        <f>IFERROR(YHHistoricalPricesAdjusted!AR35/YHHistoricalPricesAdjusted!AR34-1,  "")</f>
        <v>-1.5700512584313042E-2</v>
      </c>
      <c r="AS35" s="37">
        <f>IFERROR(YHHistoricalPricesAdjusted!AS35/YHHistoricalPricesAdjusted!AS34-1,  "")</f>
        <v>1.0849810280184835E-2</v>
      </c>
      <c r="AT35" s="37">
        <f>IFERROR(YHHistoricalPricesAdjusted!AT35/YHHistoricalPricesAdjusted!AT34-1,  "")</f>
        <v>8.0468494389276612E-2</v>
      </c>
      <c r="AU35" s="37">
        <f>IFERROR(YHHistoricalPricesAdjusted!AU35/YHHistoricalPricesAdjusted!AU34-1,  "")</f>
        <v>4.1394316105692441E-2</v>
      </c>
      <c r="AV35" s="37">
        <f>IFERROR(YHHistoricalPricesAdjusted!AV35/YHHistoricalPricesAdjusted!AV34-1,  "")</f>
        <v>7.9411106408768806E-3</v>
      </c>
      <c r="AW35" s="37">
        <f>IFERROR(YHHistoricalPricesAdjusted!AW35/YHHistoricalPricesAdjusted!AW34-1,  "")</f>
        <v>5.2383301469623333E-2</v>
      </c>
      <c r="AX35" s="37">
        <f>IFERROR(YHHistoricalPricesAdjusted!AX35/YHHistoricalPricesAdjusted!AX34-1,  "")</f>
        <v>-6.5333403779013199E-3</v>
      </c>
      <c r="AY35" s="37">
        <f>IFERROR(YHHistoricalPricesAdjusted!AY35/YHHistoricalPricesAdjusted!AY34-1,  "")</f>
        <v>8.9484116683000714E-3</v>
      </c>
      <c r="AZ35" s="37">
        <f>IFERROR(YHHistoricalPricesAdjusted!AZ35/YHHistoricalPricesAdjusted!AZ34-1,  "")</f>
        <v>6.685988879539706E-2</v>
      </c>
      <c r="BA35" s="37">
        <f>IFERROR(YHHistoricalPricesAdjusted!BA35/YHHistoricalPricesAdjusted!BA34-1,  "")</f>
        <v>2.4816719705089918E-2</v>
      </c>
      <c r="BB35" s="37">
        <f>IFERROR(YHHistoricalPricesAdjusted!BB35/YHHistoricalPricesAdjusted!BB34-1,  "")</f>
        <v>5.3796871749359543E-2</v>
      </c>
      <c r="BC35" s="37">
        <f>IFERROR(YHHistoricalPricesAdjusted!BC35/YHHistoricalPricesAdjusted!BC34-1,  "")</f>
        <v>8.0489665486951134E-2</v>
      </c>
      <c r="BD35" s="37">
        <f>IFERROR(YHHistoricalPricesAdjusted!BD35/YHHistoricalPricesAdjusted!BD34-1,  "")</f>
        <v>0.1136950266591521</v>
      </c>
      <c r="BE35" s="37">
        <f>IFERROR(YHHistoricalPricesAdjusted!BE35/YHHistoricalPricesAdjusted!BE34-1,  "")</f>
        <v>7.1759756881010661E-2</v>
      </c>
      <c r="BF35" s="37">
        <f>IFERROR(YHHistoricalPricesAdjusted!BF35/YHHistoricalPricesAdjusted!BF34-1,  "")</f>
        <v>7.9074791727110627E-2</v>
      </c>
      <c r="BG35" s="37">
        <f>IFERROR(YHHistoricalPricesAdjusted!BG35/YHHistoricalPricesAdjusted!BG34-1,  "")</f>
        <v>3.4862334145161045E-2</v>
      </c>
      <c r="BH35" s="37">
        <f>IFERROR(YHHistoricalPricesAdjusted!BH35/YHHistoricalPricesAdjusted!BH34-1,  "")</f>
        <v>5.433293040844589E-2</v>
      </c>
      <c r="BI35" s="37">
        <f>IFERROR(YHHistoricalPricesAdjusted!BI35/YHHistoricalPricesAdjusted!BI34-1,  "")</f>
        <v>9.8424427023045657E-2</v>
      </c>
      <c r="BJ35" s="37">
        <f>IFERROR(YHHistoricalPricesAdjusted!BJ35/YHHistoricalPricesAdjusted!BJ34-1,  "")</f>
        <v>4.9242450578778296E-2</v>
      </c>
      <c r="BK35" s="37">
        <f>IFERROR(YHHistoricalPricesAdjusted!BK35/YHHistoricalPricesAdjusted!BK34-1,  "")</f>
        <v>-1.1736059281124644E-2</v>
      </c>
      <c r="BL35" s="37">
        <f>IFERROR(YHHistoricalPricesAdjusted!BL35/YHHistoricalPricesAdjusted!BL34-1,  "")</f>
        <v>0.10890906897407415</v>
      </c>
      <c r="BM35" s="37">
        <f>IFERROR(YHHistoricalPricesAdjusted!BM35/YHHistoricalPricesAdjusted!BM34-1,  "")</f>
        <v>9.0719093971104225E-2</v>
      </c>
      <c r="BN35" s="37">
        <f>IFERROR(YHHistoricalPricesAdjusted!BN35/YHHistoricalPricesAdjusted!BN34-1,  "")</f>
        <v>9.9696232840377874E-2</v>
      </c>
      <c r="BO35" s="37">
        <f>IFERROR(YHHistoricalPricesAdjusted!BO35/YHHistoricalPricesAdjusted!BO34-1,  "")</f>
        <v>0.12449977877893792</v>
      </c>
      <c r="BP35" s="37">
        <f>IFERROR(YHHistoricalPricesAdjusted!BP35/YHHistoricalPricesAdjusted!BP34-1,  "")</f>
        <v>0.18921488893807914</v>
      </c>
      <c r="BQ35" s="37">
        <f>IFERROR(YHHistoricalPricesAdjusted!BQ35/YHHistoricalPricesAdjusted!BQ34-1,  "")</f>
        <v>-4.6693637865665716E-2</v>
      </c>
      <c r="BR35" s="37">
        <f>IFERROR(YHHistoricalPricesAdjusted!BR35/YHHistoricalPricesAdjusted!BR34-1,  "")</f>
        <v>7.6578145956336607E-2</v>
      </c>
      <c r="BS35" s="37">
        <f>IFERROR(YHHistoricalPricesAdjusted!BS35/YHHistoricalPricesAdjusted!BS34-1,  "")</f>
        <v>0.13187182127146957</v>
      </c>
      <c r="BT35" s="37">
        <f>IFERROR(YHHistoricalPricesAdjusted!BT35/YHHistoricalPricesAdjusted!BT34-1,  "")</f>
        <v>4.5721618064469283E-3</v>
      </c>
      <c r="BU35" s="37">
        <f>IFERROR(YHHistoricalPricesAdjusted!BU35/YHHistoricalPricesAdjusted!BU34-1,  "")</f>
        <v>0.1117026312063385</v>
      </c>
      <c r="BV35" s="37">
        <f>IFERROR(YHHistoricalPricesAdjusted!BV35/YHHistoricalPricesAdjusted!BV34-1,  "")</f>
        <v>0.18933565412965514</v>
      </c>
      <c r="BW35" s="37">
        <f>IFERROR(YHHistoricalPricesAdjusted!BW35/YHHistoricalPricesAdjusted!BW34-1,  "")</f>
        <v>0.12342402621333015</v>
      </c>
      <c r="BX35" s="37">
        <f>IFERROR(YHHistoricalPricesAdjusted!BX35/YHHistoricalPricesAdjusted!BX34-1,  "")</f>
        <v>7.7453631190270267E-2</v>
      </c>
      <c r="BY35" s="37">
        <f>IFERROR(YHHistoricalPricesAdjusted!BY35/YHHistoricalPricesAdjusted!BY34-1,  "")</f>
        <v>0.11925679101253039</v>
      </c>
      <c r="BZ35" s="37">
        <f>IFERROR(YHHistoricalPricesAdjusted!BZ35/YHHistoricalPricesAdjusted!BZ34-1,  "")</f>
        <v>9.7802828038286549E-2</v>
      </c>
      <c r="CA35" s="37">
        <f>IFERROR(YHHistoricalPricesAdjusted!CA35/YHHistoricalPricesAdjusted!CA34-1,  "")</f>
        <v>0.10058436702494578</v>
      </c>
      <c r="CB35" s="37">
        <f>IFERROR(YHHistoricalPricesAdjusted!CB35/YHHistoricalPricesAdjusted!CB34-1,  "")</f>
        <v>8.1347845261491303E-2</v>
      </c>
      <c r="CC35" s="37">
        <f>IFERROR(YHHistoricalPricesAdjusted!CC35/YHHistoricalPricesAdjusted!CC34-1,  "")</f>
        <v>0.15091277630775246</v>
      </c>
      <c r="CD35" s="37">
        <f>IFERROR(YHHistoricalPricesAdjusted!CD35/YHHistoricalPricesAdjusted!CD34-1,  "")</f>
        <v>0.1342602750998827</v>
      </c>
      <c r="CE35" s="37">
        <f>IFERROR(YHHistoricalPricesAdjusted!CE35/YHHistoricalPricesAdjusted!CE34-1,  "")</f>
        <v>6.7419857906267699E-2</v>
      </c>
      <c r="CF35" s="37">
        <f>IFERROR(YHHistoricalPricesAdjusted!CF35/YHHistoricalPricesAdjusted!CF34-1,  "")</f>
        <v>0.10547389853137523</v>
      </c>
    </row>
    <row r="36" spans="1:84" x14ac:dyDescent="0.25">
      <c r="A36" s="17">
        <v>42338</v>
      </c>
      <c r="B36" s="37">
        <f>IFERROR(YHHistoricalPricesAdjusted!B36/YHHistoricalPricesAdjusted!B35-1,  "")</f>
        <v>-1.0041750686971884E-2</v>
      </c>
      <c r="C36" s="37">
        <f>IFERROR(YHHistoricalPricesAdjusted!C36/YHHistoricalPricesAdjusted!C35-1,  "")</f>
        <v>3.5269799612535069E-2</v>
      </c>
      <c r="D36" s="37">
        <f>IFERROR(YHHistoricalPricesAdjusted!D36/YHHistoricalPricesAdjusted!D35-1,  "")</f>
        <v>-4.711646945500636E-3</v>
      </c>
      <c r="E36" s="37">
        <f>IFERROR(YHHistoricalPricesAdjusted!E36/YHHistoricalPricesAdjusted!E35-1,  "")</f>
        <v>-2.3737519694884135E-3</v>
      </c>
      <c r="F36" s="37">
        <f>IFERROR(YHHistoricalPricesAdjusted!F36/YHHistoricalPricesAdjusted!F35-1,  "")</f>
        <v>1.7015529409912356E-2</v>
      </c>
      <c r="G36" s="37">
        <f>IFERROR(YHHistoricalPricesAdjusted!G36/YHHistoricalPricesAdjusted!G35-1,  "")</f>
        <v>2.7952438530210566E-2</v>
      </c>
      <c r="H36" s="37">
        <f>IFERROR(YHHistoricalPricesAdjusted!H36/YHHistoricalPricesAdjusted!H35-1,  "")</f>
        <v>6.3755106858887078E-3</v>
      </c>
      <c r="I36" s="37">
        <f>IFERROR(YHHistoricalPricesAdjusted!I36/YHHistoricalPricesAdjusted!I35-1,  "")</f>
        <v>-2.4450122762148307E-2</v>
      </c>
      <c r="J36" s="37">
        <f>IFERROR(YHHistoricalPricesAdjusted!J36/YHHistoricalPricesAdjusted!J35-1,  "")</f>
        <v>6.1318530954059813E-3</v>
      </c>
      <c r="K36" s="37">
        <f>IFERROR(YHHistoricalPricesAdjusted!K36/YHHistoricalPricesAdjusted!K35-1,  "")</f>
        <v>1.467953760832108E-2</v>
      </c>
      <c r="L36" s="37">
        <f>IFERROR(YHHistoricalPricesAdjusted!L36/YHHistoricalPricesAdjusted!L35-1,  "")</f>
        <v>6.3755106858887078E-3</v>
      </c>
      <c r="M36" s="37">
        <f>IFERROR(YHHistoricalPricesAdjusted!M36/YHHistoricalPricesAdjusted!M35-1,  "")</f>
        <v>-1.9864850726105998E-2</v>
      </c>
      <c r="N36" s="37">
        <f>IFERROR(YHHistoricalPricesAdjusted!N36/YHHistoricalPricesAdjusted!N35-1,  "")</f>
        <v>-1.3582809590460321E-2</v>
      </c>
      <c r="O36" s="37">
        <f>IFERROR(YHHistoricalPricesAdjusted!O36/YHHistoricalPricesAdjusted!O35-1,  "")</f>
        <v>0.11274345328953839</v>
      </c>
      <c r="P36" s="37">
        <f>IFERROR(YHHistoricalPricesAdjusted!P36/YHHistoricalPricesAdjusted!P35-1,  "")</f>
        <v>-1.305289734532189E-2</v>
      </c>
      <c r="Q36" s="37">
        <f>IFERROR(YHHistoricalPricesAdjusted!Q36/YHHistoricalPricesAdjusted!Q35-1,  "")</f>
        <v>4.8414835247261312E-3</v>
      </c>
      <c r="R36" s="37">
        <f>IFERROR(YHHistoricalPricesAdjusted!R36/YHHistoricalPricesAdjusted!R35-1,  "")</f>
        <v>3.4629077670072173E-2</v>
      </c>
      <c r="S36" s="37">
        <f>IFERROR(YHHistoricalPricesAdjusted!S36/YHHistoricalPricesAdjusted!S35-1,  "")</f>
        <v>-3.6502493814165593E-3</v>
      </c>
      <c r="T36" s="37">
        <f>IFERROR(YHHistoricalPricesAdjusted!T36/YHHistoricalPricesAdjusted!T35-1,  "")</f>
        <v>3.4034279152580726E-2</v>
      </c>
      <c r="U36" s="37">
        <f>IFERROR(YHHistoricalPricesAdjusted!U36/YHHistoricalPricesAdjusted!U35-1,  "")</f>
        <v>7.4752541323874766E-4</v>
      </c>
      <c r="V36" s="37">
        <f>IFERROR(YHHistoricalPricesAdjusted!V36/YHHistoricalPricesAdjusted!V35-1,  "")</f>
        <v>2.7108076163572248E-2</v>
      </c>
      <c r="W36" s="37">
        <f>IFERROR(YHHistoricalPricesAdjusted!W36/YHHistoricalPricesAdjusted!W35-1,  "")</f>
        <v>-6.3628404083803991E-2</v>
      </c>
      <c r="X36" s="37">
        <f>IFERROR(YHHistoricalPricesAdjusted!X36/YHHistoricalPricesAdjusted!X35-1,  "")</f>
        <v>5.4866940728641733E-2</v>
      </c>
      <c r="Y36" s="37">
        <f>IFERROR(YHHistoricalPricesAdjusted!Y36/YHHistoricalPricesAdjusted!Y35-1,  "")</f>
        <v>2.0785159767515715E-3</v>
      </c>
      <c r="Z36" s="37">
        <f>IFERROR(YHHistoricalPricesAdjusted!Z36/YHHistoricalPricesAdjusted!Z35-1,  "")</f>
        <v>-3.1046619592636104E-2</v>
      </c>
      <c r="AA36" s="37">
        <f>IFERROR(YHHistoricalPricesAdjusted!AA36/YHHistoricalPricesAdjusted!AA35-1,  "")</f>
        <v>-3.0186556480727655E-2</v>
      </c>
      <c r="AB36" s="37">
        <f>IFERROR(YHHistoricalPricesAdjusted!AB36/YHHistoricalPricesAdjusted!AB35-1,  "")</f>
        <v>-4.3046515048538292E-2</v>
      </c>
      <c r="AC36" s="37">
        <f>IFERROR(YHHistoricalPricesAdjusted!AC36/YHHistoricalPricesAdjusted!AC35-1,  "")</f>
        <v>-1.0612033186092829E-2</v>
      </c>
      <c r="AD36" s="37">
        <f>IFERROR(YHHistoricalPricesAdjusted!AD36/YHHistoricalPricesAdjusted!AD35-1,  "")</f>
        <v>-4.6686691915074352E-3</v>
      </c>
      <c r="AE36" s="37">
        <f>IFERROR(YHHistoricalPricesAdjusted!AE36/YHHistoricalPricesAdjusted!AE35-1,  "")</f>
        <v>4.09193193439501E-2</v>
      </c>
      <c r="AF36" s="37">
        <f>IFERROR(YHHistoricalPricesAdjusted!AF36/YHHistoricalPricesAdjusted!AF35-1,  "")</f>
        <v>-2.6855735939568248E-3</v>
      </c>
      <c r="AG36" s="37">
        <f>IFERROR(YHHistoricalPricesAdjusted!AG36/YHHistoricalPricesAdjusted!AG35-1,  "")</f>
        <v>1.7570499344712331E-2</v>
      </c>
      <c r="AH36" s="37">
        <f>IFERROR(YHHistoricalPricesAdjusted!AH36/YHHistoricalPricesAdjusted!AH35-1,  "")</f>
        <v>8.282117758950136E-2</v>
      </c>
      <c r="AI36" s="37">
        <f>IFERROR(YHHistoricalPricesAdjusted!AI36/YHHistoricalPricesAdjusted!AI35-1,  "")</f>
        <v>-7.6452116396544478E-2</v>
      </c>
      <c r="AJ36" s="37">
        <f>IFERROR(YHHistoricalPricesAdjusted!AJ36/YHHistoricalPricesAdjusted!AJ35-1,  "")</f>
        <v>-9.6771748891464227E-2</v>
      </c>
      <c r="AK36" s="37">
        <f>IFERROR(YHHistoricalPricesAdjusted!AK36/YHHistoricalPricesAdjusted!AK35-1,  "")</f>
        <v>-6.6748720007694717E-2</v>
      </c>
      <c r="AL36" s="37">
        <f>IFERROR(YHHistoricalPricesAdjusted!AL36/YHHistoricalPricesAdjusted!AL35-1,  "")</f>
        <v>-4.0621880613092687E-2</v>
      </c>
      <c r="AM36" s="37">
        <f>IFERROR(YHHistoricalPricesAdjusted!AM36/YHHistoricalPricesAdjusted!AM35-1,  "")</f>
        <v>-2.728505157424832E-2</v>
      </c>
      <c r="AN36" s="37">
        <f>IFERROR(YHHistoricalPricesAdjusted!AN36/YHHistoricalPricesAdjusted!AN35-1,  "")</f>
        <v>-2.2023837614061459E-2</v>
      </c>
      <c r="AO36" s="37">
        <f>IFERROR(YHHistoricalPricesAdjusted!AO36/YHHistoricalPricesAdjusted!AO35-1,  "")</f>
        <v>-6.0436450494367078E-2</v>
      </c>
      <c r="AP36" s="37">
        <f>IFERROR(YHHistoricalPricesAdjusted!AP36/YHHistoricalPricesAdjusted!AP35-1,  "")</f>
        <v>7.4997492750523698E-3</v>
      </c>
      <c r="AQ36" s="37">
        <f>IFERROR(YHHistoricalPricesAdjusted!AQ36/YHHistoricalPricesAdjusted!AQ35-1,  "")</f>
        <v>-9.4778429463737379E-2</v>
      </c>
      <c r="AR36" s="37">
        <f>IFERROR(YHHistoricalPricesAdjusted!AR36/YHHistoricalPricesAdjusted!AR35-1,  "")</f>
        <v>2.6503168609383065E-2</v>
      </c>
      <c r="AS36" s="37">
        <f>IFERROR(YHHistoricalPricesAdjusted!AS36/YHHistoricalPricesAdjusted!AS35-1,  "")</f>
        <v>7.60279932573793E-3</v>
      </c>
      <c r="AT36" s="37">
        <f>IFERROR(YHHistoricalPricesAdjusted!AT36/YHHistoricalPricesAdjusted!AT35-1,  "")</f>
        <v>2.6223744227653167E-2</v>
      </c>
      <c r="AU36" s="37">
        <f>IFERROR(YHHistoricalPricesAdjusted!AU36/YHHistoricalPricesAdjusted!AU35-1,  "")</f>
        <v>6.9735184891437374E-3</v>
      </c>
      <c r="AV36" s="37">
        <f>IFERROR(YHHistoricalPricesAdjusted!AV36/YHHistoricalPricesAdjusted!AV35-1,  "")</f>
        <v>-1.3583498141809258E-2</v>
      </c>
      <c r="AW36" s="37">
        <f>IFERROR(YHHistoricalPricesAdjusted!AW36/YHHistoricalPricesAdjusted!AW35-1,  "")</f>
        <v>-2.7274421105857649E-2</v>
      </c>
      <c r="AX36" s="37">
        <f>IFERROR(YHHistoricalPricesAdjusted!AX36/YHHistoricalPricesAdjusted!AX35-1,  "")</f>
        <v>-5.1909866620418077E-2</v>
      </c>
      <c r="AY36" s="37">
        <f>IFERROR(YHHistoricalPricesAdjusted!AY36/YHHistoricalPricesAdjusted!AY35-1,  "")</f>
        <v>-1.241678145952041E-2</v>
      </c>
      <c r="AZ36" s="37">
        <f>IFERROR(YHHistoricalPricesAdjusted!AZ36/YHHistoricalPricesAdjusted!AZ35-1,  "")</f>
        <v>-3.105184157921459E-2</v>
      </c>
      <c r="BA36" s="37">
        <f>IFERROR(YHHistoricalPricesAdjusted!BA36/YHHistoricalPricesAdjusted!BA35-1,  "")</f>
        <v>-1.3482080529312879E-2</v>
      </c>
      <c r="BB36" s="37">
        <f>IFERROR(YHHistoricalPricesAdjusted!BB36/YHHistoricalPricesAdjusted!BB35-1,  "")</f>
        <v>4.5309488662911956E-2</v>
      </c>
      <c r="BC36" s="37">
        <f>IFERROR(YHHistoricalPricesAdjusted!BC36/YHHistoricalPricesAdjusted!BC35-1,  "")</f>
        <v>3.8736467882768411E-2</v>
      </c>
      <c r="BD36" s="37">
        <f>IFERROR(YHHistoricalPricesAdjusted!BD36/YHHistoricalPricesAdjusted!BD35-1,  "")</f>
        <v>1.8432813738308518E-2</v>
      </c>
      <c r="BE36" s="37">
        <f>IFERROR(YHHistoricalPricesAdjusted!BE36/YHHistoricalPricesAdjusted!BE35-1,  "")</f>
        <v>1.8233111493195286E-2</v>
      </c>
      <c r="BF36" s="37">
        <f>IFERROR(YHHistoricalPricesAdjusted!BF36/YHHistoricalPricesAdjusted!BF35-1,  "")</f>
        <v>1.3439927245141536E-2</v>
      </c>
      <c r="BG36" s="37">
        <f>IFERROR(YHHistoricalPricesAdjusted!BG36/YHHistoricalPricesAdjusted!BG35-1,  "")</f>
        <v>4.0540364552561492E-2</v>
      </c>
      <c r="BH36" s="37">
        <f>IFERROR(YHHistoricalPricesAdjusted!BH36/YHHistoricalPricesAdjusted!BH35-1,  "")</f>
        <v>1.7731782814647268E-2</v>
      </c>
      <c r="BI36" s="37">
        <f>IFERROR(YHHistoricalPricesAdjusted!BI36/YHHistoricalPricesAdjusted!BI35-1,  "")</f>
        <v>-9.121053120492606E-3</v>
      </c>
      <c r="BJ36" s="37">
        <f>IFERROR(YHHistoricalPricesAdjusted!BJ36/YHHistoricalPricesAdjusted!BJ35-1,  "")</f>
        <v>-1.6067839221206359E-2</v>
      </c>
      <c r="BK36" s="37">
        <f>IFERROR(YHHistoricalPricesAdjusted!BK36/YHHistoricalPricesAdjusted!BK35-1,  "")</f>
        <v>-1.8411772994358477E-2</v>
      </c>
      <c r="BL36" s="37">
        <f>IFERROR(YHHistoricalPricesAdjusted!BL36/YHHistoricalPricesAdjusted!BL35-1,  "")</f>
        <v>-4.0073248904791692E-3</v>
      </c>
      <c r="BM36" s="37">
        <f>IFERROR(YHHistoricalPricesAdjusted!BM36/YHHistoricalPricesAdjusted!BM35-1,  "")</f>
        <v>6.4872141246743453E-3</v>
      </c>
      <c r="BN36" s="37">
        <f>IFERROR(YHHistoricalPricesAdjusted!BN36/YHHistoricalPricesAdjusted!BN35-1,  "")</f>
        <v>3.3007894375413072E-2</v>
      </c>
      <c r="BO36" s="37">
        <f>IFERROR(YHHistoricalPricesAdjusted!BO36/YHHistoricalPricesAdjusted!BO35-1,  "")</f>
        <v>2.2188369129953367E-2</v>
      </c>
      <c r="BP36" s="37">
        <f>IFERROR(YHHistoricalPricesAdjusted!BP36/YHHistoricalPricesAdjusted!BP35-1,  "")</f>
        <v>3.9890630378722092E-2</v>
      </c>
      <c r="BQ36" s="37">
        <f>IFERROR(YHHistoricalPricesAdjusted!BQ36/YHHistoricalPricesAdjusted!BQ35-1,  "")</f>
        <v>-3.0335224569702612E-2</v>
      </c>
      <c r="BR36" s="37">
        <f>IFERROR(YHHistoricalPricesAdjusted!BR36/YHHistoricalPricesAdjusted!BR35-1,  "")</f>
        <v>3.091525425378383E-2</v>
      </c>
      <c r="BS36" s="37">
        <f>IFERROR(YHHistoricalPricesAdjusted!BS36/YHHistoricalPricesAdjusted!BS35-1,  "")</f>
        <v>1.8107761624328811E-2</v>
      </c>
      <c r="BT36" s="37">
        <f>IFERROR(YHHistoricalPricesAdjusted!BT36/YHHistoricalPricesAdjusted!BT35-1,  "")</f>
        <v>4.2912807726585012E-2</v>
      </c>
      <c r="BU36" s="37">
        <f>IFERROR(YHHistoricalPricesAdjusted!BU36/YHHistoricalPricesAdjusted!BU35-1,  "")</f>
        <v>-5.9004625294943991E-2</v>
      </c>
      <c r="BV36" s="37">
        <f>IFERROR(YHHistoricalPricesAdjusted!BV36/YHHistoricalPricesAdjusted!BV35-1,  "")</f>
        <v>3.2484811142779568E-2</v>
      </c>
      <c r="BW36" s="37">
        <f>IFERROR(YHHistoricalPricesAdjusted!BW36/YHHistoricalPricesAdjusted!BW35-1,  "")</f>
        <v>2.6875491710761645E-2</v>
      </c>
      <c r="BX36" s="37">
        <f>IFERROR(YHHistoricalPricesAdjusted!BX36/YHHistoricalPricesAdjusted!BX35-1,  "")</f>
        <v>-1.790988248065073E-2</v>
      </c>
      <c r="BY36" s="37">
        <f>IFERROR(YHHistoricalPricesAdjusted!BY36/YHHistoricalPricesAdjusted!BY35-1,  "")</f>
        <v>2.5479385220427142E-2</v>
      </c>
      <c r="BZ36" s="37">
        <f>IFERROR(YHHistoricalPricesAdjusted!BZ36/YHHistoricalPricesAdjusted!BZ35-1,  "")</f>
        <v>3.1839266449032566E-2</v>
      </c>
      <c r="CA36" s="37">
        <f>IFERROR(YHHistoricalPricesAdjusted!CA36/YHHistoricalPricesAdjusted!CA35-1,  "")</f>
        <v>2.9073479597099272E-2</v>
      </c>
      <c r="CB36" s="37">
        <f>IFERROR(YHHistoricalPricesAdjusted!CB36/YHHistoricalPricesAdjusted!CB35-1,  "")</f>
        <v>-2.2033354779841585E-2</v>
      </c>
      <c r="CC36" s="37">
        <f>IFERROR(YHHistoricalPricesAdjusted!CC36/YHHistoricalPricesAdjusted!CC35-1,  "")</f>
        <v>0.11808236908684155</v>
      </c>
      <c r="CD36" s="37">
        <f>IFERROR(YHHistoricalPricesAdjusted!CD36/YHHistoricalPricesAdjusted!CD35-1,  "")</f>
        <v>2.2261419807184213E-2</v>
      </c>
      <c r="CE36" s="37">
        <f>IFERROR(YHHistoricalPricesAdjusted!CE36/YHHistoricalPricesAdjusted!CE35-1,  "")</f>
        <v>2.4224026665664145E-2</v>
      </c>
      <c r="CF36" s="37">
        <f>IFERROR(YHHistoricalPricesAdjusted!CF36/YHHistoricalPricesAdjusted!CF35-1,  "")</f>
        <v>-3.8043420171704256E-2</v>
      </c>
    </row>
    <row r="37" spans="1:84" x14ac:dyDescent="0.25">
      <c r="A37" s="17">
        <v>42369</v>
      </c>
      <c r="B37" s="37">
        <f>IFERROR(YHHistoricalPricesAdjusted!B37/YHHistoricalPricesAdjusted!B36-1,  "")</f>
        <v>-0.10641957519580247</v>
      </c>
      <c r="C37" s="37">
        <f>IFERROR(YHHistoricalPricesAdjusted!C37/YHHistoricalPricesAdjusted!C36-1,  "")</f>
        <v>4.0414132467074371E-2</v>
      </c>
      <c r="D37" s="37">
        <f>IFERROR(YHHistoricalPricesAdjusted!D37/YHHistoricalPricesAdjusted!D36-1,  "")</f>
        <v>-3.6515269044720133E-3</v>
      </c>
      <c r="E37" s="37">
        <f>IFERROR(YHHistoricalPricesAdjusted!E37/YHHistoricalPricesAdjusted!E36-1,  "")</f>
        <v>-7.3940295721833138E-2</v>
      </c>
      <c r="F37" s="37">
        <f>IFERROR(YHHistoricalPricesAdjusted!F37/YHHistoricalPricesAdjusted!F36-1,  "")</f>
        <v>4.2977304998224053E-2</v>
      </c>
      <c r="G37" s="37">
        <f>IFERROR(YHHistoricalPricesAdjusted!G37/YHHistoricalPricesAdjusted!G36-1,  "")</f>
        <v>4.1808226739886489E-2</v>
      </c>
      <c r="H37" s="37">
        <f>IFERROR(YHHistoricalPricesAdjusted!H37/YHHistoricalPricesAdjusted!H36-1,  "")</f>
        <v>1.5707742239871925E-2</v>
      </c>
      <c r="I37" s="37">
        <f>IFERROR(YHHistoricalPricesAdjusted!I37/YHHistoricalPricesAdjusted!I36-1,  "")</f>
        <v>-6.9735842755160871E-3</v>
      </c>
      <c r="J37" s="37">
        <f>IFERROR(YHHistoricalPricesAdjusted!J37/YHHistoricalPricesAdjusted!J36-1,  "")</f>
        <v>-1.224412229198335E-2</v>
      </c>
      <c r="K37" s="37">
        <f>IFERROR(YHHistoricalPricesAdjusted!K37/YHHistoricalPricesAdjusted!K36-1,  "")</f>
        <v>-1.1091483363357191E-2</v>
      </c>
      <c r="L37" s="37">
        <f>IFERROR(YHHistoricalPricesAdjusted!L37/YHHistoricalPricesAdjusted!L36-1,  "")</f>
        <v>1.5707742239871925E-2</v>
      </c>
      <c r="M37" s="37">
        <f>IFERROR(YHHistoricalPricesAdjusted!M37/YHHistoricalPricesAdjusted!M36-1,  "")</f>
        <v>-2.3962419107276256E-3</v>
      </c>
      <c r="N37" s="37">
        <f>IFERROR(YHHistoricalPricesAdjusted!N37/YHHistoricalPricesAdjusted!N36-1,  "")</f>
        <v>-2.2949814807991076E-2</v>
      </c>
      <c r="O37" s="37">
        <f>IFERROR(YHHistoricalPricesAdjusted!O37/YHHistoricalPricesAdjusted!O36-1,  "")</f>
        <v>4.2343438772332043E-2</v>
      </c>
      <c r="P37" s="37">
        <f>IFERROR(YHHistoricalPricesAdjusted!P37/YHHistoricalPricesAdjusted!P36-1,  "")</f>
        <v>-3.7110944098606824E-2</v>
      </c>
      <c r="Q37" s="37">
        <f>IFERROR(YHHistoricalPricesAdjusted!Q37/YHHistoricalPricesAdjusted!Q36-1,  "")</f>
        <v>-2.8614019791316503E-3</v>
      </c>
      <c r="R37" s="37">
        <f>IFERROR(YHHistoricalPricesAdjusted!R37/YHHistoricalPricesAdjusted!R36-1,  "")</f>
        <v>-5.7289383297819518E-2</v>
      </c>
      <c r="S37" s="37">
        <f>IFERROR(YHHistoricalPricesAdjusted!S37/YHHistoricalPricesAdjusted!S36-1,  "")</f>
        <v>-9.5420451227069103E-2</v>
      </c>
      <c r="T37" s="37">
        <f>IFERROR(YHHistoricalPricesAdjusted!T37/YHHistoricalPricesAdjusted!T36-1,  "")</f>
        <v>-3.0831052877300369E-3</v>
      </c>
      <c r="U37" s="37">
        <f>IFERROR(YHHistoricalPricesAdjusted!U37/YHHistoricalPricesAdjusted!U36-1,  "")</f>
        <v>4.57430090713844E-2</v>
      </c>
      <c r="V37" s="37">
        <f>IFERROR(YHHistoricalPricesAdjusted!V37/YHHistoricalPricesAdjusted!V36-1,  "")</f>
        <v>3.5308983565377483E-2</v>
      </c>
      <c r="W37" s="37">
        <f>IFERROR(YHHistoricalPricesAdjusted!W37/YHHistoricalPricesAdjusted!W36-1,  "")</f>
        <v>-0.12800251188578782</v>
      </c>
      <c r="X37" s="37">
        <f>IFERROR(YHHistoricalPricesAdjusted!X37/YHHistoricalPricesAdjusted!X36-1,  "")</f>
        <v>-6.9264844281669458E-2</v>
      </c>
      <c r="Y37" s="37">
        <f>IFERROR(YHHistoricalPricesAdjusted!Y37/YHHistoricalPricesAdjusted!Y36-1,  "")</f>
        <v>2.2098311904691359E-2</v>
      </c>
      <c r="Z37" s="37">
        <f>IFERROR(YHHistoricalPricesAdjusted!Z37/YHHistoricalPricesAdjusted!Z36-1,  "")</f>
        <v>-7.0020281119944627E-3</v>
      </c>
      <c r="AA37" s="37">
        <f>IFERROR(YHHistoricalPricesAdjusted!AA37/YHHistoricalPricesAdjusted!AA36-1,  "")</f>
        <v>-3.5842165085276934E-3</v>
      </c>
      <c r="AB37" s="37">
        <f>IFERROR(YHHistoricalPricesAdjusted!AB37/YHHistoricalPricesAdjusted!AB36-1,  "")</f>
        <v>4.3740676234487186E-2</v>
      </c>
      <c r="AC37" s="37">
        <f>IFERROR(YHHistoricalPricesAdjusted!AC37/YHHistoricalPricesAdjusted!AC36-1,  "")</f>
        <v>-6.3179826887096446E-3</v>
      </c>
      <c r="AD37" s="37">
        <f>IFERROR(YHHistoricalPricesAdjusted!AD37/YHHistoricalPricesAdjusted!AD36-1,  "")</f>
        <v>-1.5909795046201047E-2</v>
      </c>
      <c r="AE37" s="37">
        <f>IFERROR(YHHistoricalPricesAdjusted!AE37/YHHistoricalPricesAdjusted!AE36-1,  "")</f>
        <v>2.6076104760659691E-2</v>
      </c>
      <c r="AF37" s="37">
        <f>IFERROR(YHHistoricalPricesAdjusted!AF37/YHHistoricalPricesAdjusted!AF36-1,  "")</f>
        <v>6.7113173139361049E-2</v>
      </c>
      <c r="AG37" s="37">
        <f>IFERROR(YHHistoricalPricesAdjusted!AG37/YHHistoricalPricesAdjusted!AG36-1,  "")</f>
        <v>-4.4282906000659983E-3</v>
      </c>
      <c r="AH37" s="37">
        <f>IFERROR(YHHistoricalPricesAdjusted!AH37/YHHistoricalPricesAdjusted!AH36-1,  "")</f>
        <v>-1.2175073239892198E-2</v>
      </c>
      <c r="AI37" s="37">
        <f>IFERROR(YHHistoricalPricesAdjusted!AI37/YHHistoricalPricesAdjusted!AI36-1,  "")</f>
        <v>-5.1359262589790067E-2</v>
      </c>
      <c r="AJ37" s="37">
        <f>IFERROR(YHHistoricalPricesAdjusted!AJ37/YHHistoricalPricesAdjusted!AJ36-1,  "")</f>
        <v>1.1647812271673441E-2</v>
      </c>
      <c r="AK37" s="37">
        <f>IFERROR(YHHistoricalPricesAdjusted!AK37/YHHistoricalPricesAdjusted!AK36-1,  "")</f>
        <v>-3.7781073824523892E-2</v>
      </c>
      <c r="AL37" s="37">
        <f>IFERROR(YHHistoricalPricesAdjusted!AL37/YHHistoricalPricesAdjusted!AL36-1,  "")</f>
        <v>1.2545750080720675E-2</v>
      </c>
      <c r="AM37" s="37">
        <f>IFERROR(YHHistoricalPricesAdjusted!AM37/YHHistoricalPricesAdjusted!AM36-1,  "")</f>
        <v>9.6072908233467924E-2</v>
      </c>
      <c r="AN37" s="37">
        <f>IFERROR(YHHistoricalPricesAdjusted!AN37/YHHistoricalPricesAdjusted!AN36-1,  "")</f>
        <v>-4.6053937937684974E-2</v>
      </c>
      <c r="AO37" s="37">
        <f>IFERROR(YHHistoricalPricesAdjusted!AO37/YHHistoricalPricesAdjusted!AO36-1,  "")</f>
        <v>-6.2412098898928847E-2</v>
      </c>
      <c r="AP37" s="37">
        <f>IFERROR(YHHistoricalPricesAdjusted!AP37/YHHistoricalPricesAdjusted!AP36-1,  "")</f>
        <v>3.5172733769879061E-2</v>
      </c>
      <c r="AQ37" s="37">
        <f>IFERROR(YHHistoricalPricesAdjusted!AQ37/YHHistoricalPricesAdjusted!AQ36-1,  "")</f>
        <v>-0.17202999579735989</v>
      </c>
      <c r="AR37" s="37">
        <f>IFERROR(YHHistoricalPricesAdjusted!AR37/YHHistoricalPricesAdjusted!AR36-1,  "")</f>
        <v>8.3845004573797066E-3</v>
      </c>
      <c r="AS37" s="37">
        <f>IFERROR(YHHistoricalPricesAdjusted!AS37/YHHistoricalPricesAdjusted!AS36-1,  "")</f>
        <v>4.0516329637079629E-2</v>
      </c>
      <c r="AT37" s="37">
        <f>IFERROR(YHHistoricalPricesAdjusted!AT37/YHHistoricalPricesAdjusted!AT36-1,  "")</f>
        <v>2.1711087998721457E-2</v>
      </c>
      <c r="AU37" s="37">
        <f>IFERROR(YHHistoricalPricesAdjusted!AU37/YHHistoricalPricesAdjusted!AU36-1,  "")</f>
        <v>4.0554833903869048E-2</v>
      </c>
      <c r="AV37" s="37">
        <f>IFERROR(YHHistoricalPricesAdjusted!AV37/YHHistoricalPricesAdjusted!AV36-1,  "")</f>
        <v>5.464027795044335E-2</v>
      </c>
      <c r="AW37" s="37">
        <f>IFERROR(YHHistoricalPricesAdjusted!AW37/YHHistoricalPricesAdjusted!AW36-1,  "")</f>
        <v>5.6573542487654116E-2</v>
      </c>
      <c r="AX37" s="37">
        <f>IFERROR(YHHistoricalPricesAdjusted!AX37/YHHistoricalPricesAdjusted!AX36-1,  "")</f>
        <v>7.9738788615292044E-2</v>
      </c>
      <c r="AY37" s="37">
        <f>IFERROR(YHHistoricalPricesAdjusted!AY37/YHHistoricalPricesAdjusted!AY36-1,  "")</f>
        <v>6.332686234318774E-2</v>
      </c>
      <c r="AZ37" s="37">
        <f>IFERROR(YHHistoricalPricesAdjusted!AZ37/YHHistoricalPricesAdjusted!AZ36-1,  "")</f>
        <v>-5.2604909006399247E-2</v>
      </c>
      <c r="BA37" s="37">
        <f>IFERROR(YHHistoricalPricesAdjusted!BA37/YHHistoricalPricesAdjusted!BA36-1,  "")</f>
        <v>-3.7269060158697798E-3</v>
      </c>
      <c r="BB37" s="37">
        <f>IFERROR(YHHistoricalPricesAdjusted!BB37/YHHistoricalPricesAdjusted!BB36-1,  "")</f>
        <v>-9.7480636879099247E-3</v>
      </c>
      <c r="BC37" s="37">
        <f>IFERROR(YHHistoricalPricesAdjusted!BC37/YHHistoricalPricesAdjusted!BC36-1,  "")</f>
        <v>-3.4423531590304646E-2</v>
      </c>
      <c r="BD37" s="37">
        <f>IFERROR(YHHistoricalPricesAdjusted!BD37/YHHistoricalPricesAdjusted!BD36-1,  "")</f>
        <v>-1.6714683069462999E-2</v>
      </c>
      <c r="BE37" s="37">
        <f>IFERROR(YHHistoricalPricesAdjusted!BE37/YHHistoricalPricesAdjusted!BE36-1,  "")</f>
        <v>-4.3261218725898609E-2</v>
      </c>
      <c r="BF37" s="37">
        <f>IFERROR(YHHistoricalPricesAdjusted!BF37/YHHistoricalPricesAdjusted!BF36-1,  "")</f>
        <v>-4.8273068939825303E-2</v>
      </c>
      <c r="BG37" s="37">
        <f>IFERROR(YHHistoricalPricesAdjusted!BG37/YHHistoricalPricesAdjusted!BG36-1,  "")</f>
        <v>-2.7796686258115377E-2</v>
      </c>
      <c r="BH37" s="37">
        <f>IFERROR(YHHistoricalPricesAdjusted!BH37/YHHistoricalPricesAdjusted!BH36-1,  "")</f>
        <v>-6.6485155083997327E-3</v>
      </c>
      <c r="BI37" s="37">
        <f>IFERROR(YHHistoricalPricesAdjusted!BI37/YHHistoricalPricesAdjusted!BI36-1,  "")</f>
        <v>-5.71910576668333E-3</v>
      </c>
      <c r="BJ37" s="37">
        <f>IFERROR(YHHistoricalPricesAdjusted!BJ37/YHHistoricalPricesAdjusted!BJ36-1,  "")</f>
        <v>-9.8148119425501057E-2</v>
      </c>
      <c r="BK37" s="37">
        <f>IFERROR(YHHistoricalPricesAdjusted!BK37/YHHistoricalPricesAdjusted!BK36-1,  "")</f>
        <v>-2.9173432331082938E-2</v>
      </c>
      <c r="BL37" s="37">
        <f>IFERROR(YHHistoricalPricesAdjusted!BL37/YHHistoricalPricesAdjusted!BL36-1,  "")</f>
        <v>-3.1615026160047965E-2</v>
      </c>
      <c r="BM37" s="37">
        <f>IFERROR(YHHistoricalPricesAdjusted!BM37/YHHistoricalPricesAdjusted!BM36-1,  "")</f>
        <v>2.1647767309875832E-3</v>
      </c>
      <c r="BN37" s="37">
        <f>IFERROR(YHHistoricalPricesAdjusted!BN37/YHHistoricalPricesAdjusted!BN36-1,  "")</f>
        <v>-3.6414268976085129E-2</v>
      </c>
      <c r="BO37" s="37">
        <f>IFERROR(YHHistoricalPricesAdjusted!BO37/YHHistoricalPricesAdjusted!BO36-1,  "")</f>
        <v>-1.3832893450486328E-2</v>
      </c>
      <c r="BP37" s="37">
        <f>IFERROR(YHHistoricalPricesAdjusted!BP37/YHHistoricalPricesAdjusted!BP36-1,  "")</f>
        <v>-1.9122495354725988E-2</v>
      </c>
      <c r="BQ37" s="37">
        <f>IFERROR(YHHistoricalPricesAdjusted!BQ37/YHHistoricalPricesAdjusted!BQ36-1,  "")</f>
        <v>-0.11432390566133921</v>
      </c>
      <c r="BR37" s="37">
        <f>IFERROR(YHHistoricalPricesAdjusted!BR37/YHHistoricalPricesAdjusted!BR36-1,  "")</f>
        <v>-2.7791961725226022E-2</v>
      </c>
      <c r="BS37" s="37">
        <f>IFERROR(YHHistoricalPricesAdjusted!BS37/YHHistoricalPricesAdjusted!BS36-1,  "")</f>
        <v>-0.11553844571462157</v>
      </c>
      <c r="BT37" s="37">
        <f>IFERROR(YHHistoricalPricesAdjusted!BT37/YHHistoricalPricesAdjusted!BT36-1,  "")</f>
        <v>-0.1315460772398781</v>
      </c>
      <c r="BU37" s="37">
        <f>IFERROR(YHHistoricalPricesAdjusted!BU37/YHHistoricalPricesAdjusted!BU36-1,  "")</f>
        <v>-1.9720083426753243E-2</v>
      </c>
      <c r="BV37" s="37">
        <f>IFERROR(YHHistoricalPricesAdjusted!BV37/YHHistoricalPricesAdjusted!BV36-1,  "")</f>
        <v>2.7671491455374619E-2</v>
      </c>
      <c r="BW37" s="37">
        <f>IFERROR(YHHistoricalPricesAdjusted!BW37/YHHistoricalPricesAdjusted!BW36-1,  "")</f>
        <v>-2.2239810034284657E-3</v>
      </c>
      <c r="BX37" s="37">
        <f>IFERROR(YHHistoricalPricesAdjusted!BX37/YHHistoricalPricesAdjusted!BX36-1,  "")</f>
        <v>1.6941901786008629E-2</v>
      </c>
      <c r="BY37" s="37">
        <f>IFERROR(YHHistoricalPricesAdjusted!BY37/YHHistoricalPricesAdjusted!BY36-1,  "")</f>
        <v>-1.6187727037577537E-2</v>
      </c>
      <c r="BZ37" s="37">
        <f>IFERROR(YHHistoricalPricesAdjusted!BZ37/YHHistoricalPricesAdjusted!BZ36-1,  "")</f>
        <v>-3.6926165059529725E-2</v>
      </c>
      <c r="CA37" s="37">
        <f>IFERROR(YHHistoricalPricesAdjusted!CA37/YHHistoricalPricesAdjusted!CA36-1,  "")</f>
        <v>1.7196830011210862E-2</v>
      </c>
      <c r="CB37" s="37">
        <f>IFERROR(YHHistoricalPricesAdjusted!CB37/YHHistoricalPricesAdjusted!CB36-1,  "")</f>
        <v>-7.6171978072867574E-3</v>
      </c>
      <c r="CC37" s="37">
        <f>IFERROR(YHHistoricalPricesAdjusted!CC37/YHHistoricalPricesAdjusted!CC36-1,  "")</f>
        <v>4.3037729061438545E-2</v>
      </c>
      <c r="CD37" s="37">
        <f>IFERROR(YHHistoricalPricesAdjusted!CD37/YHHistoricalPricesAdjusted!CD36-1,  "")</f>
        <v>4.0292211057026961E-3</v>
      </c>
      <c r="CE37" s="37">
        <f>IFERROR(YHHistoricalPricesAdjusted!CE37/YHHistoricalPricesAdjusted!CE36-1,  "")</f>
        <v>-5.5821165333296729E-2</v>
      </c>
      <c r="CF37" s="37">
        <f>IFERROR(YHHistoricalPricesAdjusted!CF37/YHHistoricalPricesAdjusted!CF36-1,  "")</f>
        <v>-0.11111111111111105</v>
      </c>
    </row>
    <row r="38" spans="1:84" x14ac:dyDescent="0.25">
      <c r="A38" s="17">
        <v>42400</v>
      </c>
      <c r="B38" s="37">
        <f>IFERROR(YHHistoricalPricesAdjusted!B38/YHHistoricalPricesAdjusted!B37-1,  "")</f>
        <v>-7.524229523764403E-2</v>
      </c>
      <c r="C38" s="37">
        <f>IFERROR(YHHistoricalPricesAdjusted!C38/YHHistoricalPricesAdjusted!C37-1,  "")</f>
        <v>-5.8823222149576138E-2</v>
      </c>
      <c r="D38" s="37">
        <f>IFERROR(YHHistoricalPricesAdjusted!D38/YHHistoricalPricesAdjusted!D37-1,  "")</f>
        <v>-9.3227721168161692E-2</v>
      </c>
      <c r="E38" s="37">
        <f>IFERROR(YHHistoricalPricesAdjusted!E38/YHHistoricalPricesAdjusted!E37-1,  "")</f>
        <v>-8.2277932146680888E-2</v>
      </c>
      <c r="F38" s="37">
        <f>IFERROR(YHHistoricalPricesAdjusted!F38/YHHistoricalPricesAdjusted!F37-1,  "")</f>
        <v>4.774006699805966E-2</v>
      </c>
      <c r="G38" s="37">
        <f>IFERROR(YHHistoricalPricesAdjusted!G38/YHHistoricalPricesAdjusted!G37-1,  "")</f>
        <v>9.1612474240721387E-2</v>
      </c>
      <c r="H38" s="37">
        <f>IFERROR(YHHistoricalPricesAdjusted!H38/YHHistoricalPricesAdjusted!H37-1,  "")</f>
        <v>-9.3124063863081474E-4</v>
      </c>
      <c r="I38" s="37">
        <f>IFERROR(YHHistoricalPricesAdjusted!I38/YHHistoricalPricesAdjusted!I37-1,  "")</f>
        <v>-0.1213368980481383</v>
      </c>
      <c r="J38" s="37">
        <f>IFERROR(YHHistoricalPricesAdjusted!J38/YHHistoricalPricesAdjusted!J37-1,  "")</f>
        <v>4.6051003227677745E-2</v>
      </c>
      <c r="K38" s="37">
        <f>IFERROR(YHHistoricalPricesAdjusted!K38/YHHistoricalPricesAdjusted!K37-1,  "")</f>
        <v>-2.4463672953164539E-2</v>
      </c>
      <c r="L38" s="37">
        <f>IFERROR(YHHistoricalPricesAdjusted!L38/YHHistoricalPricesAdjusted!L37-1,  "")</f>
        <v>-9.3124063863081474E-4</v>
      </c>
      <c r="M38" s="37">
        <f>IFERROR(YHHistoricalPricesAdjusted!M38/YHHistoricalPricesAdjusted!M37-1,  "")</f>
        <v>7.516260916209383E-4</v>
      </c>
      <c r="N38" s="37">
        <f>IFERROR(YHHistoricalPricesAdjusted!N38/YHHistoricalPricesAdjusted!N37-1,  "")</f>
        <v>-0.14870302111786005</v>
      </c>
      <c r="O38" s="37">
        <f>IFERROR(YHHistoricalPricesAdjusted!O38/YHHistoricalPricesAdjusted!O37-1,  "")</f>
        <v>-0.20336652229837349</v>
      </c>
      <c r="P38" s="37">
        <f>IFERROR(YHHistoricalPricesAdjusted!P38/YHHistoricalPricesAdjusted!P37-1,  "")</f>
        <v>-1.2829490417403111E-3</v>
      </c>
      <c r="Q38" s="37">
        <f>IFERROR(YHHistoricalPricesAdjusted!Q38/YHHistoricalPricesAdjusted!Q37-1,  "")</f>
        <v>-3.8795014884413281E-2</v>
      </c>
      <c r="R38" s="37">
        <f>IFERROR(YHHistoricalPricesAdjusted!R38/YHHistoricalPricesAdjusted!R37-1,  "")</f>
        <v>-1.5138747920784179E-2</v>
      </c>
      <c r="S38" s="37">
        <f>IFERROR(YHHistoricalPricesAdjusted!S38/YHHistoricalPricesAdjusted!S37-1,  "")</f>
        <v>-0.16022424945329905</v>
      </c>
      <c r="T38" s="37">
        <f>IFERROR(YHHistoricalPricesAdjusted!T38/YHHistoricalPricesAdjusted!T37-1,  "")</f>
        <v>-1.7798214015483871E-2</v>
      </c>
      <c r="U38" s="37">
        <f>IFERROR(YHHistoricalPricesAdjusted!U38/YHHistoricalPricesAdjusted!U37-1,  "")</f>
        <v>-5.4596528619119788E-2</v>
      </c>
      <c r="V38" s="37">
        <f>IFERROR(YHHistoricalPricesAdjusted!V38/YHHistoricalPricesAdjusted!V37-1,  "")</f>
        <v>-8.0389897582536118E-2</v>
      </c>
      <c r="W38" s="37">
        <f>IFERROR(YHHistoricalPricesAdjusted!W38/YHHistoricalPricesAdjusted!W37-1,  "")</f>
        <v>-0.11883641950919976</v>
      </c>
      <c r="X38" s="37">
        <f>IFERROR(YHHistoricalPricesAdjusted!X38/YHHistoricalPricesAdjusted!X37-1,  "")</f>
        <v>6.464090194576233E-2</v>
      </c>
      <c r="Y38" s="37">
        <f>IFERROR(YHHistoricalPricesAdjusted!Y38/YHHistoricalPricesAdjusted!Y37-1,  "")</f>
        <v>1.6744604427344933E-2</v>
      </c>
      <c r="Z38" s="37">
        <f>IFERROR(YHHistoricalPricesAdjusted!Z38/YHHistoricalPricesAdjusted!Z37-1,  "")</f>
        <v>-5.5452115698898852E-2</v>
      </c>
      <c r="AA38" s="37">
        <f>IFERROR(YHHistoricalPricesAdjusted!AA38/YHHistoricalPricesAdjusted!AA37-1,  "")</f>
        <v>-3.2414337807454285E-2</v>
      </c>
      <c r="AB38" s="37">
        <f>IFERROR(YHHistoricalPricesAdjusted!AB38/YHHistoricalPricesAdjusted!AB37-1,  "")</f>
        <v>-1.685302510633413E-2</v>
      </c>
      <c r="AC38" s="37">
        <f>IFERROR(YHHistoricalPricesAdjusted!AC38/YHHistoricalPricesAdjusted!AC37-1,  "")</f>
        <v>2.8833406603241629E-2</v>
      </c>
      <c r="AD38" s="37">
        <f>IFERROR(YHHistoricalPricesAdjusted!AD38/YHHistoricalPricesAdjusted!AD37-1,  "")</f>
        <v>-5.7326987960380715E-2</v>
      </c>
      <c r="AE38" s="37">
        <f>IFERROR(YHHistoricalPricesAdjusted!AE38/YHHistoricalPricesAdjusted!AE37-1,  "")</f>
        <v>-0.21346019274975936</v>
      </c>
      <c r="AF38" s="37">
        <f>IFERROR(YHHistoricalPricesAdjusted!AF38/YHHistoricalPricesAdjusted!AF37-1,  "")</f>
        <v>-5.6615980783902065E-2</v>
      </c>
      <c r="AG38" s="37">
        <f>IFERROR(YHHistoricalPricesAdjusted!AG38/YHHistoricalPricesAdjusted!AG37-1,  "")</f>
        <v>-8.9824021366557871E-2</v>
      </c>
      <c r="AH38" s="37">
        <f>IFERROR(YHHistoricalPricesAdjusted!AH38/YHHistoricalPricesAdjusted!AH37-1,  "")</f>
        <v>-4.4864520887376247E-2</v>
      </c>
      <c r="AI38" s="37">
        <f>IFERROR(YHHistoricalPricesAdjusted!AI38/YHHistoricalPricesAdjusted!AI37-1,  "")</f>
        <v>-8.5918735256773071E-2</v>
      </c>
      <c r="AJ38" s="37">
        <f>IFERROR(YHHistoricalPricesAdjusted!AJ38/YHHistoricalPricesAdjusted!AJ37-1,  "")</f>
        <v>-0.1871279493406437</v>
      </c>
      <c r="AK38" s="37">
        <f>IFERROR(YHHistoricalPricesAdjusted!AK38/YHHistoricalPricesAdjusted!AK37-1,  "")</f>
        <v>-0.10667590598928944</v>
      </c>
      <c r="AL38" s="37">
        <f>IFERROR(YHHistoricalPricesAdjusted!AL38/YHHistoricalPricesAdjusted!AL37-1,  "")</f>
        <v>-0.14455336173332067</v>
      </c>
      <c r="AM38" s="37">
        <f>IFERROR(YHHistoricalPricesAdjusted!AM38/YHHistoricalPricesAdjusted!AM37-1,  "")</f>
        <v>-9.3283530206368259E-2</v>
      </c>
      <c r="AN38" s="37">
        <f>IFERROR(YHHistoricalPricesAdjusted!AN38/YHHistoricalPricesAdjusted!AN37-1,  "")</f>
        <v>-0.17737137829551375</v>
      </c>
      <c r="AO38" s="37">
        <f>IFERROR(YHHistoricalPricesAdjusted!AO38/YHHistoricalPricesAdjusted!AO37-1,  "")</f>
        <v>-7.9283838799723449E-2</v>
      </c>
      <c r="AP38" s="37">
        <f>IFERROR(YHHistoricalPricesAdjusted!AP38/YHHistoricalPricesAdjusted!AP37-1,  "")</f>
        <v>2.7001562245583477E-2</v>
      </c>
      <c r="AQ38" s="37">
        <f>IFERROR(YHHistoricalPricesAdjusted!AQ38/YHHistoricalPricesAdjusted!AQ37-1,  "")</f>
        <v>-5.6017515189944578E-2</v>
      </c>
      <c r="AR38" s="37">
        <f>IFERROR(YHHistoricalPricesAdjusted!AR38/YHHistoricalPricesAdjusted!AR37-1,  "")</f>
        <v>8.2241122895748919E-2</v>
      </c>
      <c r="AS38" s="37">
        <f>IFERROR(YHHistoricalPricesAdjusted!AS38/YHHistoricalPricesAdjusted!AS37-1,  "")</f>
        <v>7.8212244146221854E-2</v>
      </c>
      <c r="AT38" s="37">
        <f>IFERROR(YHHistoricalPricesAdjusted!AT38/YHHistoricalPricesAdjusted!AT37-1,  "")</f>
        <v>5.805379771877317E-2</v>
      </c>
      <c r="AU38" s="37">
        <f>IFERROR(YHHistoricalPricesAdjusted!AU38/YHHistoricalPricesAdjusted!AU37-1,  "")</f>
        <v>8.6359732439060144E-2</v>
      </c>
      <c r="AV38" s="37">
        <f>IFERROR(YHHistoricalPricesAdjusted!AV38/YHHistoricalPricesAdjusted!AV37-1,  "")</f>
        <v>0.1294397365273896</v>
      </c>
      <c r="AW38" s="37">
        <f>IFERROR(YHHistoricalPricesAdjusted!AW38/YHHistoricalPricesAdjusted!AW37-1,  "")</f>
        <v>7.5272032095059282E-2</v>
      </c>
      <c r="AX38" s="37">
        <f>IFERROR(YHHistoricalPricesAdjusted!AX38/YHHistoricalPricesAdjusted!AX37-1,  "")</f>
        <v>5.4769515177595984E-2</v>
      </c>
      <c r="AY38" s="37">
        <f>IFERROR(YHHistoricalPricesAdjusted!AY38/YHHistoricalPricesAdjusted!AY37-1,  "")</f>
        <v>4.5522424893184921E-2</v>
      </c>
      <c r="AZ38" s="37">
        <f>IFERROR(YHHistoricalPricesAdjusted!AZ38/YHHistoricalPricesAdjusted!AZ37-1,  "")</f>
        <v>1.5439691091653218E-2</v>
      </c>
      <c r="BA38" s="37">
        <f>IFERROR(YHHistoricalPricesAdjusted!BA38/YHHistoricalPricesAdjusted!BA37-1,  "")</f>
        <v>6.9761180757616836E-2</v>
      </c>
      <c r="BB38" s="37">
        <f>IFERROR(YHHistoricalPricesAdjusted!BB38/YHHistoricalPricesAdjusted!BB37-1,  "")</f>
        <v>-9.8894439549725655E-2</v>
      </c>
      <c r="BC38" s="37">
        <f>IFERROR(YHHistoricalPricesAdjusted!BC38/YHHistoricalPricesAdjusted!BC37-1,  "")</f>
        <v>-0.15746813148190242</v>
      </c>
      <c r="BD38" s="37">
        <f>IFERROR(YHHistoricalPricesAdjusted!BD38/YHHistoricalPricesAdjusted!BD37-1,  "")</f>
        <v>-3.945853651309339E-2</v>
      </c>
      <c r="BE38" s="37">
        <f>IFERROR(YHHistoricalPricesAdjusted!BE38/YHHistoricalPricesAdjusted!BE37-1,  "")</f>
        <v>-0.17719793433073161</v>
      </c>
      <c r="BF38" s="37">
        <f>IFERROR(YHHistoricalPricesAdjusted!BF38/YHHistoricalPricesAdjusted!BF37-1,  "")</f>
        <v>-0.10358980047816979</v>
      </c>
      <c r="BG38" s="37">
        <f>IFERROR(YHHistoricalPricesAdjusted!BG38/YHHistoricalPricesAdjusted!BG37-1,  "")</f>
        <v>-5.5572801764284252E-2</v>
      </c>
      <c r="BH38" s="37">
        <f>IFERROR(YHHistoricalPricesAdjusted!BH38/YHHistoricalPricesAdjusted!BH37-1,  "")</f>
        <v>-7.5975062737370536E-2</v>
      </c>
      <c r="BI38" s="37">
        <f>IFERROR(YHHistoricalPricesAdjusted!BI38/YHHistoricalPricesAdjusted!BI37-1,  "")</f>
        <v>-8.5558705577205352E-2</v>
      </c>
      <c r="BJ38" s="37">
        <f>IFERROR(YHHistoricalPricesAdjusted!BJ38/YHHistoricalPricesAdjusted!BJ37-1,  "")</f>
        <v>-0.13963015269965362</v>
      </c>
      <c r="BK38" s="37">
        <f>IFERROR(YHHistoricalPricesAdjusted!BK38/YHHistoricalPricesAdjusted!BK37-1,  "")</f>
        <v>-0.23076926423544308</v>
      </c>
      <c r="BL38" s="37">
        <f>IFERROR(YHHistoricalPricesAdjusted!BL38/YHHistoricalPricesAdjusted!BL37-1,  "")</f>
        <v>2.389959922754592E-3</v>
      </c>
      <c r="BM38" s="37">
        <f>IFERROR(YHHistoricalPricesAdjusted!BM38/YHHistoricalPricesAdjusted!BM37-1,  "")</f>
        <v>-3.5723574324194596E-3</v>
      </c>
      <c r="BN38" s="37">
        <f>IFERROR(YHHistoricalPricesAdjusted!BN38/YHHistoricalPricesAdjusted!BN37-1,  "")</f>
        <v>-6.5308006460293666E-2</v>
      </c>
      <c r="BO38" s="37">
        <f>IFERROR(YHHistoricalPricesAdjusted!BO38/YHHistoricalPricesAdjusted!BO37-1,  "")</f>
        <v>-2.2425032232929021E-2</v>
      </c>
      <c r="BP38" s="37">
        <f>IFERROR(YHHistoricalPricesAdjusted!BP38/YHHistoricalPricesAdjusted!BP37-1,  "")</f>
        <v>-7.4398123454541665E-2</v>
      </c>
      <c r="BQ38" s="37">
        <f>IFERROR(YHHistoricalPricesAdjusted!BQ38/YHHistoricalPricesAdjusted!BQ37-1,  "")</f>
        <v>2.136142655113682E-2</v>
      </c>
      <c r="BR38" s="37">
        <f>IFERROR(YHHistoricalPricesAdjusted!BR38/YHHistoricalPricesAdjusted!BR37-1,  "")</f>
        <v>-5.3517753980624416E-2</v>
      </c>
      <c r="BS38" s="37">
        <f>IFERROR(YHHistoricalPricesAdjusted!BS38/YHHistoricalPricesAdjusted!BS37-1,  "")</f>
        <v>-5.4455493618735473E-2</v>
      </c>
      <c r="BT38" s="37">
        <f>IFERROR(YHHistoricalPricesAdjusted!BT38/YHHistoricalPricesAdjusted!BT37-1,  "")</f>
        <v>-0.1328068877873112</v>
      </c>
      <c r="BU38" s="37">
        <f>IFERROR(YHHistoricalPricesAdjusted!BU38/YHHistoricalPricesAdjusted!BU37-1,  "")</f>
        <v>-0.16232503488481409</v>
      </c>
      <c r="BV38" s="37">
        <f>IFERROR(YHHistoricalPricesAdjusted!BV38/YHHistoricalPricesAdjusted!BV37-1,  "")</f>
        <v>-7.0293771348484135E-3</v>
      </c>
      <c r="BW38" s="37">
        <f>IFERROR(YHHistoricalPricesAdjusted!BW38/YHHistoricalPricesAdjusted!BW37-1,  "")</f>
        <v>-9.9564595917427612E-2</v>
      </c>
      <c r="BX38" s="37">
        <f>IFERROR(YHHistoricalPricesAdjusted!BX38/YHHistoricalPricesAdjusted!BX37-1,  "")</f>
        <v>8.1133702525402418E-2</v>
      </c>
      <c r="BY38" s="37">
        <f>IFERROR(YHHistoricalPricesAdjusted!BY38/YHHistoricalPricesAdjusted!BY37-1,  "")</f>
        <v>-0.1318878027579643</v>
      </c>
      <c r="BZ38" s="37">
        <f>IFERROR(YHHistoricalPricesAdjusted!BZ38/YHHistoricalPricesAdjusted!BZ37-1,  "")</f>
        <v>-1.0258891526508496E-2</v>
      </c>
      <c r="CA38" s="37">
        <f>IFERROR(YHHistoricalPricesAdjusted!CA38/YHHistoricalPricesAdjusted!CA37-1,  "")</f>
        <v>-0.15408761391347925</v>
      </c>
      <c r="CB38" s="37">
        <f>IFERROR(YHHistoricalPricesAdjusted!CB38/YHHistoricalPricesAdjusted!CB37-1,  "")</f>
        <v>-4.659457297297287E-2</v>
      </c>
      <c r="CC38" s="37">
        <f>IFERROR(YHHistoricalPricesAdjusted!CC38/YHHistoricalPricesAdjusted!CC37-1,  "")</f>
        <v>-0.11134705144616941</v>
      </c>
      <c r="CD38" s="37">
        <f>IFERROR(YHHistoricalPricesAdjusted!CD38/YHHistoricalPricesAdjusted!CD37-1,  "")</f>
        <v>7.2138302230525309E-2</v>
      </c>
      <c r="CE38" s="37">
        <f>IFERROR(YHHistoricalPricesAdjusted!CE38/YHHistoricalPricesAdjusted!CE37-1,  "")</f>
        <v>-0.17156055332064224</v>
      </c>
      <c r="CF38" s="37">
        <f>IFERROR(YHHistoricalPricesAdjusted!CF38/YHHistoricalPricesAdjusted!CF37-1,  "")</f>
        <v>-0.221045197740113</v>
      </c>
    </row>
    <row r="39" spans="1:84" x14ac:dyDescent="0.25">
      <c r="A39" s="17">
        <v>42429</v>
      </c>
      <c r="B39" s="37">
        <f>IFERROR(YHHistoricalPricesAdjusted!B39/YHHistoricalPricesAdjusted!B38-1,  "")</f>
        <v>-6.6775983912803483E-3</v>
      </c>
      <c r="C39" s="37">
        <f>IFERROR(YHHistoricalPricesAdjusted!C39/YHHistoricalPricesAdjusted!C38-1,  "")</f>
        <v>1.3746180491545079E-3</v>
      </c>
      <c r="D39" s="37">
        <f>IFERROR(YHHistoricalPricesAdjusted!D39/YHHistoricalPricesAdjusted!D38-1,  "")</f>
        <v>5.0004009128213678E-2</v>
      </c>
      <c r="E39" s="37">
        <f>IFERROR(YHHistoricalPricesAdjusted!E39/YHHistoricalPricesAdjusted!E38-1,  "")</f>
        <v>-3.130902857186868E-3</v>
      </c>
      <c r="F39" s="37">
        <f>IFERROR(YHHistoricalPricesAdjusted!F39/YHHistoricalPricesAdjusted!F38-1,  "")</f>
        <v>-5.3239626338624779E-2</v>
      </c>
      <c r="G39" s="37">
        <f>IFERROR(YHHistoricalPricesAdjusted!G39/YHHistoricalPricesAdjusted!G38-1,  "")</f>
        <v>-3.015052828475584E-4</v>
      </c>
      <c r="H39" s="37">
        <f>IFERROR(YHHistoricalPricesAdjusted!H39/YHHistoricalPricesAdjusted!H38-1,  "")</f>
        <v>4.892974691615759E-3</v>
      </c>
      <c r="I39" s="37">
        <f>IFERROR(YHHistoricalPricesAdjusted!I39/YHHistoricalPricesAdjusted!I38-1,  "")</f>
        <v>8.0043216632577074E-2</v>
      </c>
      <c r="J39" s="37">
        <f>IFERROR(YHHistoricalPricesAdjusted!J39/YHHistoricalPricesAdjusted!J38-1,  "")</f>
        <v>-5.005936622606566E-2</v>
      </c>
      <c r="K39" s="37">
        <f>IFERROR(YHHistoricalPricesAdjusted!K39/YHHistoricalPricesAdjusted!K38-1,  "")</f>
        <v>-0.13271671766950799</v>
      </c>
      <c r="L39" s="37">
        <f>IFERROR(YHHistoricalPricesAdjusted!L39/YHHistoricalPricesAdjusted!L38-1,  "")</f>
        <v>4.892974691615759E-3</v>
      </c>
      <c r="M39" s="37">
        <f>IFERROR(YHHistoricalPricesAdjusted!M39/YHHistoricalPricesAdjusted!M38-1,  "")</f>
        <v>-1.4904345767527194E-2</v>
      </c>
      <c r="N39" s="37">
        <f>IFERROR(YHHistoricalPricesAdjusted!N39/YHHistoricalPricesAdjusted!N38-1,  "")</f>
        <v>-4.8482630906859892E-2</v>
      </c>
      <c r="O39" s="37">
        <f>IFERROR(YHHistoricalPricesAdjusted!O39/YHHistoricalPricesAdjusted!O38-1,  "")</f>
        <v>3.8179707712024946E-3</v>
      </c>
      <c r="P39" s="37">
        <f>IFERROR(YHHistoricalPricesAdjusted!P39/YHHistoricalPricesAdjusted!P38-1,  "")</f>
        <v>2.9544143748243989E-2</v>
      </c>
      <c r="Q39" s="37">
        <f>IFERROR(YHHistoricalPricesAdjusted!Q39/YHHistoricalPricesAdjusted!Q38-1,  "")</f>
        <v>-3.5040857072548448E-2</v>
      </c>
      <c r="R39" s="37">
        <f>IFERROR(YHHistoricalPricesAdjusted!R39/YHHistoricalPricesAdjusted!R38-1,  "")</f>
        <v>5.8004558256190775E-2</v>
      </c>
      <c r="S39" s="37">
        <f>IFERROR(YHHistoricalPricesAdjusted!S39/YHHistoricalPricesAdjusted!S38-1,  "")</f>
        <v>-5.1890801209987236E-2</v>
      </c>
      <c r="T39" s="37">
        <f>IFERROR(YHHistoricalPricesAdjusted!T39/YHHistoricalPricesAdjusted!T38-1,  "")</f>
        <v>-0.11687747501330126</v>
      </c>
      <c r="U39" s="37">
        <f>IFERROR(YHHistoricalPricesAdjusted!U39/YHHistoricalPricesAdjusted!U38-1,  "")</f>
        <v>6.8009164745105544E-2</v>
      </c>
      <c r="V39" s="37">
        <f>IFERROR(YHHistoricalPricesAdjusted!V39/YHHistoricalPricesAdjusted!V38-1,  "")</f>
        <v>-1.1885957417795412E-3</v>
      </c>
      <c r="W39" s="37">
        <f>IFERROR(YHHistoricalPricesAdjusted!W39/YHHistoricalPricesAdjusted!W38-1,  "")</f>
        <v>0.10580908901237662</v>
      </c>
      <c r="X39" s="37">
        <f>IFERROR(YHHistoricalPricesAdjusted!X39/YHHistoricalPricesAdjusted!X38-1,  "")</f>
        <v>4.9506279247080176E-3</v>
      </c>
      <c r="Y39" s="37">
        <f>IFERROR(YHHistoricalPricesAdjusted!Y39/YHHistoricalPricesAdjusted!Y38-1,  "")</f>
        <v>7.3724210669687817E-3</v>
      </c>
      <c r="Z39" s="37">
        <f>IFERROR(YHHistoricalPricesAdjusted!Z39/YHHistoricalPricesAdjusted!Z38-1,  "")</f>
        <v>-2.6894137636703896E-2</v>
      </c>
      <c r="AA39" s="37">
        <f>IFERROR(YHHistoricalPricesAdjusted!AA39/YHHistoricalPricesAdjusted!AA38-1,  "")</f>
        <v>-9.0784195169075765E-3</v>
      </c>
      <c r="AB39" s="37">
        <f>IFERROR(YHHistoricalPricesAdjusted!AB39/YHHistoricalPricesAdjusted!AB38-1,  "")</f>
        <v>3.4213194758649257E-2</v>
      </c>
      <c r="AC39" s="37">
        <f>IFERROR(YHHistoricalPricesAdjusted!AC39/YHHistoricalPricesAdjusted!AC38-1,  "")</f>
        <v>-5.3175639358460369E-3</v>
      </c>
      <c r="AD39" s="37">
        <f>IFERROR(YHHistoricalPricesAdjusted!AD39/YHHistoricalPricesAdjusted!AD38-1,  "")</f>
        <v>-2.0152766802679745E-2</v>
      </c>
      <c r="AE39" s="37">
        <f>IFERROR(YHHistoricalPricesAdjusted!AE39/YHHistoricalPricesAdjusted!AE38-1,  "")</f>
        <v>-1.0066553011852553E-2</v>
      </c>
      <c r="AF39" s="37">
        <f>IFERROR(YHHistoricalPricesAdjusted!AF39/YHHistoricalPricesAdjusted!AF38-1,  "")</f>
        <v>-6.2414539182144013E-3</v>
      </c>
      <c r="AG39" s="37">
        <f>IFERROR(YHHistoricalPricesAdjusted!AG39/YHHistoricalPricesAdjusted!AG38-1,  "")</f>
        <v>1.9969759814091104E-2</v>
      </c>
      <c r="AH39" s="37">
        <f>IFERROR(YHHistoricalPricesAdjusted!AH39/YHHistoricalPricesAdjusted!AH38-1,  "")</f>
        <v>-1.304067782952667E-2</v>
      </c>
      <c r="AI39" s="37">
        <f>IFERROR(YHHistoricalPricesAdjusted!AI39/YHHistoricalPricesAdjusted!AI38-1,  "")</f>
        <v>0.11210834354868604</v>
      </c>
      <c r="AJ39" s="37">
        <f>IFERROR(YHHistoricalPricesAdjusted!AJ39/YHHistoricalPricesAdjusted!AJ38-1,  "")</f>
        <v>3.0383892867112294E-2</v>
      </c>
      <c r="AK39" s="37">
        <f>IFERROR(YHHistoricalPricesAdjusted!AK39/YHHistoricalPricesAdjusted!AK38-1,  "")</f>
        <v>0.12234197471123887</v>
      </c>
      <c r="AL39" s="37">
        <f>IFERROR(YHHistoricalPricesAdjusted!AL39/YHHistoricalPricesAdjusted!AL38-1,  "")</f>
        <v>0.14031392698904033</v>
      </c>
      <c r="AM39" s="37">
        <f>IFERROR(YHHistoricalPricesAdjusted!AM39/YHHistoricalPricesAdjusted!AM38-1,  "")</f>
        <v>9.0089864730702462E-3</v>
      </c>
      <c r="AN39" s="37">
        <f>IFERROR(YHHistoricalPricesAdjusted!AN39/YHHistoricalPricesAdjusted!AN38-1,  "")</f>
        <v>0.19312311374095126</v>
      </c>
      <c r="AO39" s="37">
        <f>IFERROR(YHHistoricalPricesAdjusted!AO39/YHHistoricalPricesAdjusted!AO38-1,  "")</f>
        <v>9.5277835217209228E-2</v>
      </c>
      <c r="AP39" s="37">
        <f>IFERROR(YHHistoricalPricesAdjusted!AP39/YHHistoricalPricesAdjusted!AP38-1,  "")</f>
        <v>0.16773448722596918</v>
      </c>
      <c r="AQ39" s="37">
        <f>IFERROR(YHHistoricalPricesAdjusted!AQ39/YHHistoricalPricesAdjusted!AQ38-1,  "")</f>
        <v>0.12404795654447764</v>
      </c>
      <c r="AR39" s="37">
        <f>IFERROR(YHHistoricalPricesAdjusted!AR39/YHHistoricalPricesAdjusted!AR38-1,  "")</f>
        <v>-6.5859197210477505E-2</v>
      </c>
      <c r="AS39" s="37">
        <f>IFERROR(YHHistoricalPricesAdjusted!AS39/YHHistoricalPricesAdjusted!AS38-1,  "")</f>
        <v>-1.4746914504024877E-2</v>
      </c>
      <c r="AT39" s="37">
        <f>IFERROR(YHHistoricalPricesAdjusted!AT39/YHHistoricalPricesAdjusted!AT38-1,  "")</f>
        <v>-3.0447103935185127E-2</v>
      </c>
      <c r="AU39" s="37">
        <f>IFERROR(YHHistoricalPricesAdjusted!AU39/YHHistoricalPricesAdjusted!AU38-1,  "")</f>
        <v>-1.3865329717805963E-3</v>
      </c>
      <c r="AV39" s="37">
        <f>IFERROR(YHHistoricalPricesAdjusted!AV39/YHHistoricalPricesAdjusted!AV38-1,  "")</f>
        <v>-2.8884187681209372E-2</v>
      </c>
      <c r="AW39" s="37">
        <f>IFERROR(YHHistoricalPricesAdjusted!AW39/YHHistoricalPricesAdjusted!AW38-1,  "")</f>
        <v>9.9363930150726532E-3</v>
      </c>
      <c r="AX39" s="37">
        <f>IFERROR(YHHistoricalPricesAdjusted!AX39/YHHistoricalPricesAdjusted!AX38-1,  "")</f>
        <v>-1.354591949406414E-2</v>
      </c>
      <c r="AY39" s="37">
        <f>IFERROR(YHHistoricalPricesAdjusted!AY39/YHHistoricalPricesAdjusted!AY38-1,  "")</f>
        <v>-1.5126588954814668E-2</v>
      </c>
      <c r="AZ39" s="37">
        <f>IFERROR(YHHistoricalPricesAdjusted!AZ39/YHHistoricalPricesAdjusted!AZ38-1,  "")</f>
        <v>1.8575139809542396E-2</v>
      </c>
      <c r="BA39" s="37">
        <f>IFERROR(YHHistoricalPricesAdjusted!BA39/YHHistoricalPricesAdjusted!BA38-1,  "")</f>
        <v>-1.0469326699573345E-2</v>
      </c>
      <c r="BB39" s="37">
        <f>IFERROR(YHHistoricalPricesAdjusted!BB39/YHHistoricalPricesAdjusted!BB38-1,  "")</f>
        <v>-4.7433990049437713E-2</v>
      </c>
      <c r="BC39" s="37">
        <f>IFERROR(YHHistoricalPricesAdjusted!BC39/YHHistoricalPricesAdjusted!BC38-1,  "")</f>
        <v>-0.11456863711251775</v>
      </c>
      <c r="BD39" s="37">
        <f>IFERROR(YHHistoricalPricesAdjusted!BD39/YHHistoricalPricesAdjusted!BD38-1,  "")</f>
        <v>-2.8191670894047061E-2</v>
      </c>
      <c r="BE39" s="37">
        <f>IFERROR(YHHistoricalPricesAdjusted!BE39/YHHistoricalPricesAdjusted!BE38-1,  "")</f>
        <v>-8.6473612518480403E-2</v>
      </c>
      <c r="BF39" s="37">
        <f>IFERROR(YHHistoricalPricesAdjusted!BF39/YHHistoricalPricesAdjusted!BF38-1,  "")</f>
        <v>-7.446137653201812E-2</v>
      </c>
      <c r="BG39" s="37">
        <f>IFERROR(YHHistoricalPricesAdjusted!BG39/YHHistoricalPricesAdjusted!BG38-1,  "")</f>
        <v>-3.8442403536964709E-2</v>
      </c>
      <c r="BH39" s="37">
        <f>IFERROR(YHHistoricalPricesAdjusted!BH39/YHHistoricalPricesAdjusted!BH38-1,  "")</f>
        <v>-6.5896921402987418E-2</v>
      </c>
      <c r="BI39" s="37">
        <f>IFERROR(YHHistoricalPricesAdjusted!BI39/YHHistoricalPricesAdjusted!BI38-1,  "")</f>
        <v>-2.1742942409368471E-2</v>
      </c>
      <c r="BJ39" s="37">
        <f>IFERROR(YHHistoricalPricesAdjusted!BJ39/YHHistoricalPricesAdjusted!BJ38-1,  "")</f>
        <v>-3.5447623796959093E-2</v>
      </c>
      <c r="BK39" s="37">
        <f>IFERROR(YHHistoricalPricesAdjusted!BK39/YHHistoricalPricesAdjusted!BK38-1,  "")</f>
        <v>4.3425371176342153E-2</v>
      </c>
      <c r="BL39" s="37">
        <f>IFERROR(YHHistoricalPricesAdjusted!BL39/YHHistoricalPricesAdjusted!BL38-1,  "")</f>
        <v>3.887416304839153E-2</v>
      </c>
      <c r="BM39" s="37">
        <f>IFERROR(YHHistoricalPricesAdjusted!BM39/YHHistoricalPricesAdjusted!BM38-1,  "")</f>
        <v>-1.7926427134441258E-2</v>
      </c>
      <c r="BN39" s="37">
        <f>IFERROR(YHHistoricalPricesAdjusted!BN39/YHHistoricalPricesAdjusted!BN38-1,  "")</f>
        <v>3.0236827891698681E-2</v>
      </c>
      <c r="BO39" s="37">
        <f>IFERROR(YHHistoricalPricesAdjusted!BO39/YHHistoricalPricesAdjusted!BO38-1,  "")</f>
        <v>4.6408406370737287E-2</v>
      </c>
      <c r="BP39" s="37">
        <f>IFERROR(YHHistoricalPricesAdjusted!BP39/YHHistoricalPricesAdjusted!BP38-1,  "")</f>
        <v>-4.2528389977030456E-2</v>
      </c>
      <c r="BQ39" s="37">
        <f>IFERROR(YHHistoricalPricesAdjusted!BQ39/YHHistoricalPricesAdjusted!BQ38-1,  "")</f>
        <v>8.5437686079242736E-2</v>
      </c>
      <c r="BR39" s="37">
        <f>IFERROR(YHHistoricalPricesAdjusted!BR39/YHHistoricalPricesAdjusted!BR38-1,  "")</f>
        <v>4.1190184775365291E-2</v>
      </c>
      <c r="BS39" s="37">
        <f>IFERROR(YHHistoricalPricesAdjusted!BS39/YHHistoricalPricesAdjusted!BS38-1,  "")</f>
        <v>0.18600031975297582</v>
      </c>
      <c r="BT39" s="37">
        <f>IFERROR(YHHistoricalPricesAdjusted!BT39/YHHistoricalPricesAdjusted!BT38-1,  "")</f>
        <v>2.2847631693786896E-2</v>
      </c>
      <c r="BU39" s="37">
        <f>IFERROR(YHHistoricalPricesAdjusted!BU39/YHHistoricalPricesAdjusted!BU38-1,  "")</f>
        <v>2.4789696494137869E-2</v>
      </c>
      <c r="BV39" s="37">
        <f>IFERROR(YHHistoricalPricesAdjusted!BV39/YHHistoricalPricesAdjusted!BV38-1,  "")</f>
        <v>-7.6420462180727955E-2</v>
      </c>
      <c r="BW39" s="37">
        <f>IFERROR(YHHistoricalPricesAdjusted!BW39/YHHistoricalPricesAdjusted!BW38-1,  "")</f>
        <v>-4.6099177699195248E-2</v>
      </c>
      <c r="BX39" s="37">
        <f>IFERROR(YHHistoricalPricesAdjusted!BX39/YHHistoricalPricesAdjusted!BX38-1,  "")</f>
        <v>2.7696191198764764E-2</v>
      </c>
      <c r="BY39" s="37">
        <f>IFERROR(YHHistoricalPricesAdjusted!BY39/YHHistoricalPricesAdjusted!BY38-1,  "")</f>
        <v>-4.5547753322001672E-3</v>
      </c>
      <c r="BZ39" s="37">
        <f>IFERROR(YHHistoricalPricesAdjusted!BZ39/YHHistoricalPricesAdjusted!BZ38-1,  "")</f>
        <v>1.4993473433263294E-2</v>
      </c>
      <c r="CA39" s="37">
        <f>IFERROR(YHHistoricalPricesAdjusted!CA39/YHHistoricalPricesAdjusted!CA38-1,  "")</f>
        <v>-6.7095000695431839E-2</v>
      </c>
      <c r="CB39" s="37">
        <f>IFERROR(YHHistoricalPricesAdjusted!CB39/YHHistoricalPricesAdjusted!CB38-1,  "")</f>
        <v>-5.8623482058657861E-2</v>
      </c>
      <c r="CC39" s="37">
        <f>IFERROR(YHHistoricalPricesAdjusted!CC39/YHHistoricalPricesAdjusted!CC38-1,  "")</f>
        <v>7.0672662900421068E-2</v>
      </c>
      <c r="CD39" s="37">
        <f>IFERROR(YHHistoricalPricesAdjusted!CD39/YHHistoricalPricesAdjusted!CD38-1,  "")</f>
        <v>-4.7143757661026187E-2</v>
      </c>
      <c r="CE39" s="37">
        <f>IFERROR(YHHistoricalPricesAdjusted!CE39/YHHistoricalPricesAdjusted!CE38-1,  "")</f>
        <v>0.10092691022662481</v>
      </c>
      <c r="CF39" s="37">
        <f>IFERROR(YHHistoricalPricesAdjusted!CF39/YHHistoricalPricesAdjusted!CF38-1,  "")</f>
        <v>-3.6264732547597323E-2</v>
      </c>
    </row>
    <row r="40" spans="1:84" x14ac:dyDescent="0.25">
      <c r="A40" s="17">
        <v>42460</v>
      </c>
      <c r="B40" s="37">
        <f>IFERROR(YHHistoricalPricesAdjusted!B40/YHHistoricalPricesAdjusted!B39-1,  "")</f>
        <v>0.13332713627196635</v>
      </c>
      <c r="C40" s="37">
        <f>IFERROR(YHHistoricalPricesAdjusted!C40/YHHistoricalPricesAdjusted!C39-1,  "")</f>
        <v>9.9673786790827279E-2</v>
      </c>
      <c r="D40" s="37">
        <f>IFERROR(YHHistoricalPricesAdjusted!D40/YHHistoricalPricesAdjusted!D39-1,  "")</f>
        <v>0.16764858652910863</v>
      </c>
      <c r="E40" s="37">
        <f>IFERROR(YHHistoricalPricesAdjusted!E40/YHHistoricalPricesAdjusted!E39-1,  "")</f>
        <v>3.967756728539884E-2</v>
      </c>
      <c r="F40" s="37">
        <f>IFERROR(YHHistoricalPricesAdjusted!F40/YHHistoricalPricesAdjusted!F39-1,  "")</f>
        <v>8.0570995910603349E-2</v>
      </c>
      <c r="G40" s="37">
        <f>IFERROR(YHHistoricalPricesAdjusted!G40/YHHistoricalPricesAdjusted!G39-1,  "")</f>
        <v>3.2408683185717102E-2</v>
      </c>
      <c r="H40" s="37">
        <f>IFERROR(YHHistoricalPricesAdjusted!H40/YHHistoricalPricesAdjusted!H39-1,  "")</f>
        <v>7.5585416438626485E-2</v>
      </c>
      <c r="I40" s="37">
        <f>IFERROR(YHHistoricalPricesAdjusted!I40/YHHistoricalPricesAdjusted!I39-1,  "")</f>
        <v>6.2148768978996571E-2</v>
      </c>
      <c r="J40" s="37">
        <f>IFERROR(YHHistoricalPricesAdjusted!J40/YHHistoricalPricesAdjusted!J39-1,  "")</f>
        <v>9.3060907000783955E-2</v>
      </c>
      <c r="K40" s="37">
        <f>IFERROR(YHHistoricalPricesAdjusted!K40/YHHistoricalPricesAdjusted!K39-1,  "")</f>
        <v>2.1325571769183371E-2</v>
      </c>
      <c r="L40" s="37">
        <f>IFERROR(YHHistoricalPricesAdjusted!L40/YHHistoricalPricesAdjusted!L39-1,  "")</f>
        <v>7.5585416438626485E-2</v>
      </c>
      <c r="M40" s="37">
        <f>IFERROR(YHHistoricalPricesAdjusted!M40/YHHistoricalPricesAdjusted!M39-1,  "")</f>
        <v>4.7638628194669463E-2</v>
      </c>
      <c r="N40" s="37">
        <f>IFERROR(YHHistoricalPricesAdjusted!N40/YHHistoricalPricesAdjusted!N39-1,  "")</f>
        <v>6.3399507896854557E-2</v>
      </c>
      <c r="O40" s="37">
        <f>IFERROR(YHHistoricalPricesAdjusted!O40/YHHistoricalPricesAdjusted!O39-1,  "")</f>
        <v>0.19715527734115024</v>
      </c>
      <c r="P40" s="37">
        <f>IFERROR(YHHistoricalPricesAdjusted!P40/YHHistoricalPricesAdjusted!P39-1,  "")</f>
        <v>5.2385316750000355E-2</v>
      </c>
      <c r="Q40" s="37">
        <f>IFERROR(YHHistoricalPricesAdjusted!Q40/YHHistoricalPricesAdjusted!Q39-1,  "")</f>
        <v>0.15783832035949108</v>
      </c>
      <c r="R40" s="37">
        <f>IFERROR(YHHistoricalPricesAdjusted!R40/YHHistoricalPricesAdjusted!R39-1,  "")</f>
        <v>5.5799335916611792E-2</v>
      </c>
      <c r="S40" s="37">
        <f>IFERROR(YHHistoricalPricesAdjusted!S40/YHHistoricalPricesAdjusted!S39-1,  "")</f>
        <v>7.842132557922521E-2</v>
      </c>
      <c r="T40" s="37">
        <f>IFERROR(YHHistoricalPricesAdjusted!T40/YHHistoricalPricesAdjusted!T39-1,  "")</f>
        <v>0.10146181278338573</v>
      </c>
      <c r="U40" s="37">
        <f>IFERROR(YHHistoricalPricesAdjusted!U40/YHHistoricalPricesAdjusted!U39-1,  "")</f>
        <v>0.13713971438894479</v>
      </c>
      <c r="V40" s="37">
        <f>IFERROR(YHHistoricalPricesAdjusted!V40/YHHistoricalPricesAdjusted!V39-1,  "")</f>
        <v>-2.5002711015343571E-2</v>
      </c>
      <c r="W40" s="37">
        <f>IFERROR(YHHistoricalPricesAdjusted!W40/YHHistoricalPricesAdjusted!W39-1,  "")</f>
        <v>1.3133249374475575E-2</v>
      </c>
      <c r="X40" s="37">
        <f>IFERROR(YHHistoricalPricesAdjusted!X40/YHHistoricalPricesAdjusted!X39-1,  "")</f>
        <v>6.1723836062017368E-2</v>
      </c>
      <c r="Y40" s="37">
        <f>IFERROR(YHHistoricalPricesAdjusted!Y40/YHHistoricalPricesAdjusted!Y39-1,  "")</f>
        <v>3.5872337199660986E-2</v>
      </c>
      <c r="Z40" s="37">
        <f>IFERROR(YHHistoricalPricesAdjusted!Z40/YHHistoricalPricesAdjusted!Z39-1,  "")</f>
        <v>9.032440717590573E-3</v>
      </c>
      <c r="AA40" s="37">
        <f>IFERROR(YHHistoricalPricesAdjusted!AA40/YHHistoricalPricesAdjusted!AA39-1,  "")</f>
        <v>5.3774336708609649E-2</v>
      </c>
      <c r="AB40" s="37">
        <f>IFERROR(YHHistoricalPricesAdjusted!AB40/YHHistoricalPricesAdjusted!AB39-1,  "")</f>
        <v>8.2283842838526633E-2</v>
      </c>
      <c r="AC40" s="37">
        <f>IFERROR(YHHistoricalPricesAdjusted!AC40/YHHistoricalPricesAdjusted!AC39-1,  "")</f>
        <v>0.12772727003182438</v>
      </c>
      <c r="AD40" s="37">
        <f>IFERROR(YHHistoricalPricesAdjusted!AD40/YHHistoricalPricesAdjusted!AD39-1,  "")</f>
        <v>0.13103369045709234</v>
      </c>
      <c r="AE40" s="37">
        <f>IFERROR(YHHistoricalPricesAdjusted!AE40/YHHistoricalPricesAdjusted!AE39-1,  "")</f>
        <v>-8.6189944461375401E-2</v>
      </c>
      <c r="AF40" s="37">
        <f>IFERROR(YHHistoricalPricesAdjusted!AF40/YHHistoricalPricesAdjusted!AF39-1,  "")</f>
        <v>-1.1318924779618378E-2</v>
      </c>
      <c r="AG40" s="37">
        <f>IFERROR(YHHistoricalPricesAdjusted!AG40/YHHistoricalPricesAdjusted!AG39-1,  "")</f>
        <v>-7.6109025850740086E-2</v>
      </c>
      <c r="AH40" s="37">
        <f>IFERROR(YHHistoricalPricesAdjusted!AH40/YHHistoricalPricesAdjusted!AH39-1,  "")</f>
        <v>7.5007936875928882E-2</v>
      </c>
      <c r="AI40" s="37">
        <f>IFERROR(YHHistoricalPricesAdjusted!AI40/YHHistoricalPricesAdjusted!AI39-1,  "")</f>
        <v>4.8384807945806907E-2</v>
      </c>
      <c r="AJ40" s="37">
        <f>IFERROR(YHHistoricalPricesAdjusted!AJ40/YHHistoricalPricesAdjusted!AJ39-1,  "")</f>
        <v>3.5635511787284413E-2</v>
      </c>
      <c r="AK40" s="37">
        <f>IFERROR(YHHistoricalPricesAdjusted!AK40/YHHistoricalPricesAdjusted!AK39-1,  "")</f>
        <v>4.9286153044699077E-2</v>
      </c>
      <c r="AL40" s="37">
        <f>IFERROR(YHHistoricalPricesAdjusted!AL40/YHHistoricalPricesAdjusted!AL39-1,  "")</f>
        <v>9.2087671928784198E-2</v>
      </c>
      <c r="AM40" s="37">
        <f>IFERROR(YHHistoricalPricesAdjusted!AM40/YHHistoricalPricesAdjusted!AM39-1,  "")</f>
        <v>0.36464288731103678</v>
      </c>
      <c r="AN40" s="37">
        <f>IFERROR(YHHistoricalPricesAdjusted!AN40/YHHistoricalPricesAdjusted!AN39-1,  "")</f>
        <v>7.2372698185806827E-2</v>
      </c>
      <c r="AO40" s="37">
        <f>IFERROR(YHHistoricalPricesAdjusted!AO40/YHHistoricalPricesAdjusted!AO39-1,  "")</f>
        <v>1.5724952686806182E-2</v>
      </c>
      <c r="AP40" s="37">
        <f>IFERROR(YHHistoricalPricesAdjusted!AP40/YHHistoricalPricesAdjusted!AP39-1,  "")</f>
        <v>-8.8692733901202248E-3</v>
      </c>
      <c r="AQ40" s="37">
        <f>IFERROR(YHHistoricalPricesAdjusted!AQ40/YHHistoricalPricesAdjusted!AQ39-1,  "")</f>
        <v>-7.5005897360311935E-2</v>
      </c>
      <c r="AR40" s="37">
        <f>IFERROR(YHHistoricalPricesAdjusted!AR40/YHHistoricalPricesAdjusted!AR39-1,  "")</f>
        <v>-6.7412919315949171E-2</v>
      </c>
      <c r="AS40" s="37">
        <f>IFERROR(YHHistoricalPricesAdjusted!AS40/YHHistoricalPricesAdjusted!AS39-1,  "")</f>
        <v>8.8422262369208138E-2</v>
      </c>
      <c r="AT40" s="37">
        <f>IFERROR(YHHistoricalPricesAdjusted!AT40/YHHistoricalPricesAdjusted!AT39-1,  "")</f>
        <v>4.6708295090229113E-2</v>
      </c>
      <c r="AU40" s="37">
        <f>IFERROR(YHHistoricalPricesAdjusted!AU40/YHHistoricalPricesAdjusted!AU39-1,  "")</f>
        <v>6.8923049835355465E-2</v>
      </c>
      <c r="AV40" s="37">
        <f>IFERROR(YHHistoricalPricesAdjusted!AV40/YHHistoricalPricesAdjusted!AV39-1,  "")</f>
        <v>8.8585032068322134E-2</v>
      </c>
      <c r="AW40" s="37">
        <f>IFERROR(YHHistoricalPricesAdjusted!AW40/YHHistoricalPricesAdjusted!AW39-1,  "")</f>
        <v>5.6845563413143729E-2</v>
      </c>
      <c r="AX40" s="37">
        <f>IFERROR(YHHistoricalPricesAdjusted!AX40/YHHistoricalPricesAdjusted!AX39-1,  "")</f>
        <v>9.7633367451515074E-2</v>
      </c>
      <c r="AY40" s="37">
        <f>IFERROR(YHHistoricalPricesAdjusted!AY40/YHHistoricalPricesAdjusted!AY39-1,  "")</f>
        <v>8.5650288513064998E-2</v>
      </c>
      <c r="AZ40" s="37">
        <f>IFERROR(YHHistoricalPricesAdjusted!AZ40/YHHistoricalPricesAdjusted!AZ39-1,  "")</f>
        <v>7.8126766091608069E-2</v>
      </c>
      <c r="BA40" s="37">
        <f>IFERROR(YHHistoricalPricesAdjusted!BA40/YHHistoricalPricesAdjusted!BA39-1,  "")</f>
        <v>7.7746159797308589E-2</v>
      </c>
      <c r="BB40" s="37">
        <f>IFERROR(YHHistoricalPricesAdjusted!BB40/YHHistoricalPricesAdjusted!BB39-1,  "")</f>
        <v>5.1865033955435846E-2</v>
      </c>
      <c r="BC40" s="37">
        <f>IFERROR(YHHistoricalPricesAdjusted!BC40/YHHistoricalPricesAdjusted!BC39-1,  "")</f>
        <v>7.9872214514717932E-2</v>
      </c>
      <c r="BD40" s="37">
        <f>IFERROR(YHHistoricalPricesAdjusted!BD40/YHHistoricalPricesAdjusted!BD39-1,  "")</f>
        <v>6.0757343532512609E-2</v>
      </c>
      <c r="BE40" s="37">
        <f>IFERROR(YHHistoricalPricesAdjusted!BE40/YHHistoricalPricesAdjusted!BE39-1,  "")</f>
        <v>7.4645777892590637E-2</v>
      </c>
      <c r="BF40" s="37">
        <f>IFERROR(YHHistoricalPricesAdjusted!BF40/YHHistoricalPricesAdjusted!BF39-1,  "")</f>
        <v>5.4383980084110162E-2</v>
      </c>
      <c r="BG40" s="37">
        <f>IFERROR(YHHistoricalPricesAdjusted!BG40/YHHistoricalPricesAdjusted!BG39-1,  "")</f>
        <v>5.3738326900613309E-2</v>
      </c>
      <c r="BH40" s="37">
        <f>IFERROR(YHHistoricalPricesAdjusted!BH40/YHHistoricalPricesAdjusted!BH39-1,  "")</f>
        <v>3.8667196256713998E-2</v>
      </c>
      <c r="BI40" s="37">
        <f>IFERROR(YHHistoricalPricesAdjusted!BI40/YHHistoricalPricesAdjusted!BI39-1,  "")</f>
        <v>8.7206408389162604E-2</v>
      </c>
      <c r="BJ40" s="37">
        <f>IFERROR(YHHistoricalPricesAdjusted!BJ40/YHHistoricalPricesAdjusted!BJ39-1,  "")</f>
        <v>9.2731928669341324E-2</v>
      </c>
      <c r="BK40" s="37">
        <f>IFERROR(YHHistoricalPricesAdjusted!BK40/YHHistoricalPricesAdjusted!BK39-1,  "")</f>
        <v>0.10471388867882214</v>
      </c>
      <c r="BL40" s="37">
        <f>IFERROR(YHHistoricalPricesAdjusted!BL40/YHHistoricalPricesAdjusted!BL39-1,  "")</f>
        <v>6.9891829716159926E-2</v>
      </c>
      <c r="BM40" s="37">
        <f>IFERROR(YHHistoricalPricesAdjusted!BM40/YHHistoricalPricesAdjusted!BM39-1,  "")</f>
        <v>0.11189893720011712</v>
      </c>
      <c r="BN40" s="37">
        <f>IFERROR(YHHistoricalPricesAdjusted!BN40/YHHistoricalPricesAdjusted!BN39-1,  "")</f>
        <v>6.2619155521933756E-2</v>
      </c>
      <c r="BO40" s="37">
        <f>IFERROR(YHHistoricalPricesAdjusted!BO40/YHHistoricalPricesAdjusted!BO39-1,  "")</f>
        <v>8.689663454772667E-2</v>
      </c>
      <c r="BP40" s="37">
        <f>IFERROR(YHHistoricalPricesAdjusted!BP40/YHHistoricalPricesAdjusted!BP39-1,  "")</f>
        <v>8.8370151356859994E-2</v>
      </c>
      <c r="BQ40" s="37">
        <f>IFERROR(YHHistoricalPricesAdjusted!BQ40/YHHistoricalPricesAdjusted!BQ39-1,  "")</f>
        <v>0.13797222591496294</v>
      </c>
      <c r="BR40" s="37">
        <f>IFERROR(YHHistoricalPricesAdjusted!BR40/YHHistoricalPricesAdjusted!BR39-1,  "")</f>
        <v>0.10271429941176224</v>
      </c>
      <c r="BS40" s="37">
        <f>IFERROR(YHHistoricalPricesAdjusted!BS40/YHHistoricalPricesAdjusted!BS39-1,  "")</f>
        <v>6.4960853863105683E-2</v>
      </c>
      <c r="BT40" s="37">
        <f>IFERROR(YHHistoricalPricesAdjusted!BT40/YHHistoricalPricesAdjusted!BT39-1,  "")</f>
        <v>0.11686631785151058</v>
      </c>
      <c r="BU40" s="37">
        <f>IFERROR(YHHistoricalPricesAdjusted!BU40/YHHistoricalPricesAdjusted!BU39-1,  "")</f>
        <v>0.15302375060526474</v>
      </c>
      <c r="BV40" s="37">
        <f>IFERROR(YHHistoricalPricesAdjusted!BV40/YHHistoricalPricesAdjusted!BV39-1,  "")</f>
        <v>9.3288951446394375E-2</v>
      </c>
      <c r="BW40" s="37">
        <f>IFERROR(YHHistoricalPricesAdjusted!BW40/YHHistoricalPricesAdjusted!BW39-1,  "")</f>
        <v>0.10289710903484206</v>
      </c>
      <c r="BX40" s="37">
        <f>IFERROR(YHHistoricalPricesAdjusted!BX40/YHHistoricalPricesAdjusted!BX39-1,  "")</f>
        <v>6.6035889018810634E-2</v>
      </c>
      <c r="BY40" s="37">
        <f>IFERROR(YHHistoricalPricesAdjusted!BY40/YHHistoricalPricesAdjusted!BY39-1,  "")</f>
        <v>8.9741726937269339E-2</v>
      </c>
      <c r="BZ40" s="37">
        <f>IFERROR(YHHistoricalPricesAdjusted!BZ40/YHHistoricalPricesAdjusted!BZ39-1,  "")</f>
        <v>7.6262377610916365E-2</v>
      </c>
      <c r="CA40" s="37">
        <f>IFERROR(YHHistoricalPricesAdjusted!CA40/YHHistoricalPricesAdjusted!CA39-1,  "")</f>
        <v>0.14016838990568914</v>
      </c>
      <c r="CB40" s="37">
        <f>IFERROR(YHHistoricalPricesAdjusted!CB40/YHHistoricalPricesAdjusted!CB39-1,  "")</f>
        <v>7.7571696370935639E-2</v>
      </c>
      <c r="CC40" s="37">
        <f>IFERROR(YHHistoricalPricesAdjusted!CC40/YHHistoricalPricesAdjusted!CC39-1,  "")</f>
        <v>0.14029996468492612</v>
      </c>
      <c r="CD40" s="37">
        <f>IFERROR(YHHistoricalPricesAdjusted!CD40/YHHistoricalPricesAdjusted!CD39-1,  "")</f>
        <v>6.7153012853591543E-2</v>
      </c>
      <c r="CE40" s="37">
        <f>IFERROR(YHHistoricalPricesAdjusted!CE40/YHHistoricalPricesAdjusted!CE39-1,  "")</f>
        <v>0.15247899548531807</v>
      </c>
      <c r="CF40" s="37">
        <f>IFERROR(YHHistoricalPricesAdjusted!CF40/YHHistoricalPricesAdjusted!CF39-1,  "")</f>
        <v>-1.5051740357478804E-2</v>
      </c>
    </row>
    <row r="41" spans="1:84" x14ac:dyDescent="0.25">
      <c r="A41" s="17">
        <v>42490</v>
      </c>
      <c r="B41" s="37">
        <f>IFERROR(YHHistoricalPricesAdjusted!B41/YHHistoricalPricesAdjusted!B40-1,  "")</f>
        <v>-0.13992103601807182</v>
      </c>
      <c r="C41" s="37">
        <f>IFERROR(YHHistoricalPricesAdjusted!C41/YHHistoricalPricesAdjusted!C40-1,  "")</f>
        <v>-3.2714599786959897E-2</v>
      </c>
      <c r="D41" s="37">
        <f>IFERROR(YHHistoricalPricesAdjusted!D41/YHHistoricalPricesAdjusted!D40-1,  "")</f>
        <v>-3.6381581263437601E-2</v>
      </c>
      <c r="E41" s="37">
        <f>IFERROR(YHHistoricalPricesAdjusted!E41/YHHistoricalPricesAdjusted!E40-1,  "")</f>
        <v>3.9774459142433827E-2</v>
      </c>
      <c r="F41" s="37">
        <f>IFERROR(YHHistoricalPricesAdjusted!F41/YHHistoricalPricesAdjusted!F40-1,  "")</f>
        <v>6.4448749768637459E-3</v>
      </c>
      <c r="G41" s="37">
        <f>IFERROR(YHHistoricalPricesAdjusted!G41/YHHistoricalPricesAdjusted!G40-1,  "")</f>
        <v>-1.6424964180471013E-2</v>
      </c>
      <c r="H41" s="37">
        <f>IFERROR(YHHistoricalPricesAdjusted!H41/YHHistoricalPricesAdjusted!H40-1,  "")</f>
        <v>-2.6743326729650296E-2</v>
      </c>
      <c r="I41" s="37">
        <f>IFERROR(YHHistoricalPricesAdjusted!I41/YHHistoricalPricesAdjusted!I40-1,  "")</f>
        <v>9.0623942083518649E-3</v>
      </c>
      <c r="J41" s="37">
        <f>IFERROR(YHHistoricalPricesAdjusted!J41/YHHistoricalPricesAdjusted!J40-1,  "")</f>
        <v>-6.2049689158572008E-4</v>
      </c>
      <c r="K41" s="37">
        <f>IFERROR(YHHistoricalPricesAdjusted!K41/YHHistoricalPricesAdjusted!K40-1,  "")</f>
        <v>-6.5559440246000245E-3</v>
      </c>
      <c r="L41" s="37">
        <f>IFERROR(YHHistoricalPricesAdjusted!L41/YHHistoricalPricesAdjusted!L40-1,  "")</f>
        <v>-2.6743326729650296E-2</v>
      </c>
      <c r="M41" s="37">
        <f>IFERROR(YHHistoricalPricesAdjusted!M41/YHHistoricalPricesAdjusted!M40-1,  "")</f>
        <v>1.1857252775253846E-2</v>
      </c>
      <c r="N41" s="37">
        <f>IFERROR(YHHistoricalPricesAdjusted!N41/YHHistoricalPricesAdjusted!N40-1,  "")</f>
        <v>-6.0477171659338858E-3</v>
      </c>
      <c r="O41" s="37">
        <f>IFERROR(YHHistoricalPricesAdjusted!O41/YHHistoricalPricesAdjusted!O40-1,  "")</f>
        <v>4.7830399132516854E-2</v>
      </c>
      <c r="P41" s="37">
        <f>IFERROR(YHHistoricalPricesAdjusted!P41/YHHistoricalPricesAdjusted!P40-1,  "")</f>
        <v>5.754260406275491E-2</v>
      </c>
      <c r="Q41" s="37">
        <f>IFERROR(YHHistoricalPricesAdjusted!Q41/YHHistoricalPricesAdjusted!Q40-1,  "")</f>
        <v>7.1069033898174983E-2</v>
      </c>
      <c r="R41" s="37">
        <f>IFERROR(YHHistoricalPricesAdjusted!R41/YHHistoricalPricesAdjusted!R40-1,  "")</f>
        <v>9.2738422332503401E-3</v>
      </c>
      <c r="S41" s="37">
        <f>IFERROR(YHHistoricalPricesAdjusted!S41/YHHistoricalPricesAdjusted!S40-1,  "")</f>
        <v>8.4017214617066127E-2</v>
      </c>
      <c r="T41" s="37">
        <f>IFERROR(YHHistoricalPricesAdjusted!T41/YHHistoricalPricesAdjusted!T40-1,  "")</f>
        <v>5.5244106081376199E-2</v>
      </c>
      <c r="U41" s="37">
        <f>IFERROR(YHHistoricalPricesAdjusted!U41/YHHistoricalPricesAdjusted!U40-1,  "")</f>
        <v>4.0061965088500351E-2</v>
      </c>
      <c r="V41" s="37">
        <f>IFERROR(YHHistoricalPricesAdjusted!V41/YHHistoricalPricesAdjusted!V40-1,  "")</f>
        <v>6.7700156553016422E-2</v>
      </c>
      <c r="W41" s="37">
        <f>IFERROR(YHHistoricalPricesAdjusted!W41/YHHistoricalPricesAdjusted!W40-1,  "")</f>
        <v>4.7475525921636175E-2</v>
      </c>
      <c r="X41" s="37">
        <f>IFERROR(YHHistoricalPricesAdjusted!X41/YHHistoricalPricesAdjusted!X40-1,  "")</f>
        <v>-2.7346494523449505E-2</v>
      </c>
      <c r="Y41" s="37">
        <f>IFERROR(YHHistoricalPricesAdjusted!Y41/YHHistoricalPricesAdjusted!Y40-1,  "")</f>
        <v>3.5859666184831607E-2</v>
      </c>
      <c r="Z41" s="37">
        <f>IFERROR(YHHistoricalPricesAdjusted!Z41/YHHistoricalPricesAdjusted!Z40-1,  "")</f>
        <v>0.10357621266151318</v>
      </c>
      <c r="AA41" s="37">
        <f>IFERROR(YHHistoricalPricesAdjusted!AA41/YHHistoricalPricesAdjusted!AA40-1,  "")</f>
        <v>4.5544597313861068E-2</v>
      </c>
      <c r="AB41" s="37">
        <f>IFERROR(YHHistoricalPricesAdjusted!AB41/YHHistoricalPricesAdjusted!AB40-1,  "")</f>
        <v>2.5782863485617868E-2</v>
      </c>
      <c r="AC41" s="37">
        <f>IFERROR(YHHistoricalPricesAdjusted!AC41/YHHistoricalPricesAdjusted!AC40-1,  "")</f>
        <v>3.2927592151037022E-2</v>
      </c>
      <c r="AD41" s="37">
        <f>IFERROR(YHHistoricalPricesAdjusted!AD41/YHHistoricalPricesAdjusted!AD40-1,  "")</f>
        <v>7.1840886874947163E-2</v>
      </c>
      <c r="AE41" s="37">
        <f>IFERROR(YHHistoricalPricesAdjusted!AE41/YHHistoricalPricesAdjusted!AE40-1,  "")</f>
        <v>-5.5909566544018796E-2</v>
      </c>
      <c r="AF41" s="37">
        <f>IFERROR(YHHistoricalPricesAdjusted!AF41/YHHistoricalPricesAdjusted!AF40-1,  "")</f>
        <v>-2.450258289703322E-2</v>
      </c>
      <c r="AG41" s="37">
        <f>IFERROR(YHHistoricalPricesAdjusted!AG41/YHHistoricalPricesAdjusted!AG40-1,  "")</f>
        <v>-0.19203068692828862</v>
      </c>
      <c r="AH41" s="37">
        <f>IFERROR(YHHistoricalPricesAdjusted!AH41/YHHistoricalPricesAdjusted!AH40-1,  "")</f>
        <v>8.9653945367456078E-3</v>
      </c>
      <c r="AI41" s="37">
        <f>IFERROR(YHHistoricalPricesAdjusted!AI41/YHHistoricalPricesAdjusted!AI40-1,  "")</f>
        <v>-1.5313442997306637E-2</v>
      </c>
      <c r="AJ41" s="37">
        <f>IFERROR(YHHistoricalPricesAdjusted!AJ41/YHHistoricalPricesAdjusted!AJ40-1,  "")</f>
        <v>7.6184724794023051E-2</v>
      </c>
      <c r="AK41" s="37">
        <f>IFERROR(YHHistoricalPricesAdjusted!AK41/YHHistoricalPricesAdjusted!AK40-1,  "")</f>
        <v>-6.5415402006492207E-2</v>
      </c>
      <c r="AL41" s="37">
        <f>IFERROR(YHHistoricalPricesAdjusted!AL41/YHHistoricalPricesAdjusted!AL40-1,  "")</f>
        <v>-1.6204749888371617E-2</v>
      </c>
      <c r="AM41" s="37">
        <f>IFERROR(YHHistoricalPricesAdjusted!AM41/YHHistoricalPricesAdjusted!AM40-1,  "")</f>
        <v>-5.6267957247385425E-2</v>
      </c>
      <c r="AN41" s="37">
        <f>IFERROR(YHHistoricalPricesAdjusted!AN41/YHHistoricalPricesAdjusted!AN40-1,  "")</f>
        <v>-3.2531835835453382E-2</v>
      </c>
      <c r="AO41" s="37">
        <f>IFERROR(YHHistoricalPricesAdjusted!AO41/YHHistoricalPricesAdjusted!AO40-1,  "")</f>
        <v>9.6543002840905778E-2</v>
      </c>
      <c r="AP41" s="37">
        <f>IFERROR(YHHistoricalPricesAdjusted!AP41/YHHistoricalPricesAdjusted!AP40-1,  "")</f>
        <v>-8.0643744048142785E-2</v>
      </c>
      <c r="AQ41" s="37">
        <f>IFERROR(YHHistoricalPricesAdjusted!AQ41/YHHistoricalPricesAdjusted!AQ40-1,  "")</f>
        <v>-0.10616387433135044</v>
      </c>
      <c r="AR41" s="37">
        <f>IFERROR(YHHistoricalPricesAdjusted!AR41/YHHistoricalPricesAdjusted!AR40-1,  "")</f>
        <v>5.9196930449614271E-2</v>
      </c>
      <c r="AS41" s="37">
        <f>IFERROR(YHHistoricalPricesAdjusted!AS41/YHHistoricalPricesAdjusted!AS40-1,  "")</f>
        <v>4.5284487437961429E-2</v>
      </c>
      <c r="AT41" s="37">
        <f>IFERROR(YHHistoricalPricesAdjusted!AT41/YHHistoricalPricesAdjusted!AT40-1,  "")</f>
        <v>-5.0282682639086751E-3</v>
      </c>
      <c r="AU41" s="37">
        <f>IFERROR(YHHistoricalPricesAdjusted!AU41/YHHistoricalPricesAdjusted!AU40-1,  "")</f>
        <v>5.5563635662711608E-2</v>
      </c>
      <c r="AV41" s="37">
        <f>IFERROR(YHHistoricalPricesAdjusted!AV41/YHHistoricalPricesAdjusted!AV40-1,  "")</f>
        <v>4.2572076537811254E-2</v>
      </c>
      <c r="AW41" s="37">
        <f>IFERROR(YHHistoricalPricesAdjusted!AW41/YHHistoricalPricesAdjusted!AW40-1,  "")</f>
        <v>-6.4220813292058532E-3</v>
      </c>
      <c r="AX41" s="37">
        <f>IFERROR(YHHistoricalPricesAdjusted!AX41/YHHistoricalPricesAdjusted!AX40-1,  "")</f>
        <v>-2.354978228996174E-2</v>
      </c>
      <c r="AY41" s="37">
        <f>IFERROR(YHHistoricalPricesAdjusted!AY41/YHHistoricalPricesAdjusted!AY40-1,  "")</f>
        <v>-3.1509776975486514E-2</v>
      </c>
      <c r="AZ41" s="37">
        <f>IFERROR(YHHistoricalPricesAdjusted!AZ41/YHHistoricalPricesAdjusted!AZ40-1,  "")</f>
        <v>6.1407091571630268E-4</v>
      </c>
      <c r="BA41" s="37">
        <f>IFERROR(YHHistoricalPricesAdjusted!BA41/YHHistoricalPricesAdjusted!BA40-1,  "")</f>
        <v>-8.4560135690532334E-3</v>
      </c>
      <c r="BB41" s="37">
        <f>IFERROR(YHHistoricalPricesAdjusted!BB41/YHHistoricalPricesAdjusted!BB40-1,  "")</f>
        <v>6.7206919710903978E-2</v>
      </c>
      <c r="BC41" s="37">
        <f>IFERROR(YHHistoricalPricesAdjusted!BC41/YHHistoricalPricesAdjusted!BC40-1,  "")</f>
        <v>8.1020864609822718E-2</v>
      </c>
      <c r="BD41" s="37">
        <f>IFERROR(YHHistoricalPricesAdjusted!BD41/YHHistoricalPricesAdjusted!BD40-1,  "")</f>
        <v>9.9371675415360627E-3</v>
      </c>
      <c r="BE41" s="37">
        <f>IFERROR(YHHistoricalPricesAdjusted!BE41/YHHistoricalPricesAdjusted!BE40-1,  "")</f>
        <v>0.10850316694432904</v>
      </c>
      <c r="BF41" s="37">
        <f>IFERROR(YHHistoricalPricesAdjusted!BF41/YHHistoricalPricesAdjusted!BF40-1,  "")</f>
        <v>4.5419938518826308E-2</v>
      </c>
      <c r="BG41" s="37">
        <f>IFERROR(YHHistoricalPricesAdjusted!BG41/YHHistoricalPricesAdjusted!BG40-1,  "")</f>
        <v>5.8369462331834487E-2</v>
      </c>
      <c r="BH41" s="37">
        <f>IFERROR(YHHistoricalPricesAdjusted!BH41/YHHistoricalPricesAdjusted!BH40-1,  "")</f>
        <v>3.3498819841370597E-2</v>
      </c>
      <c r="BI41" s="37">
        <f>IFERROR(YHHistoricalPricesAdjusted!BI41/YHHistoricalPricesAdjusted!BI40-1,  "")</f>
        <v>2.6349280607146586E-2</v>
      </c>
      <c r="BJ41" s="37">
        <f>IFERROR(YHHistoricalPricesAdjusted!BJ41/YHHistoricalPricesAdjusted!BJ40-1,  "")</f>
        <v>0.15366961201857299</v>
      </c>
      <c r="BK41" s="37">
        <f>IFERROR(YHHistoricalPricesAdjusted!BK41/YHHistoricalPricesAdjusted!BK40-1,  "")</f>
        <v>6.5635160607926402E-2</v>
      </c>
      <c r="BL41" s="37">
        <f>IFERROR(YHHistoricalPricesAdjusted!BL41/YHHistoricalPricesAdjusted!BL40-1,  "")</f>
        <v>4.5010017447473238E-3</v>
      </c>
      <c r="BM41" s="37">
        <f>IFERROR(YHHistoricalPricesAdjusted!BM41/YHHistoricalPricesAdjusted!BM40-1,  "")</f>
        <v>1.9812528271440533E-2</v>
      </c>
      <c r="BN41" s="37">
        <f>IFERROR(YHHistoricalPricesAdjusted!BN41/YHHistoricalPricesAdjusted!BN40-1,  "")</f>
        <v>2.4475632025120708E-2</v>
      </c>
      <c r="BO41" s="37">
        <f>IFERROR(YHHistoricalPricesAdjusted!BO41/YHHistoricalPricesAdjusted!BO40-1,  "")</f>
        <v>2.5868758488354349E-2</v>
      </c>
      <c r="BP41" s="37">
        <f>IFERROR(YHHistoricalPricesAdjusted!BP41/YHHistoricalPricesAdjusted!BP40-1,  "")</f>
        <v>-3.6548497133001123E-2</v>
      </c>
      <c r="BQ41" s="37">
        <f>IFERROR(YHHistoricalPricesAdjusted!BQ41/YHHistoricalPricesAdjusted!BQ40-1,  "")</f>
        <v>6.4489734014857358E-2</v>
      </c>
      <c r="BR41" s="37">
        <f>IFERROR(YHHistoricalPricesAdjusted!BR41/YHHistoricalPricesAdjusted!BR40-1,  "")</f>
        <v>-1.1824184470388799E-2</v>
      </c>
      <c r="BS41" s="37">
        <f>IFERROR(YHHistoricalPricesAdjusted!BS41/YHHistoricalPricesAdjusted!BS40-1,  "")</f>
        <v>9.0740662538375538E-3</v>
      </c>
      <c r="BT41" s="37">
        <f>IFERROR(YHHistoricalPricesAdjusted!BT41/YHHistoricalPricesAdjusted!BT40-1,  "")</f>
        <v>-9.3333318840579715E-2</v>
      </c>
      <c r="BU41" s="37">
        <f>IFERROR(YHHistoricalPricesAdjusted!BU41/YHHistoricalPricesAdjusted!BU40-1,  "")</f>
        <v>2.6880229283887669E-2</v>
      </c>
      <c r="BV41" s="37">
        <f>IFERROR(YHHistoricalPricesAdjusted!BV41/YHHistoricalPricesAdjusted!BV40-1,  "")</f>
        <v>-9.7048730499445179E-2</v>
      </c>
      <c r="BW41" s="37">
        <f>IFERROR(YHHistoricalPricesAdjusted!BW41/YHHistoricalPricesAdjusted!BW40-1,  "")</f>
        <v>-6.3987610827680452E-2</v>
      </c>
      <c r="BX41" s="37">
        <f>IFERROR(YHHistoricalPricesAdjusted!BX41/YHHistoricalPricesAdjusted!BX40-1,  "")</f>
        <v>-5.8062222927051432E-2</v>
      </c>
      <c r="BY41" s="37">
        <f>IFERROR(YHHistoricalPricesAdjusted!BY41/YHHistoricalPricesAdjusted!BY40-1,  "")</f>
        <v>2.6682933043940649E-2</v>
      </c>
      <c r="BZ41" s="37">
        <f>IFERROR(YHHistoricalPricesAdjusted!BZ41/YHHistoricalPricesAdjusted!BZ40-1,  "")</f>
        <v>-2.9997173337767968E-2</v>
      </c>
      <c r="CA41" s="37">
        <f>IFERROR(YHHistoricalPricesAdjusted!CA41/YHHistoricalPricesAdjusted!CA40-1,  "")</f>
        <v>-1.5299945905249079E-2</v>
      </c>
      <c r="CB41" s="37">
        <f>IFERROR(YHHistoricalPricesAdjusted!CB41/YHHistoricalPricesAdjusted!CB40-1,  "")</f>
        <v>1.4643393859192999E-2</v>
      </c>
      <c r="CC41" s="37">
        <f>IFERROR(YHHistoricalPricesAdjusted!CC41/YHHistoricalPricesAdjusted!CC40-1,  "")</f>
        <v>-2.8064989891504188E-3</v>
      </c>
      <c r="CD41" s="37">
        <f>IFERROR(YHHistoricalPricesAdjusted!CD41/YHHistoricalPricesAdjusted!CD40-1,  "")</f>
        <v>3.04995973794846E-2</v>
      </c>
      <c r="CE41" s="37">
        <f>IFERROR(YHHistoricalPricesAdjusted!CE41/YHHistoricalPricesAdjusted!CE40-1,  "")</f>
        <v>7.1115405819570654E-3</v>
      </c>
      <c r="CF41" s="37">
        <f>IFERROR(YHHistoricalPricesAdjusted!CF41/YHHistoricalPricesAdjusted!CF40-1,  "")</f>
        <v>2.6743075453677045E-2</v>
      </c>
    </row>
    <row r="42" spans="1:84" x14ac:dyDescent="0.25">
      <c r="A42" s="17">
        <v>42521</v>
      </c>
      <c r="B42" s="37">
        <f>IFERROR(YHHistoricalPricesAdjusted!B42/YHHistoricalPricesAdjusted!B41-1,  "")</f>
        <v>6.5286940121097814E-2</v>
      </c>
      <c r="C42" s="37">
        <f>IFERROR(YHHistoricalPricesAdjusted!C42/YHHistoricalPricesAdjusted!C41-1,  "")</f>
        <v>-1.6910696841408335E-2</v>
      </c>
      <c r="D42" s="37">
        <f>IFERROR(YHHistoricalPricesAdjusted!D42/YHHistoricalPricesAdjusted!D41-1,  "")</f>
        <v>5.3446540480059257E-2</v>
      </c>
      <c r="E42" s="37">
        <f>IFERROR(YHHistoricalPricesAdjusted!E42/YHHistoricalPricesAdjusted!E41-1,  "")</f>
        <v>-3.9124559367757605E-2</v>
      </c>
      <c r="F42" s="37">
        <f>IFERROR(YHHistoricalPricesAdjusted!F42/YHHistoricalPricesAdjusted!F41-1,  "")</f>
        <v>-3.5022490258206807E-2</v>
      </c>
      <c r="G42" s="37">
        <f>IFERROR(YHHistoricalPricesAdjusted!G42/YHHistoricalPricesAdjusted!G41-1,  "")</f>
        <v>5.8471371089384272E-2</v>
      </c>
      <c r="H42" s="37">
        <f>IFERROR(YHHistoricalPricesAdjusted!H42/YHHistoricalPricesAdjusted!H41-1,  "")</f>
        <v>-4.4644431599020207E-3</v>
      </c>
      <c r="I42" s="37">
        <f>IFERROR(YHHistoricalPricesAdjusted!I42/YHHistoricalPricesAdjusted!I41-1,  "")</f>
        <v>2.1076659370901085E-2</v>
      </c>
      <c r="J42" s="37">
        <f>IFERROR(YHHistoricalPricesAdjusted!J42/YHHistoricalPricesAdjusted!J41-1,  "")</f>
        <v>4.7591681314332002E-2</v>
      </c>
      <c r="K42" s="37">
        <f>IFERROR(YHHistoricalPricesAdjusted!K42/YHHistoricalPricesAdjusted!K41-1,  "")</f>
        <v>1.6814256531791916E-2</v>
      </c>
      <c r="L42" s="37">
        <f>IFERROR(YHHistoricalPricesAdjusted!L42/YHHistoricalPricesAdjusted!L41-1,  "")</f>
        <v>-4.4644431599020207E-3</v>
      </c>
      <c r="M42" s="37">
        <f>IFERROR(YHHistoricalPricesAdjusted!M42/YHHistoricalPricesAdjusted!M41-1,  "")</f>
        <v>-1.7385423501755537E-2</v>
      </c>
      <c r="N42" s="37">
        <f>IFERROR(YHHistoricalPricesAdjusted!N42/YHHistoricalPricesAdjusted!N41-1,  "")</f>
        <v>3.7833955358031135E-2</v>
      </c>
      <c r="O42" s="37">
        <f>IFERROR(YHHistoricalPricesAdjusted!O42/YHHistoricalPricesAdjusted!O41-1,  "")</f>
        <v>-7.2811095547663518E-2</v>
      </c>
      <c r="P42" s="37">
        <f>IFERROR(YHHistoricalPricesAdjusted!P42/YHHistoricalPricesAdjusted!P41-1,  "")</f>
        <v>7.013594627879538E-3</v>
      </c>
      <c r="Q42" s="37">
        <f>IFERROR(YHHistoricalPricesAdjusted!Q42/YHHistoricalPricesAdjusted!Q41-1,  "")</f>
        <v>-1.1548200084256721E-2</v>
      </c>
      <c r="R42" s="37">
        <f>IFERROR(YHHistoricalPricesAdjusted!R42/YHHistoricalPricesAdjusted!R41-1,  "")</f>
        <v>1.3156507579347831E-2</v>
      </c>
      <c r="S42" s="37">
        <f>IFERROR(YHHistoricalPricesAdjusted!S42/YHHistoricalPricesAdjusted!S41-1,  "")</f>
        <v>-0.12074113009187692</v>
      </c>
      <c r="T42" s="37">
        <f>IFERROR(YHHistoricalPricesAdjusted!T42/YHHistoricalPricesAdjusted!T41-1,  "")</f>
        <v>7.9769064537386969E-2</v>
      </c>
      <c r="U42" s="37">
        <f>IFERROR(YHHistoricalPricesAdjusted!U42/YHHistoricalPricesAdjusted!U41-1,  "")</f>
        <v>0.1865174042156339</v>
      </c>
      <c r="V42" s="37">
        <f>IFERROR(YHHistoricalPricesAdjusted!V42/YHHistoricalPricesAdjusted!V41-1,  "")</f>
        <v>0.20810618261290847</v>
      </c>
      <c r="W42" s="37">
        <f>IFERROR(YHHistoricalPricesAdjusted!W42/YHHistoricalPricesAdjusted!W41-1,  "")</f>
        <v>-9.8606622609768824E-2</v>
      </c>
      <c r="X42" s="37">
        <f>IFERROR(YHHistoricalPricesAdjusted!X42/YHHistoricalPricesAdjusted!X41-1,  "")</f>
        <v>-1.8084181736818028E-2</v>
      </c>
      <c r="Y42" s="37">
        <f>IFERROR(YHHistoricalPricesAdjusted!Y42/YHHistoricalPricesAdjusted!Y41-1,  "")</f>
        <v>5.4424958169083659E-3</v>
      </c>
      <c r="Z42" s="37">
        <f>IFERROR(YHHistoricalPricesAdjusted!Z42/YHHistoricalPricesAdjusted!Z41-1,  "")</f>
        <v>6.0837636117162308E-2</v>
      </c>
      <c r="AA42" s="37">
        <f>IFERROR(YHHistoricalPricesAdjusted!AA42/YHHistoricalPricesAdjusted!AA41-1,  "")</f>
        <v>2.5893504178154947E-2</v>
      </c>
      <c r="AB42" s="37">
        <f>IFERROR(YHHistoricalPricesAdjusted!AB42/YHHistoricalPricesAdjusted!AB41-1,  "")</f>
        <v>1.5112530811630664E-2</v>
      </c>
      <c r="AC42" s="37">
        <f>IFERROR(YHHistoricalPricesAdjusted!AC42/YHHistoricalPricesAdjusted!AC41-1,  "")</f>
        <v>-3.225017407109898E-2</v>
      </c>
      <c r="AD42" s="37">
        <f>IFERROR(YHHistoricalPricesAdjusted!AD42/YHHistoricalPricesAdjusted!AD41-1,  "")</f>
        <v>8.8272027019680177E-3</v>
      </c>
      <c r="AE42" s="37">
        <f>IFERROR(YHHistoricalPricesAdjusted!AE42/YHHistoricalPricesAdjusted!AE41-1,  "")</f>
        <v>0.13184413874080247</v>
      </c>
      <c r="AF42" s="37">
        <f>IFERROR(YHHistoricalPricesAdjusted!AF42/YHHistoricalPricesAdjusted!AF41-1,  "")</f>
        <v>4.5656145496774547E-2</v>
      </c>
      <c r="AG42" s="37">
        <f>IFERROR(YHHistoricalPricesAdjusted!AG42/YHHistoricalPricesAdjusted!AG41-1,  "")</f>
        <v>8.8612758018274729E-2</v>
      </c>
      <c r="AH42" s="37">
        <f>IFERROR(YHHistoricalPricesAdjusted!AH42/YHHistoricalPricesAdjusted!AH41-1,  "")</f>
        <v>-1.3219827634854298E-2</v>
      </c>
      <c r="AI42" s="37">
        <f>IFERROR(YHHistoricalPricesAdjusted!AI42/YHHistoricalPricesAdjusted!AI41-1,  "")</f>
        <v>-5.7782863181504718E-2</v>
      </c>
      <c r="AJ42" s="37">
        <f>IFERROR(YHHistoricalPricesAdjusted!AJ42/YHHistoricalPricesAdjusted!AJ41-1,  "")</f>
        <v>-3.9129340787692146E-2</v>
      </c>
      <c r="AK42" s="37">
        <f>IFERROR(YHHistoricalPricesAdjusted!AK42/YHHistoricalPricesAdjusted!AK41-1,  "")</f>
        <v>-5.0176100473689367E-2</v>
      </c>
      <c r="AL42" s="37">
        <f>IFERROR(YHHistoricalPricesAdjusted!AL42/YHHistoricalPricesAdjusted!AL41-1,  "")</f>
        <v>-0.19667587285864141</v>
      </c>
      <c r="AM42" s="37">
        <f>IFERROR(YHHistoricalPricesAdjusted!AM42/YHHistoricalPricesAdjusted!AM41-1,  "")</f>
        <v>-5.962292262487956E-2</v>
      </c>
      <c r="AN42" s="37">
        <f>IFERROR(YHHistoricalPricesAdjusted!AN42/YHHistoricalPricesAdjusted!AN41-1,  "")</f>
        <v>-4.1144534472087102E-2</v>
      </c>
      <c r="AO42" s="37">
        <f>IFERROR(YHHistoricalPricesAdjusted!AO42/YHHistoricalPricesAdjusted!AO41-1,  "")</f>
        <v>-3.4850320904988519E-2</v>
      </c>
      <c r="AP42" s="37">
        <f>IFERROR(YHHistoricalPricesAdjusted!AP42/YHHistoricalPricesAdjusted!AP41-1,  "")</f>
        <v>0</v>
      </c>
      <c r="AQ42" s="37">
        <f>IFERROR(YHHistoricalPricesAdjusted!AQ42/YHHistoricalPricesAdjusted!AQ41-1,  "")</f>
        <v>4.9861011355058382E-2</v>
      </c>
      <c r="AR42" s="37">
        <f>IFERROR(YHHistoricalPricesAdjusted!AR42/YHHistoricalPricesAdjusted!AR41-1,  "")</f>
        <v>-6.3084569534133328E-2</v>
      </c>
      <c r="AS42" s="37">
        <f>IFERROR(YHHistoricalPricesAdjusted!AS42/YHHistoricalPricesAdjusted!AS41-1,  "")</f>
        <v>4.3680440027141776E-2</v>
      </c>
      <c r="AT42" s="37">
        <f>IFERROR(YHHistoricalPricesAdjusted!AT42/YHHistoricalPricesAdjusted!AT41-1,  "")</f>
        <v>2.053071389867922E-2</v>
      </c>
      <c r="AU42" s="37">
        <f>IFERROR(YHHistoricalPricesAdjusted!AU42/YHHistoricalPricesAdjusted!AU41-1,  "")</f>
        <v>1.8416732262198199E-2</v>
      </c>
      <c r="AV42" s="37">
        <f>IFERROR(YHHistoricalPricesAdjusted!AV42/YHHistoricalPricesAdjusted!AV41-1,  "")</f>
        <v>2.5733746108584032E-2</v>
      </c>
      <c r="AW42" s="37">
        <f>IFERROR(YHHistoricalPricesAdjusted!AW42/YHHistoricalPricesAdjusted!AW41-1,  "")</f>
        <v>2.1602333380108529E-2</v>
      </c>
      <c r="AX42" s="37">
        <f>IFERROR(YHHistoricalPricesAdjusted!AX42/YHHistoricalPricesAdjusted!AX41-1,  "")</f>
        <v>-6.9814194036333932E-3</v>
      </c>
      <c r="AY42" s="37">
        <f>IFERROR(YHHistoricalPricesAdjusted!AY42/YHHistoricalPricesAdjusted!AY41-1,  "")</f>
        <v>-1.3173647368795338E-2</v>
      </c>
      <c r="AZ42" s="37">
        <f>IFERROR(YHHistoricalPricesAdjusted!AZ42/YHHistoricalPricesAdjusted!AZ41-1,  "")</f>
        <v>3.6477985019997883E-2</v>
      </c>
      <c r="BA42" s="37">
        <f>IFERROR(YHHistoricalPricesAdjusted!BA42/YHHistoricalPricesAdjusted!BA41-1,  "")</f>
        <v>1.70479174480902E-2</v>
      </c>
      <c r="BB42" s="37">
        <f>IFERROR(YHHistoricalPricesAdjusted!BB42/YHHistoricalPricesAdjusted!BB41-1,  "")</f>
        <v>4.039930279887094E-2</v>
      </c>
      <c r="BC42" s="37">
        <f>IFERROR(YHHistoricalPricesAdjusted!BC42/YHHistoricalPricesAdjusted!BC41-1,  "")</f>
        <v>1.5796787388077771E-2</v>
      </c>
      <c r="BD42" s="37">
        <f>IFERROR(YHHistoricalPricesAdjusted!BD42/YHHistoricalPricesAdjusted!BD41-1,  "")</f>
        <v>2.2009421769676685E-2</v>
      </c>
      <c r="BE42" s="37">
        <f>IFERROR(YHHistoricalPricesAdjusted!BE42/YHHistoricalPricesAdjusted!BE41-1,  "")</f>
        <v>7.3303019360124733E-3</v>
      </c>
      <c r="BF42" s="37">
        <f>IFERROR(YHHistoricalPricesAdjusted!BF42/YHHistoricalPricesAdjusted!BF41-1,  "")</f>
        <v>-2.821287828426966E-2</v>
      </c>
      <c r="BG42" s="37">
        <f>IFERROR(YHHistoricalPricesAdjusted!BG42/YHHistoricalPricesAdjusted!BG41-1,  "")</f>
        <v>3.0452773355664764E-3</v>
      </c>
      <c r="BH42" s="37">
        <f>IFERROR(YHHistoricalPricesAdjusted!BH42/YHHistoricalPricesAdjusted!BH41-1,  "")</f>
        <v>1.480597442959608E-2</v>
      </c>
      <c r="BI42" s="37">
        <f>IFERROR(YHHistoricalPricesAdjusted!BI42/YHHistoricalPricesAdjusted!BI41-1,  "")</f>
        <v>-9.2431070509098046E-3</v>
      </c>
      <c r="BJ42" s="37">
        <f>IFERROR(YHHistoricalPricesAdjusted!BJ42/YHHistoricalPricesAdjusted!BJ41-1,  "")</f>
        <v>-4.5085630186955328E-2</v>
      </c>
      <c r="BK42" s="37">
        <f>IFERROR(YHHistoricalPricesAdjusted!BK42/YHHistoricalPricesAdjusted!BK41-1,  "")</f>
        <v>9.9095374093793875E-3</v>
      </c>
      <c r="BL42" s="37">
        <f>IFERROR(YHHistoricalPricesAdjusted!BL42/YHHistoricalPricesAdjusted!BL41-1,  "")</f>
        <v>5.6159416257339778E-3</v>
      </c>
      <c r="BM42" s="37">
        <f>IFERROR(YHHistoricalPricesAdjusted!BM42/YHHistoricalPricesAdjusted!BM41-1,  "")</f>
        <v>-3.8504412313151715E-3</v>
      </c>
      <c r="BN42" s="37">
        <f>IFERROR(YHHistoricalPricesAdjusted!BN42/YHHistoricalPricesAdjusted!BN41-1,  "")</f>
        <v>1.6640853164615832E-2</v>
      </c>
      <c r="BO42" s="37">
        <f>IFERROR(YHHistoricalPricesAdjusted!BO42/YHHistoricalPricesAdjusted!BO41-1,  "")</f>
        <v>1.4447123731633038E-2</v>
      </c>
      <c r="BP42" s="37">
        <f>IFERROR(YHHistoricalPricesAdjusted!BP42/YHHistoricalPricesAdjusted!BP41-1,  "")</f>
        <v>-2.6817938354557702E-2</v>
      </c>
      <c r="BQ42" s="37">
        <f>IFERROR(YHHistoricalPricesAdjusted!BQ42/YHHistoricalPricesAdjusted!BQ41-1,  "")</f>
        <v>-2.1874579876754452E-2</v>
      </c>
      <c r="BR42" s="37">
        <f>IFERROR(YHHistoricalPricesAdjusted!BR42/YHHistoricalPricesAdjusted!BR41-1,  "")</f>
        <v>2.1723131857029898E-2</v>
      </c>
      <c r="BS42" s="37">
        <f>IFERROR(YHHistoricalPricesAdjusted!BS42/YHHistoricalPricesAdjusted!BS41-1,  "")</f>
        <v>0.13358526253967873</v>
      </c>
      <c r="BT42" s="37">
        <f>IFERROR(YHHistoricalPricesAdjusted!BT42/YHHistoricalPricesAdjusted!BT41-1,  "")</f>
        <v>-0.15105498479771451</v>
      </c>
      <c r="BU42" s="37">
        <f>IFERROR(YHHistoricalPricesAdjusted!BU42/YHHistoricalPricesAdjusted!BU41-1,  "")</f>
        <v>0.13279823178400418</v>
      </c>
      <c r="BV42" s="37">
        <f>IFERROR(YHHistoricalPricesAdjusted!BV42/YHHistoricalPricesAdjusted!BV41-1,  "")</f>
        <v>6.276326790396114E-2</v>
      </c>
      <c r="BW42" s="37">
        <f>IFERROR(YHHistoricalPricesAdjusted!BW42/YHHistoricalPricesAdjusted!BW41-1,  "")</f>
        <v>4.3262871626090105E-2</v>
      </c>
      <c r="BX42" s="37">
        <f>IFERROR(YHHistoricalPricesAdjusted!BX42/YHHistoricalPricesAdjusted!BX41-1,  "")</f>
        <v>9.7623437773302069E-3</v>
      </c>
      <c r="BY42" s="37">
        <f>IFERROR(YHHistoricalPricesAdjusted!BY42/YHHistoricalPricesAdjusted!BY41-1,  "")</f>
        <v>0.10435350510474239</v>
      </c>
      <c r="BZ42" s="37">
        <f>IFERROR(YHHistoricalPricesAdjusted!BZ42/YHHistoricalPricesAdjusted!BZ41-1,  "")</f>
        <v>6.021651335897138E-2</v>
      </c>
      <c r="CA42" s="37">
        <f>IFERROR(YHHistoricalPricesAdjusted!CA42/YHHistoricalPricesAdjusted!CA41-1,  "")</f>
        <v>5.5744798047779875E-2</v>
      </c>
      <c r="CB42" s="37">
        <f>IFERROR(YHHistoricalPricesAdjusted!CB42/YHHistoricalPricesAdjusted!CB41-1,  "")</f>
        <v>-1.8398138759440519E-2</v>
      </c>
      <c r="CC42" s="37">
        <f>IFERROR(YHHistoricalPricesAdjusted!CC42/YHHistoricalPricesAdjusted!CC41-1,  "")</f>
        <v>0.31494518868468635</v>
      </c>
      <c r="CD42" s="37">
        <f>IFERROR(YHHistoricalPricesAdjusted!CD42/YHHistoricalPricesAdjusted!CD41-1,  "")</f>
        <v>1.0460928551438542E-2</v>
      </c>
      <c r="CE42" s="37">
        <f>IFERROR(YHHistoricalPricesAdjusted!CE42/YHHistoricalPricesAdjusted!CE41-1,  "")</f>
        <v>9.046447200205221E-2</v>
      </c>
      <c r="CF42" s="37">
        <f>IFERROR(YHHistoricalPricesAdjusted!CF42/YHHistoricalPricesAdjusted!CF41-1,  "")</f>
        <v>0.18325581395348833</v>
      </c>
    </row>
    <row r="43" spans="1:84" x14ac:dyDescent="0.25">
      <c r="A43" s="17">
        <v>42551</v>
      </c>
      <c r="B43" s="37">
        <f>IFERROR(YHHistoricalPricesAdjusted!B43/YHHistoricalPricesAdjusted!B42-1,  "")</f>
        <v>-3.6831066703049142E-2</v>
      </c>
      <c r="C43" s="37">
        <f>IFERROR(YHHistoricalPricesAdjusted!C43/YHHistoricalPricesAdjusted!C42-1,  "")</f>
        <v>4.1349695593532632E-2</v>
      </c>
      <c r="D43" s="37">
        <f>IFERROR(YHHistoricalPricesAdjusted!D43/YHHistoricalPricesAdjusted!D42-1,  "")</f>
        <v>6.3438054765665441E-3</v>
      </c>
      <c r="E43" s="37">
        <f>IFERROR(YHHistoricalPricesAdjusted!E43/YHHistoricalPricesAdjusted!E42-1,  "")</f>
        <v>-1.4110045874307864E-2</v>
      </c>
      <c r="F43" s="37">
        <f>IFERROR(YHHistoricalPricesAdjusted!F43/YHHistoricalPricesAdjusted!F42-1,  "")</f>
        <v>-1.4091477710911904E-2</v>
      </c>
      <c r="G43" s="37">
        <f>IFERROR(YHHistoricalPricesAdjusted!G43/YHHistoricalPricesAdjusted!G42-1,  "")</f>
        <v>3.9200952666771371E-2</v>
      </c>
      <c r="H43" s="37">
        <f>IFERROR(YHHistoricalPricesAdjusted!H43/YHHistoricalPricesAdjusted!H42-1,  "")</f>
        <v>1.6368046134344727E-2</v>
      </c>
      <c r="I43" s="37">
        <f>IFERROR(YHHistoricalPricesAdjusted!I43/YHHistoricalPricesAdjusted!I42-1,  "")</f>
        <v>-3.5233143167083703E-2</v>
      </c>
      <c r="J43" s="37">
        <f>IFERROR(YHHistoricalPricesAdjusted!J43/YHHistoricalPricesAdjusted!J42-1,  "")</f>
        <v>3.041502780604799E-2</v>
      </c>
      <c r="K43" s="37">
        <f>IFERROR(YHHistoricalPricesAdjusted!K43/YHHistoricalPricesAdjusted!K42-1,  "")</f>
        <v>-3.3072343691714634E-2</v>
      </c>
      <c r="L43" s="37">
        <f>IFERROR(YHHistoricalPricesAdjusted!L43/YHHistoricalPricesAdjusted!L42-1,  "")</f>
        <v>1.6368046134344727E-2</v>
      </c>
      <c r="M43" s="37">
        <f>IFERROR(YHHistoricalPricesAdjusted!M43/YHHistoricalPricesAdjusted!M42-1,  "")</f>
        <v>4.7148477021591306E-2</v>
      </c>
      <c r="N43" s="37">
        <f>IFERROR(YHHistoricalPricesAdjusted!N43/YHHistoricalPricesAdjusted!N42-1,  "")</f>
        <v>-9.4710536188300831E-2</v>
      </c>
      <c r="O43" s="37">
        <f>IFERROR(YHHistoricalPricesAdjusted!O43/YHHistoricalPricesAdjusted!O42-1,  "")</f>
        <v>-4.9052534140617943E-2</v>
      </c>
      <c r="P43" s="37">
        <f>IFERROR(YHHistoricalPricesAdjusted!P43/YHHistoricalPricesAdjusted!P42-1,  "")</f>
        <v>6.1871595120421619E-2</v>
      </c>
      <c r="Q43" s="37">
        <f>IFERROR(YHHistoricalPricesAdjusted!Q43/YHHistoricalPricesAdjusted!Q42-1,  "")</f>
        <v>4.8892743767533053E-2</v>
      </c>
      <c r="R43" s="37">
        <f>IFERROR(YHHistoricalPricesAdjusted!R43/YHHistoricalPricesAdjusted!R42-1,  "")</f>
        <v>1.1766944502008325E-2</v>
      </c>
      <c r="S43" s="37">
        <f>IFERROR(YHHistoricalPricesAdjusted!S43/YHHistoricalPricesAdjusted!S42-1,  "")</f>
        <v>-2.3270268201952327E-2</v>
      </c>
      <c r="T43" s="37">
        <f>IFERROR(YHHistoricalPricesAdjusted!T43/YHHistoricalPricesAdjusted!T42-1,  "")</f>
        <v>-2.2713212171018293E-2</v>
      </c>
      <c r="U43" s="37">
        <f>IFERROR(YHHistoricalPricesAdjusted!U43/YHHistoricalPricesAdjusted!U42-1,  "")</f>
        <v>1.0318295035831593E-2</v>
      </c>
      <c r="V43" s="37">
        <f>IFERROR(YHHistoricalPricesAdjusted!V43/YHHistoricalPricesAdjusted!V42-1,  "")</f>
        <v>-8.0554753331212758E-2</v>
      </c>
      <c r="W43" s="37">
        <f>IFERROR(YHHistoricalPricesAdjusted!W43/YHHistoricalPricesAdjusted!W42-1,  "")</f>
        <v>4.8881324974045848E-2</v>
      </c>
      <c r="X43" s="37">
        <f>IFERROR(YHHistoricalPricesAdjusted!X43/YHHistoricalPricesAdjusted!X42-1,  "")</f>
        <v>1.2793998510684634E-2</v>
      </c>
      <c r="Y43" s="37">
        <f>IFERROR(YHHistoricalPricesAdjusted!Y43/YHHistoricalPricesAdjusted!Y42-1,  "")</f>
        <v>8.408960459801107E-2</v>
      </c>
      <c r="Z43" s="37">
        <f>IFERROR(YHHistoricalPricesAdjusted!Z43/YHHistoricalPricesAdjusted!Z42-1,  "")</f>
        <v>2.3784233071419747E-2</v>
      </c>
      <c r="AA43" s="37">
        <f>IFERROR(YHHistoricalPricesAdjusted!AA43/YHHistoricalPricesAdjusted!AA42-1,  "")</f>
        <v>2.3995901421555832E-2</v>
      </c>
      <c r="AB43" s="37">
        <f>IFERROR(YHHistoricalPricesAdjusted!AB43/YHHistoricalPricesAdjusted!AB42-1,  "")</f>
        <v>5.633252958856616E-2</v>
      </c>
      <c r="AC43" s="37">
        <f>IFERROR(YHHistoricalPricesAdjusted!AC43/YHHistoricalPricesAdjusted!AC42-1,  "")</f>
        <v>-1.2945356595625568E-2</v>
      </c>
      <c r="AD43" s="37">
        <f>IFERROR(YHHistoricalPricesAdjusted!AD43/YHHistoricalPricesAdjusted!AD42-1,  "")</f>
        <v>-4.8953900828879737E-3</v>
      </c>
      <c r="AE43" s="37">
        <f>IFERROR(YHHistoricalPricesAdjusted!AE43/YHHistoricalPricesAdjusted!AE42-1,  "")</f>
        <v>-0.11043925422020651</v>
      </c>
      <c r="AF43" s="37">
        <f>IFERROR(YHHistoricalPricesAdjusted!AF43/YHHistoricalPricesAdjusted!AF42-1,  "")</f>
        <v>-3.5586437023897854E-3</v>
      </c>
      <c r="AG43" s="37">
        <f>IFERROR(YHHistoricalPricesAdjusted!AG43/YHHistoricalPricesAdjusted!AG42-1,  "")</f>
        <v>-1.9766694728241996E-2</v>
      </c>
      <c r="AH43" s="37">
        <f>IFERROR(YHHistoricalPricesAdjusted!AH43/YHHistoricalPricesAdjusted!AH42-1,  "")</f>
        <v>-2.8525553388015878E-2</v>
      </c>
      <c r="AI43" s="37">
        <f>IFERROR(YHHistoricalPricesAdjusted!AI43/YHHistoricalPricesAdjusted!AI42-1,  "")</f>
        <v>1.0868696777001308E-2</v>
      </c>
      <c r="AJ43" s="37">
        <f>IFERROR(YHHistoricalPricesAdjusted!AJ43/YHHistoricalPricesAdjusted!AJ42-1,  "")</f>
        <v>-4.2322763416216991E-2</v>
      </c>
      <c r="AK43" s="37">
        <f>IFERROR(YHHistoricalPricesAdjusted!AK43/YHHistoricalPricesAdjusted!AK42-1,  "")</f>
        <v>6.4962647053444789E-2</v>
      </c>
      <c r="AL43" s="37">
        <f>IFERROR(YHHistoricalPricesAdjusted!AL43/YHHistoricalPricesAdjusted!AL42-1,  "")</f>
        <v>0.11167369419296369</v>
      </c>
      <c r="AM43" s="37">
        <f>IFERROR(YHHistoricalPricesAdjusted!AM43/YHHistoricalPricesAdjusted!AM42-1,  "")</f>
        <v>7.4314386226113305E-2</v>
      </c>
      <c r="AN43" s="37">
        <f>IFERROR(YHHistoricalPricesAdjusted!AN43/YHHistoricalPricesAdjusted!AN42-1,  "")</f>
        <v>7.0355018702882743E-2</v>
      </c>
      <c r="AO43" s="37">
        <f>IFERROR(YHHistoricalPricesAdjusted!AO43/YHHistoricalPricesAdjusted!AO42-1,  "")</f>
        <v>4.3266903017611158E-2</v>
      </c>
      <c r="AP43" s="37">
        <f>IFERROR(YHHistoricalPricesAdjusted!AP43/YHHistoricalPricesAdjusted!AP42-1,  "")</f>
        <v>8.6862993459640325E-2</v>
      </c>
      <c r="AQ43" s="37">
        <f>IFERROR(YHHistoricalPricesAdjusted!AQ43/YHHistoricalPricesAdjusted!AQ42-1,  "")</f>
        <v>-8.8695768391397145E-2</v>
      </c>
      <c r="AR43" s="37">
        <f>IFERROR(YHHistoricalPricesAdjusted!AR43/YHHistoricalPricesAdjusted!AR42-1,  "")</f>
        <v>0.12816889640102769</v>
      </c>
      <c r="AS43" s="37">
        <f>IFERROR(YHHistoricalPricesAdjusted!AS43/YHHistoricalPricesAdjusted!AS42-1,  "")</f>
        <v>0.20545777583543523</v>
      </c>
      <c r="AT43" s="37">
        <f>IFERROR(YHHistoricalPricesAdjusted!AT43/YHHistoricalPricesAdjusted!AT42-1,  "")</f>
        <v>0.10968864568962622</v>
      </c>
      <c r="AU43" s="37">
        <f>IFERROR(YHHistoricalPricesAdjusted!AU43/YHHistoricalPricesAdjusted!AU42-1,  "")</f>
        <v>0.14625929725374243</v>
      </c>
      <c r="AV43" s="37">
        <f>IFERROR(YHHistoricalPricesAdjusted!AV43/YHHistoricalPricesAdjusted!AV42-1,  "")</f>
        <v>0.17211253889381761</v>
      </c>
      <c r="AW43" s="37">
        <f>IFERROR(YHHistoricalPricesAdjusted!AW43/YHHistoricalPricesAdjusted!AW42-1,  "")</f>
        <v>9.3569292228074641E-2</v>
      </c>
      <c r="AX43" s="37">
        <f>IFERROR(YHHistoricalPricesAdjusted!AX43/YHHistoricalPricesAdjusted!AX42-1,  "")</f>
        <v>0.10813616496029166</v>
      </c>
      <c r="AY43" s="37">
        <f>IFERROR(YHHistoricalPricesAdjusted!AY43/YHHistoricalPricesAdjusted!AY42-1,  "")</f>
        <v>9.6957132938892077E-2</v>
      </c>
      <c r="AZ43" s="37">
        <f>IFERROR(YHHistoricalPricesAdjusted!AZ43/YHHistoricalPricesAdjusted!AZ42-1,  "")</f>
        <v>6.4413765534178991E-2</v>
      </c>
      <c r="BA43" s="37">
        <f>IFERROR(YHHistoricalPricesAdjusted!BA43/YHHistoricalPricesAdjusted!BA42-1,  "")</f>
        <v>9.3074618180886581E-2</v>
      </c>
      <c r="BB43" s="37">
        <f>IFERROR(YHHistoricalPricesAdjusted!BB43/YHHistoricalPricesAdjusted!BB42-1,  "")</f>
        <v>-4.7954565027529039E-2</v>
      </c>
      <c r="BC43" s="37">
        <f>IFERROR(YHHistoricalPricesAdjusted!BC43/YHHistoricalPricesAdjusted!BC42-1,  "")</f>
        <v>-0.10277217545755457</v>
      </c>
      <c r="BD43" s="37">
        <f>IFERROR(YHHistoricalPricesAdjusted!BD43/YHHistoricalPricesAdjusted!BD42-1,  "")</f>
        <v>-5.8761770816728065E-2</v>
      </c>
      <c r="BE43" s="37">
        <f>IFERROR(YHHistoricalPricesAdjusted!BE43/YHHistoricalPricesAdjusted!BE42-1,  "")</f>
        <v>-8.9757208036132408E-2</v>
      </c>
      <c r="BF43" s="37">
        <f>IFERROR(YHHistoricalPricesAdjusted!BF43/YHHistoricalPricesAdjusted!BF42-1,  "")</f>
        <v>-6.4528230743631121E-2</v>
      </c>
      <c r="BG43" s="37">
        <f>IFERROR(YHHistoricalPricesAdjusted!BG43/YHHistoricalPricesAdjusted!BG42-1,  "")</f>
        <v>-5.8150356966145567E-2</v>
      </c>
      <c r="BH43" s="37">
        <f>IFERROR(YHHistoricalPricesAdjusted!BH43/YHHistoricalPricesAdjusted!BH42-1,  "")</f>
        <v>-5.9691221558092367E-2</v>
      </c>
      <c r="BI43" s="37">
        <f>IFERROR(YHHistoricalPricesAdjusted!BI43/YHHistoricalPricesAdjusted!BI42-1,  "")</f>
        <v>-8.1751947057162266E-2</v>
      </c>
      <c r="BJ43" s="37">
        <f>IFERROR(YHHistoricalPricesAdjusted!BJ43/YHHistoricalPricesAdjusted!BJ42-1,  "")</f>
        <v>-0.17473694129543138</v>
      </c>
      <c r="BK43" s="37">
        <f>IFERROR(YHHistoricalPricesAdjusted!BK43/YHHistoricalPricesAdjusted!BK42-1,  "")</f>
        <v>-7.6034202114172555E-2</v>
      </c>
      <c r="BL43" s="37">
        <f>IFERROR(YHHistoricalPricesAdjusted!BL43/YHHistoricalPricesAdjusted!BL42-1,  "")</f>
        <v>4.7326741624877489E-2</v>
      </c>
      <c r="BM43" s="37">
        <f>IFERROR(YHHistoricalPricesAdjusted!BM43/YHHistoricalPricesAdjusted!BM42-1,  "")</f>
        <v>2.7225204556302396E-2</v>
      </c>
      <c r="BN43" s="37">
        <f>IFERROR(YHHistoricalPricesAdjusted!BN43/YHHistoricalPricesAdjusted!BN42-1,  "")</f>
        <v>2.6840067228342646E-2</v>
      </c>
      <c r="BO43" s="37">
        <f>IFERROR(YHHistoricalPricesAdjusted!BO43/YHHistoricalPricesAdjusted!BO42-1,  "")</f>
        <v>-1.7636504084158955E-2</v>
      </c>
      <c r="BP43" s="37">
        <f>IFERROR(YHHistoricalPricesAdjusted!BP43/YHHistoricalPricesAdjusted!BP42-1,  "")</f>
        <v>-3.0394249253488104E-3</v>
      </c>
      <c r="BQ43" s="37">
        <f>IFERROR(YHHistoricalPricesAdjusted!BQ43/YHHistoricalPricesAdjusted!BQ42-1,  "")</f>
        <v>-9.2815378854306241E-3</v>
      </c>
      <c r="BR43" s="37">
        <f>IFERROR(YHHistoricalPricesAdjusted!BR43/YHHistoricalPricesAdjusted!BR42-1,  "")</f>
        <v>-1.487871727922141E-2</v>
      </c>
      <c r="BS43" s="37">
        <f>IFERROR(YHHistoricalPricesAdjusted!BS43/YHHistoricalPricesAdjusted!BS42-1,  "")</f>
        <v>-3.6103954181445852E-2</v>
      </c>
      <c r="BT43" s="37">
        <f>IFERROR(YHHistoricalPricesAdjusted!BT43/YHHistoricalPricesAdjusted!BT42-1,  "")</f>
        <v>-5.6674881252591125E-2</v>
      </c>
      <c r="BU43" s="37">
        <f>IFERROR(YHHistoricalPricesAdjusted!BU43/YHHistoricalPricesAdjusted!BU42-1,  "")</f>
        <v>-7.2061169212427556E-2</v>
      </c>
      <c r="BV43" s="37">
        <f>IFERROR(YHHistoricalPricesAdjusted!BV43/YHHistoricalPricesAdjusted!BV42-1,  "")</f>
        <v>-2.7775460881976133E-2</v>
      </c>
      <c r="BW43" s="37">
        <f>IFERROR(YHHistoricalPricesAdjusted!BW43/YHHistoricalPricesAdjusted!BW42-1,  "")</f>
        <v>4.7271959488368376E-2</v>
      </c>
      <c r="BX43" s="37">
        <f>IFERROR(YHHistoricalPricesAdjusted!BX43/YHHistoricalPricesAdjusted!BX42-1,  "")</f>
        <v>9.7052916791485755E-2</v>
      </c>
      <c r="BY43" s="37">
        <f>IFERROR(YHHistoricalPricesAdjusted!BY43/YHHistoricalPricesAdjusted!BY42-1,  "")</f>
        <v>-5.1367758348677017E-2</v>
      </c>
      <c r="BZ43" s="37">
        <f>IFERROR(YHHistoricalPricesAdjusted!BZ43/YHHistoricalPricesAdjusted!BZ42-1,  "")</f>
        <v>4.6409205248296503E-2</v>
      </c>
      <c r="CA43" s="37">
        <f>IFERROR(YHHistoricalPricesAdjusted!CA43/YHHistoricalPricesAdjusted!CA42-1,  "")</f>
        <v>-6.2742074138162574E-2</v>
      </c>
      <c r="CB43" s="37">
        <f>IFERROR(YHHistoricalPricesAdjusted!CB43/YHHistoricalPricesAdjusted!CB42-1,  "")</f>
        <v>1.8518541380887488E-2</v>
      </c>
      <c r="CC43" s="37">
        <f>IFERROR(YHHistoricalPricesAdjusted!CC43/YHHistoricalPricesAdjusted!CC42-1,  "")</f>
        <v>8.8198336957301393E-3</v>
      </c>
      <c r="CD43" s="37">
        <f>IFERROR(YHHistoricalPricesAdjusted!CD43/YHHistoricalPricesAdjusted!CD42-1,  "")</f>
        <v>-3.8128095920008209E-2</v>
      </c>
      <c r="CE43" s="37">
        <f>IFERROR(YHHistoricalPricesAdjusted!CE43/YHHistoricalPricesAdjusted!CE42-1,  "")</f>
        <v>-6.2032705128667653E-2</v>
      </c>
      <c r="CF43" s="37">
        <f>IFERROR(YHHistoricalPricesAdjusted!CF43/YHHistoricalPricesAdjusted!CF42-1,  "")</f>
        <v>8.1761006289308158E-2</v>
      </c>
    </row>
    <row r="44" spans="1:84" x14ac:dyDescent="0.25">
      <c r="A44" s="17">
        <v>42582</v>
      </c>
      <c r="B44" s="37">
        <f>IFERROR(YHHistoricalPricesAdjusted!B44/YHHistoricalPricesAdjusted!B43-1,  "")</f>
        <v>9.00628080169672E-2</v>
      </c>
      <c r="C44" s="37">
        <f>IFERROR(YHHistoricalPricesAdjusted!C44/YHHistoricalPricesAdjusted!C43-1,  "")</f>
        <v>-3.3066125648595346E-3</v>
      </c>
      <c r="D44" s="37">
        <f>IFERROR(YHHistoricalPricesAdjusted!D44/YHHistoricalPricesAdjusted!D43-1,  "")</f>
        <v>5.8242234211905775E-2</v>
      </c>
      <c r="E44" s="37">
        <f>IFERROR(YHHistoricalPricesAdjusted!E44/YHHistoricalPricesAdjusted!E43-1,  "")</f>
        <v>-1.9116818527241342E-2</v>
      </c>
      <c r="F44" s="37">
        <f>IFERROR(YHHistoricalPricesAdjusted!F44/YHHistoricalPricesAdjusted!F43-1,  "")</f>
        <v>-1.5167109684803726E-2</v>
      </c>
      <c r="G44" s="37">
        <f>IFERROR(YHHistoricalPricesAdjusted!G44/YHHistoricalPricesAdjusted!G43-1,  "")</f>
        <v>-6.8468990745773617E-4</v>
      </c>
      <c r="H44" s="37">
        <f>IFERROR(YHHistoricalPricesAdjusted!H44/YHHistoricalPricesAdjusted!H43-1,  "")</f>
        <v>-3.0121927885397581E-2</v>
      </c>
      <c r="I44" s="37">
        <f>IFERROR(YHHistoricalPricesAdjusted!I44/YHHistoricalPricesAdjusted!I43-1,  "")</f>
        <v>0.10107508171045221</v>
      </c>
      <c r="J44" s="37">
        <f>IFERROR(YHHistoricalPricesAdjusted!J44/YHHistoricalPricesAdjusted!J43-1,  "")</f>
        <v>8.7738053361982926E-2</v>
      </c>
      <c r="K44" s="37">
        <f>IFERROR(YHHistoricalPricesAdjusted!K44/YHHistoricalPricesAdjusted!K43-1,  "")</f>
        <v>0.11611164125910634</v>
      </c>
      <c r="L44" s="37">
        <f>IFERROR(YHHistoricalPricesAdjusted!L44/YHHistoricalPricesAdjusted!L43-1,  "")</f>
        <v>-3.0121927885397581E-2</v>
      </c>
      <c r="M44" s="37">
        <f>IFERROR(YHHistoricalPricesAdjusted!M44/YHHistoricalPricesAdjusted!M43-1,  "")</f>
        <v>3.5833659925287753E-2</v>
      </c>
      <c r="N44" s="37">
        <f>IFERROR(YHHistoricalPricesAdjusted!N44/YHHistoricalPricesAdjusted!N43-1,  "")</f>
        <v>8.9695031984830864E-2</v>
      </c>
      <c r="O44" s="37">
        <f>IFERROR(YHHistoricalPricesAdjusted!O44/YHHistoricalPricesAdjusted!O43-1,  "")</f>
        <v>0.10603916575296379</v>
      </c>
      <c r="P44" s="37">
        <f>IFERROR(YHHistoricalPricesAdjusted!P44/YHHistoricalPricesAdjusted!P43-1,  "")</f>
        <v>-5.1098689585731605E-2</v>
      </c>
      <c r="Q44" s="37">
        <f>IFERROR(YHHistoricalPricesAdjusted!Q44/YHHistoricalPricesAdjusted!Q43-1,  "")</f>
        <v>-2.2417303119226184E-2</v>
      </c>
      <c r="R44" s="37">
        <f>IFERROR(YHHistoricalPricesAdjusted!R44/YHHistoricalPricesAdjusted!R43-1,  "")</f>
        <v>2.0635618319485349E-2</v>
      </c>
      <c r="S44" s="37">
        <f>IFERROR(YHHistoricalPricesAdjusted!S44/YHHistoricalPricesAdjusted!S43-1,  "")</f>
        <v>6.5703814484387557E-2</v>
      </c>
      <c r="T44" s="37">
        <f>IFERROR(YHHistoricalPricesAdjusted!T44/YHHistoricalPricesAdjusted!T43-1,  "")</f>
        <v>6.1638835695533745E-2</v>
      </c>
      <c r="U44" s="37">
        <f>IFERROR(YHHistoricalPricesAdjusted!U44/YHHistoricalPricesAdjusted!U43-1,  "")</f>
        <v>6.5348906845171806E-2</v>
      </c>
      <c r="V44" s="37">
        <f>IFERROR(YHHistoricalPricesAdjusted!V44/YHHistoricalPricesAdjusted!V43-1,  "")</f>
        <v>3.2491889167377996E-2</v>
      </c>
      <c r="W44" s="37">
        <f>IFERROR(YHHistoricalPricesAdjusted!W44/YHHistoricalPricesAdjusted!W43-1,  "")</f>
        <v>3.1321680173687083E-2</v>
      </c>
      <c r="X44" s="37">
        <f>IFERROR(YHHistoricalPricesAdjusted!X44/YHHistoricalPricesAdjusted!X43-1,  "")</f>
        <v>5.4927751612116937E-2</v>
      </c>
      <c r="Y44" s="37">
        <f>IFERROR(YHHistoricalPricesAdjusted!Y44/YHHistoricalPricesAdjusted!Y43-1,  "")</f>
        <v>3.2398987537948898E-2</v>
      </c>
      <c r="Z44" s="37">
        <f>IFERROR(YHHistoricalPricesAdjusted!Z44/YHHistoricalPricesAdjusted!Z43-1,  "")</f>
        <v>4.7713611477084195E-2</v>
      </c>
      <c r="AA44" s="37">
        <f>IFERROR(YHHistoricalPricesAdjusted!AA44/YHHistoricalPricesAdjusted!AA43-1,  "")</f>
        <v>2.6537841489362002E-2</v>
      </c>
      <c r="AB44" s="37">
        <f>IFERROR(YHHistoricalPricesAdjusted!AB44/YHHistoricalPricesAdjusted!AB43-1,  "")</f>
        <v>1.8782673275449024E-2</v>
      </c>
      <c r="AC44" s="37">
        <f>IFERROR(YHHistoricalPricesAdjusted!AC44/YHHistoricalPricesAdjusted!AC43-1,  "")</f>
        <v>1.5581942006450689E-3</v>
      </c>
      <c r="AD44" s="37">
        <f>IFERROR(YHHistoricalPricesAdjusted!AD44/YHHistoricalPricesAdjusted!AD43-1,  "")</f>
        <v>-3.4079179726261621E-2</v>
      </c>
      <c r="AE44" s="37">
        <f>IFERROR(YHHistoricalPricesAdjusted!AE44/YHHistoricalPricesAdjusted!AE43-1,  "")</f>
        <v>0.14246605253901157</v>
      </c>
      <c r="AF44" s="37">
        <f>IFERROR(YHHistoricalPricesAdjusted!AF44/YHHistoricalPricesAdjusted!AF43-1,  "")</f>
        <v>-3.8736255271857756E-2</v>
      </c>
      <c r="AG44" s="37">
        <f>IFERROR(YHHistoricalPricesAdjusted!AG44/YHHistoricalPricesAdjusted!AG43-1,  "")</f>
        <v>9.4595193587654114E-2</v>
      </c>
      <c r="AH44" s="37">
        <f>IFERROR(YHHistoricalPricesAdjusted!AH44/YHHistoricalPricesAdjusted!AH43-1,  "")</f>
        <v>8.2622086142100093E-2</v>
      </c>
      <c r="AI44" s="37">
        <f>IFERROR(YHHistoricalPricesAdjusted!AI44/YHHistoricalPricesAdjusted!AI43-1,  "")</f>
        <v>7.8844268460683598E-2</v>
      </c>
      <c r="AJ44" s="37">
        <f>IFERROR(YHHistoricalPricesAdjusted!AJ44/YHHistoricalPricesAdjusted!AJ43-1,  "")</f>
        <v>9.7365896430717802E-2</v>
      </c>
      <c r="AK44" s="37">
        <f>IFERROR(YHHistoricalPricesAdjusted!AK44/YHHistoricalPricesAdjusted!AK43-1,  "")</f>
        <v>-2.9482394745982132E-3</v>
      </c>
      <c r="AL44" s="37">
        <f>IFERROR(YHHistoricalPricesAdjusted!AL44/YHHistoricalPricesAdjusted!AL43-1,  "")</f>
        <v>7.9711971491406741E-2</v>
      </c>
      <c r="AM44" s="37">
        <f>IFERROR(YHHistoricalPricesAdjusted!AM44/YHHistoricalPricesAdjusted!AM43-1,  "")</f>
        <v>5.4899837095995441E-2</v>
      </c>
      <c r="AN44" s="37">
        <f>IFERROR(YHHistoricalPricesAdjusted!AN44/YHHistoricalPricesAdjusted!AN43-1,  "")</f>
        <v>2.6454997652600731E-2</v>
      </c>
      <c r="AO44" s="37">
        <f>IFERROR(YHHistoricalPricesAdjusted!AO44/YHHistoricalPricesAdjusted!AO43-1,  "")</f>
        <v>6.6475710378237629E-2</v>
      </c>
      <c r="AP44" s="37">
        <f>IFERROR(YHHistoricalPricesAdjusted!AP44/YHHistoricalPricesAdjusted!AP43-1,  "")</f>
        <v>0.12455998232850929</v>
      </c>
      <c r="AQ44" s="37">
        <f>IFERROR(YHHistoricalPricesAdjusted!AQ44/YHHistoricalPricesAdjusted!AQ43-1,  "")</f>
        <v>5.2711241118501118E-2</v>
      </c>
      <c r="AR44" s="37">
        <f>IFERROR(YHHistoricalPricesAdjusted!AR44/YHHistoricalPricesAdjusted!AR43-1,  "")</f>
        <v>-1.4148586271965913E-2</v>
      </c>
      <c r="AS44" s="37">
        <f>IFERROR(YHHistoricalPricesAdjusted!AS44/YHHistoricalPricesAdjusted!AS43-1,  "")</f>
        <v>-3.4354462894008897E-2</v>
      </c>
      <c r="AT44" s="37">
        <f>IFERROR(YHHistoricalPricesAdjusted!AT44/YHHistoricalPricesAdjusted!AT43-1,  "")</f>
        <v>-2.860346427014171E-2</v>
      </c>
      <c r="AU44" s="37">
        <f>IFERROR(YHHistoricalPricesAdjusted!AU44/YHHistoricalPricesAdjusted!AU43-1,  "")</f>
        <v>-2.2837393700054331E-2</v>
      </c>
      <c r="AV44" s="37">
        <f>IFERROR(YHHistoricalPricesAdjusted!AV44/YHHistoricalPricesAdjusted!AV43-1,  "")</f>
        <v>-9.1637055234791265E-2</v>
      </c>
      <c r="AW44" s="37">
        <f>IFERROR(YHHistoricalPricesAdjusted!AW44/YHHistoricalPricesAdjusted!AW43-1,  "")</f>
        <v>-1.6181056058810928E-2</v>
      </c>
      <c r="AX44" s="37">
        <f>IFERROR(YHHistoricalPricesAdjusted!AX44/YHHistoricalPricesAdjusted!AX43-1,  "")</f>
        <v>-2.3314762751448503E-3</v>
      </c>
      <c r="AY44" s="37">
        <f>IFERROR(YHHistoricalPricesAdjusted!AY44/YHHistoricalPricesAdjusted!AY43-1,  "")</f>
        <v>-2.4241701352213374E-3</v>
      </c>
      <c r="AZ44" s="37">
        <f>IFERROR(YHHistoricalPricesAdjusted!AZ44/YHHistoricalPricesAdjusted!AZ43-1,  "")</f>
        <v>-1.2072477886622357E-2</v>
      </c>
      <c r="BA44" s="37">
        <f>IFERROR(YHHistoricalPricesAdjusted!BA44/YHHistoricalPricesAdjusted!BA43-1,  "")</f>
        <v>-8.4418184546580788E-3</v>
      </c>
      <c r="BB44" s="37">
        <f>IFERROR(YHHistoricalPricesAdjusted!BB44/YHHistoricalPricesAdjusted!BB43-1,  "")</f>
        <v>2.944961676975022E-2</v>
      </c>
      <c r="BC44" s="37">
        <f>IFERROR(YHHistoricalPricesAdjusted!BC44/YHHistoricalPricesAdjusted!BC43-1,  "")</f>
        <v>9.5640524679142302E-2</v>
      </c>
      <c r="BD44" s="37">
        <f>IFERROR(YHHistoricalPricesAdjusted!BD44/YHHistoricalPricesAdjusted!BD43-1,  "")</f>
        <v>5.2312051177644481E-2</v>
      </c>
      <c r="BE44" s="37">
        <f>IFERROR(YHHistoricalPricesAdjusted!BE44/YHHistoricalPricesAdjusted!BE43-1,  "")</f>
        <v>3.3498381782817166E-2</v>
      </c>
      <c r="BF44" s="37">
        <f>IFERROR(YHHistoricalPricesAdjusted!BF44/YHHistoricalPricesAdjusted!BF43-1,  "")</f>
        <v>6.8851858407102728E-2</v>
      </c>
      <c r="BG44" s="37">
        <f>IFERROR(YHHistoricalPricesAdjusted!BG44/YHHistoricalPricesAdjusted!BG43-1,  "")</f>
        <v>5.2560746913922207E-2</v>
      </c>
      <c r="BH44" s="37">
        <f>IFERROR(YHHistoricalPricesAdjusted!BH44/YHHistoricalPricesAdjusted!BH43-1,  "")</f>
        <v>1.3522045364706914E-2</v>
      </c>
      <c r="BI44" s="37">
        <f>IFERROR(YHHistoricalPricesAdjusted!BI44/YHHistoricalPricesAdjusted!BI43-1,  "")</f>
        <v>8.1535499886552287E-2</v>
      </c>
      <c r="BJ44" s="37">
        <f>IFERROR(YHHistoricalPricesAdjusted!BJ44/YHHistoricalPricesAdjusted!BJ43-1,  "")</f>
        <v>8.1632854718045822E-2</v>
      </c>
      <c r="BK44" s="37">
        <f>IFERROR(YHHistoricalPricesAdjusted!BK44/YHHistoricalPricesAdjusted!BK43-1,  "")</f>
        <v>6.6235732793638258E-2</v>
      </c>
      <c r="BL44" s="37">
        <f>IFERROR(YHHistoricalPricesAdjusted!BL44/YHHistoricalPricesAdjusted!BL43-1,  "")</f>
        <v>1.8501756550323156E-2</v>
      </c>
      <c r="BM44" s="37">
        <f>IFERROR(YHHistoricalPricesAdjusted!BM44/YHHistoricalPricesAdjusted!BM43-1,  "")</f>
        <v>8.5944450920028004E-5</v>
      </c>
      <c r="BN44" s="37">
        <f>IFERROR(YHHistoricalPricesAdjusted!BN44/YHHistoricalPricesAdjusted!BN43-1,  "")</f>
        <v>6.5844850565893953E-2</v>
      </c>
      <c r="BO44" s="37">
        <f>IFERROR(YHHistoricalPricesAdjusted!BO44/YHHistoricalPricesAdjusted!BO43-1,  "")</f>
        <v>0.11411925447572879</v>
      </c>
      <c r="BP44" s="37">
        <f>IFERROR(YHHistoricalPricesAdjusted!BP44/YHHistoricalPricesAdjusted!BP43-1,  "")</f>
        <v>-1.1725113976739365E-3</v>
      </c>
      <c r="BQ44" s="37">
        <f>IFERROR(YHHistoricalPricesAdjusted!BQ44/YHHistoricalPricesAdjusted!BQ43-1,  "")</f>
        <v>9.1871108796393042E-2</v>
      </c>
      <c r="BR44" s="37">
        <f>IFERROR(YHHistoricalPricesAdjusted!BR44/YHHistoricalPricesAdjusted!BR43-1,  "")</f>
        <v>9.3666263399571736E-2</v>
      </c>
      <c r="BS44" s="37">
        <f>IFERROR(YHHistoricalPricesAdjusted!BS44/YHHistoricalPricesAdjusted!BS43-1,  "")</f>
        <v>5.5974177605260245E-2</v>
      </c>
      <c r="BT44" s="37">
        <f>IFERROR(YHHistoricalPricesAdjusted!BT44/YHHistoricalPricesAdjusted!BT43-1,  "")</f>
        <v>5.8083834654045319E-2</v>
      </c>
      <c r="BU44" s="37">
        <f>IFERROR(YHHistoricalPricesAdjusted!BU44/YHHistoricalPricesAdjusted!BU43-1,  "")</f>
        <v>4.4511904555314619E-2</v>
      </c>
      <c r="BV44" s="37">
        <f>IFERROR(YHHistoricalPricesAdjusted!BV44/YHHistoricalPricesAdjusted!BV43-1,  "")</f>
        <v>0.10768022025649326</v>
      </c>
      <c r="BW44" s="37">
        <f>IFERROR(YHHistoricalPricesAdjusted!BW44/YHHistoricalPricesAdjusted!BW43-1,  "")</f>
        <v>6.2804842489635915E-2</v>
      </c>
      <c r="BX44" s="37">
        <f>IFERROR(YHHistoricalPricesAdjusted!BX44/YHHistoricalPricesAdjusted!BX43-1,  "")</f>
        <v>-7.7004302325830443E-3</v>
      </c>
      <c r="BY44" s="37">
        <f>IFERROR(YHHistoricalPricesAdjusted!BY44/YHHistoricalPricesAdjusted!BY43-1,  "")</f>
        <v>3.0096951008842687E-2</v>
      </c>
      <c r="BZ44" s="37">
        <f>IFERROR(YHHistoricalPricesAdjusted!BZ44/YHHistoricalPricesAdjusted!BZ43-1,  "")</f>
        <v>-5.5551292072497649E-3</v>
      </c>
      <c r="CA44" s="37">
        <f>IFERROR(YHHistoricalPricesAdjusted!CA44/YHHistoricalPricesAdjusted!CA43-1,  "")</f>
        <v>3.7052383940836986E-2</v>
      </c>
      <c r="CB44" s="37">
        <f>IFERROR(YHHistoricalPricesAdjusted!CB44/YHHistoricalPricesAdjusted!CB43-1,  "")</f>
        <v>-1.5316793388429839E-2</v>
      </c>
      <c r="CC44" s="37">
        <f>IFERROR(YHHistoricalPricesAdjusted!CC44/YHHistoricalPricesAdjusted!CC43-1,  "")</f>
        <v>0.2146353046054188</v>
      </c>
      <c r="CD44" s="37">
        <f>IFERROR(YHHistoricalPricesAdjusted!CD44/YHHistoricalPricesAdjusted!CD43-1,  "")</f>
        <v>8.4529253452303665E-2</v>
      </c>
      <c r="CE44" s="37">
        <f>IFERROR(YHHistoricalPricesAdjusted!CE44/YHHistoricalPricesAdjusted!CE43-1,  "")</f>
        <v>0.13717520595809241</v>
      </c>
      <c r="CF44" s="37">
        <f>IFERROR(YHHistoricalPricesAdjusted!CF44/YHHistoricalPricesAdjusted!CF43-1,  "")</f>
        <v>-1.4534883720930258E-3</v>
      </c>
    </row>
    <row r="45" spans="1:84" x14ac:dyDescent="0.25">
      <c r="A45" s="17">
        <v>42613</v>
      </c>
      <c r="B45" s="37">
        <f>IFERROR(YHHistoricalPricesAdjusted!B45/YHHistoricalPricesAdjusted!B44-1,  "")</f>
        <v>1.8136418219607986E-2</v>
      </c>
      <c r="C45" s="37">
        <f>IFERROR(YHHistoricalPricesAdjusted!C45/YHHistoricalPricesAdjusted!C44-1,  "")</f>
        <v>3.2113817926331389E-3</v>
      </c>
      <c r="D45" s="37">
        <f>IFERROR(YHHistoricalPricesAdjusted!D45/YHHistoricalPricesAdjusted!D44-1,  "")</f>
        <v>-1.0833039150483836E-2</v>
      </c>
      <c r="E45" s="37">
        <f>IFERROR(YHHistoricalPricesAdjusted!E45/YHHistoricalPricesAdjusted!E44-1,  "")</f>
        <v>-8.3775091134031809E-3</v>
      </c>
      <c r="F45" s="37">
        <f>IFERROR(YHHistoricalPricesAdjusted!F45/YHHistoricalPricesAdjusted!F44-1,  "")</f>
        <v>-1.6914435759874391E-2</v>
      </c>
      <c r="G45" s="37">
        <f>IFERROR(YHHistoricalPricesAdjusted!G45/YHHistoricalPricesAdjusted!G44-1,  "")</f>
        <v>-2.0967263105613365E-2</v>
      </c>
      <c r="H45" s="37">
        <f>IFERROR(YHHistoricalPricesAdjusted!H45/YHHistoricalPricesAdjusted!H44-1,  "")</f>
        <v>-4.5839271159282546E-3</v>
      </c>
      <c r="I45" s="37">
        <f>IFERROR(YHHistoricalPricesAdjusted!I45/YHHistoricalPricesAdjusted!I44-1,  "")</f>
        <v>1.8378467326711334E-2</v>
      </c>
      <c r="J45" s="37">
        <f>IFERROR(YHHistoricalPricesAdjusted!J45/YHHistoricalPricesAdjusted!J44-1,  "")</f>
        <v>-1.3785708590323242E-2</v>
      </c>
      <c r="K45" s="37">
        <f>IFERROR(YHHistoricalPricesAdjusted!K45/YHHistoricalPricesAdjusted!K44-1,  "")</f>
        <v>8.0913941944305234E-2</v>
      </c>
      <c r="L45" s="37">
        <f>IFERROR(YHHistoricalPricesAdjusted!L45/YHHistoricalPricesAdjusted!L44-1,  "")</f>
        <v>-4.5839271159282546E-3</v>
      </c>
      <c r="M45" s="37">
        <f>IFERROR(YHHistoricalPricesAdjusted!M45/YHHistoricalPricesAdjusted!M44-1,  "")</f>
        <v>-1.9922965422368044E-2</v>
      </c>
      <c r="N45" s="37">
        <f>IFERROR(YHHistoricalPricesAdjusted!N45/YHHistoricalPricesAdjusted!N44-1,  "")</f>
        <v>0.13606187891807164</v>
      </c>
      <c r="O45" s="37">
        <f>IFERROR(YHHistoricalPricesAdjusted!O45/YHHistoricalPricesAdjusted!O44-1,  "")</f>
        <v>-9.702286587657083E-2</v>
      </c>
      <c r="P45" s="37">
        <f>IFERROR(YHHistoricalPricesAdjusted!P45/YHHistoricalPricesAdjusted!P44-1,  "")</f>
        <v>-2.0348369459071369E-2</v>
      </c>
      <c r="Q45" s="37">
        <f>IFERROR(YHHistoricalPricesAdjusted!Q45/YHHistoricalPricesAdjusted!Q44-1,  "")</f>
        <v>-1.8540162796586213E-2</v>
      </c>
      <c r="R45" s="37">
        <f>IFERROR(YHHistoricalPricesAdjusted!R45/YHHistoricalPricesAdjusted!R44-1,  "")</f>
        <v>-5.3448166321550805E-2</v>
      </c>
      <c r="S45" s="37">
        <f>IFERROR(YHHistoricalPricesAdjusted!S45/YHHistoricalPricesAdjusted!S44-1,  "")</f>
        <v>0.1329251119814896</v>
      </c>
      <c r="T45" s="37">
        <f>IFERROR(YHHistoricalPricesAdjusted!T45/YHHistoricalPricesAdjusted!T44-1,  "")</f>
        <v>3.9999965532014237E-2</v>
      </c>
      <c r="U45" s="37">
        <f>IFERROR(YHHistoricalPricesAdjusted!U45/YHHistoricalPricesAdjusted!U44-1,  "")</f>
        <v>-4.9898982617716858E-2</v>
      </c>
      <c r="V45" s="37">
        <f>IFERROR(YHHistoricalPricesAdjusted!V45/YHHistoricalPricesAdjusted!V44-1,  "")</f>
        <v>2.8732658147707646E-3</v>
      </c>
      <c r="W45" s="37">
        <f>IFERROR(YHHistoricalPricesAdjusted!W45/YHHistoricalPricesAdjusted!W44-1,  "")</f>
        <v>0.11370373810754475</v>
      </c>
      <c r="X45" s="37">
        <f>IFERROR(YHHistoricalPricesAdjusted!X45/YHHistoricalPricesAdjusted!X44-1,  "")</f>
        <v>0.12271188780393638</v>
      </c>
      <c r="Y45" s="37">
        <f>IFERROR(YHHistoricalPricesAdjusted!Y45/YHHistoricalPricesAdjusted!Y44-1,  "")</f>
        <v>-4.7033565944862521E-2</v>
      </c>
      <c r="Z45" s="37">
        <f>IFERROR(YHHistoricalPricesAdjusted!Z45/YHHistoricalPricesAdjusted!Z44-1,  "")</f>
        <v>-5.6654884975982922E-2</v>
      </c>
      <c r="AA45" s="37">
        <f>IFERROR(YHHistoricalPricesAdjusted!AA45/YHHistoricalPricesAdjusted!AA44-1,  "")</f>
        <v>7.0405863776084932E-2</v>
      </c>
      <c r="AB45" s="37">
        <f>IFERROR(YHHistoricalPricesAdjusted!AB45/YHHistoricalPricesAdjusted!AB44-1,  "")</f>
        <v>-4.992999768696238E-2</v>
      </c>
      <c r="AC45" s="37">
        <f>IFERROR(YHHistoricalPricesAdjusted!AC45/YHHistoricalPricesAdjusted!AC44-1,  "")</f>
        <v>-2.0484792989879819E-2</v>
      </c>
      <c r="AD45" s="37">
        <f>IFERROR(YHHistoricalPricesAdjusted!AD45/YHHistoricalPricesAdjusted!AD44-1,  "")</f>
        <v>-6.9481846269626391E-2</v>
      </c>
      <c r="AE45" s="37">
        <f>IFERROR(YHHistoricalPricesAdjusted!AE45/YHHistoricalPricesAdjusted!AE44-1,  "")</f>
        <v>1.0494975448393173E-2</v>
      </c>
      <c r="AF45" s="37">
        <f>IFERROR(YHHistoricalPricesAdjusted!AF45/YHHistoricalPricesAdjusted!AF44-1,  "")</f>
        <v>-9.545590405693527E-2</v>
      </c>
      <c r="AG45" s="37">
        <f>IFERROR(YHHistoricalPricesAdjusted!AG45/YHHistoricalPricesAdjusted!AG44-1,  "")</f>
        <v>-7.2781097618932034E-2</v>
      </c>
      <c r="AH45" s="37">
        <f>IFERROR(YHHistoricalPricesAdjusted!AH45/YHHistoricalPricesAdjusted!AH44-1,  "")</f>
        <v>-2.9803267745988182E-2</v>
      </c>
      <c r="AI45" s="37">
        <f>IFERROR(YHHistoricalPricesAdjusted!AI45/YHHistoricalPricesAdjusted!AI44-1,  "")</f>
        <v>-5.1601297853117734E-3</v>
      </c>
      <c r="AJ45" s="37">
        <f>IFERROR(YHHistoricalPricesAdjusted!AJ45/YHHistoricalPricesAdjusted!AJ44-1,  "")</f>
        <v>-6.4552041609770905E-2</v>
      </c>
      <c r="AK45" s="37">
        <f>IFERROR(YHHistoricalPricesAdjusted!AK45/YHHistoricalPricesAdjusted!AK44-1,  "")</f>
        <v>-3.2383670602933456E-3</v>
      </c>
      <c r="AL45" s="37">
        <f>IFERROR(YHHistoricalPricesAdjusted!AL45/YHHistoricalPricesAdjusted!AL44-1,  "")</f>
        <v>6.3209906063696142E-2</v>
      </c>
      <c r="AM45" s="37">
        <f>IFERROR(YHHistoricalPricesAdjusted!AM45/YHHistoricalPricesAdjusted!AM44-1,  "")</f>
        <v>0.16133227970741815</v>
      </c>
      <c r="AN45" s="37">
        <f>IFERROR(YHHistoricalPricesAdjusted!AN45/YHHistoricalPricesAdjusted!AN44-1,  "")</f>
        <v>6.0269705754395941E-2</v>
      </c>
      <c r="AO45" s="37">
        <f>IFERROR(YHHistoricalPricesAdjusted!AO45/YHHistoricalPricesAdjusted!AO44-1,  "")</f>
        <v>2.6652306390909652E-2</v>
      </c>
      <c r="AP45" s="37">
        <f>IFERROR(YHHistoricalPricesAdjusted!AP45/YHHistoricalPricesAdjusted!AP44-1,  "")</f>
        <v>1.5410807278894101E-2</v>
      </c>
      <c r="AQ45" s="37">
        <f>IFERROR(YHHistoricalPricesAdjusted!AQ45/YHHistoricalPricesAdjusted!AQ44-1,  "")</f>
        <v>-2.4198634972490751E-2</v>
      </c>
      <c r="AR45" s="37">
        <f>IFERROR(YHHistoricalPricesAdjusted!AR45/YHHistoricalPricesAdjusted!AR44-1,  "")</f>
        <v>-9.7685373330666847E-2</v>
      </c>
      <c r="AS45" s="37">
        <f>IFERROR(YHHistoricalPricesAdjusted!AS45/YHHistoricalPricesAdjusted!AS44-1,  "")</f>
        <v>-9.6056893400919274E-2</v>
      </c>
      <c r="AT45" s="37">
        <f>IFERROR(YHHistoricalPricesAdjusted!AT45/YHHistoricalPricesAdjusted!AT44-1,  "")</f>
        <v>-0.12211321043923518</v>
      </c>
      <c r="AU45" s="37">
        <f>IFERROR(YHHistoricalPricesAdjusted!AU45/YHHistoricalPricesAdjusted!AU44-1,  "")</f>
        <v>-0.10402037186095869</v>
      </c>
      <c r="AV45" s="37">
        <f>IFERROR(YHHistoricalPricesAdjusted!AV45/YHHistoricalPricesAdjusted!AV44-1,  "")</f>
        <v>-9.1674833617334084E-2</v>
      </c>
      <c r="AW45" s="37">
        <f>IFERROR(YHHistoricalPricesAdjusted!AW45/YHHistoricalPricesAdjusted!AW44-1,  "")</f>
        <v>-5.7292019601575039E-2</v>
      </c>
      <c r="AX45" s="37">
        <f>IFERROR(YHHistoricalPricesAdjusted!AX45/YHHistoricalPricesAdjusted!AX44-1,  "")</f>
        <v>-6.9283739839148928E-2</v>
      </c>
      <c r="AY45" s="37">
        <f>IFERROR(YHHistoricalPricesAdjusted!AY45/YHHistoricalPricesAdjusted!AY44-1,  "")</f>
        <v>-4.0560752975875802E-2</v>
      </c>
      <c r="AZ45" s="37">
        <f>IFERROR(YHHistoricalPricesAdjusted!AZ45/YHHistoricalPricesAdjusted!AZ44-1,  "")</f>
        <v>-6.4801681959477442E-2</v>
      </c>
      <c r="BA45" s="37">
        <f>IFERROR(YHHistoricalPricesAdjusted!BA45/YHHistoricalPricesAdjusted!BA44-1,  "")</f>
        <v>-4.7374683332106815E-2</v>
      </c>
      <c r="BB45" s="37">
        <f>IFERROR(YHHistoricalPricesAdjusted!BB45/YHHistoricalPricesAdjusted!BB44-1,  "")</f>
        <v>6.3396273004446169E-2</v>
      </c>
      <c r="BC45" s="37">
        <f>IFERROR(YHHistoricalPricesAdjusted!BC45/YHHistoricalPricesAdjusted!BC44-1,  "")</f>
        <v>0.11387178721942237</v>
      </c>
      <c r="BD45" s="37">
        <f>IFERROR(YHHistoricalPricesAdjusted!BD45/YHHistoricalPricesAdjusted!BD44-1,  "")</f>
        <v>3.6515055308417255E-2</v>
      </c>
      <c r="BE45" s="37">
        <f>IFERROR(YHHistoricalPricesAdjusted!BE45/YHHistoricalPricesAdjusted!BE44-1,  "")</f>
        <v>9.3656558824653846E-2</v>
      </c>
      <c r="BF45" s="37">
        <f>IFERROR(YHHistoricalPricesAdjusted!BF45/YHHistoricalPricesAdjusted!BF44-1,  "")</f>
        <v>6.7061162437473287E-2</v>
      </c>
      <c r="BG45" s="37">
        <f>IFERROR(YHHistoricalPricesAdjusted!BG45/YHHistoricalPricesAdjusted!BG44-1,  "")</f>
        <v>4.6953021831528163E-2</v>
      </c>
      <c r="BH45" s="37">
        <f>IFERROR(YHHistoricalPricesAdjusted!BH45/YHHistoricalPricesAdjusted!BH44-1,  "")</f>
        <v>5.8995273494483413E-2</v>
      </c>
      <c r="BI45" s="37">
        <f>IFERROR(YHHistoricalPricesAdjusted!BI45/YHHistoricalPricesAdjusted!BI44-1,  "")</f>
        <v>1.678389566683447E-2</v>
      </c>
      <c r="BJ45" s="37">
        <f>IFERROR(YHHistoricalPricesAdjusted!BJ45/YHHistoricalPricesAdjusted!BJ44-1,  "")</f>
        <v>7.253812774380175E-2</v>
      </c>
      <c r="BK45" s="37">
        <f>IFERROR(YHHistoricalPricesAdjusted!BK45/YHHistoricalPricesAdjusted!BK44-1,  "")</f>
        <v>1.7375145905834E-2</v>
      </c>
      <c r="BL45" s="37">
        <f>IFERROR(YHHistoricalPricesAdjusted!BL45/YHHistoricalPricesAdjusted!BL44-1,  "")</f>
        <v>4.9338908106419943E-3</v>
      </c>
      <c r="BM45" s="37">
        <f>IFERROR(YHHistoricalPricesAdjusted!BM45/YHHistoricalPricesAdjusted!BM44-1,  "")</f>
        <v>3.2666838074817406E-3</v>
      </c>
      <c r="BN45" s="37">
        <f>IFERROR(YHHistoricalPricesAdjusted!BN45/YHHistoricalPricesAdjusted!BN44-1,  "")</f>
        <v>0.46273585355653446</v>
      </c>
      <c r="BO45" s="37">
        <f>IFERROR(YHHistoricalPricesAdjusted!BO45/YHHistoricalPricesAdjusted!BO44-1,  "")</f>
        <v>2.9895883073100871E-2</v>
      </c>
      <c r="BP45" s="37">
        <f>IFERROR(YHHistoricalPricesAdjusted!BP45/YHHistoricalPricesAdjusted!BP44-1,  "")</f>
        <v>4.4080898122074386E-2</v>
      </c>
      <c r="BQ45" s="37">
        <f>IFERROR(YHHistoricalPricesAdjusted!BQ45/YHHistoricalPricesAdjusted!BQ44-1,  "")</f>
        <v>2.3132748820884563E-2</v>
      </c>
      <c r="BR45" s="37">
        <f>IFERROR(YHHistoricalPricesAdjusted!BR45/YHHistoricalPricesAdjusted!BR44-1,  "")</f>
        <v>4.480524117632978E-2</v>
      </c>
      <c r="BS45" s="37">
        <f>IFERROR(YHHistoricalPricesAdjusted!BS45/YHHistoricalPricesAdjusted!BS44-1,  "")</f>
        <v>0.11824685280855673</v>
      </c>
      <c r="BT45" s="37">
        <f>IFERROR(YHHistoricalPricesAdjusted!BT45/YHHistoricalPricesAdjusted!BT44-1,  "")</f>
        <v>0.3197510213073389</v>
      </c>
      <c r="BU45" s="37">
        <f>IFERROR(YHHistoricalPricesAdjusted!BU45/YHHistoricalPricesAdjusted!BU44-1,  "")</f>
        <v>6.4545582269785129E-2</v>
      </c>
      <c r="BV45" s="37">
        <f>IFERROR(YHHistoricalPricesAdjusted!BV45/YHHistoricalPricesAdjusted!BV44-1,  "")</f>
        <v>1.3761563383682729E-2</v>
      </c>
      <c r="BW45" s="37">
        <f>IFERROR(YHHistoricalPricesAdjusted!BW45/YHHistoricalPricesAdjusted!BW44-1,  "")</f>
        <v>2.9546652275632468E-2</v>
      </c>
      <c r="BX45" s="37">
        <f>IFERROR(YHHistoricalPricesAdjusted!BX45/YHHistoricalPricesAdjusted!BX44-1,  "")</f>
        <v>-4.6051264161317218E-2</v>
      </c>
      <c r="BY45" s="37">
        <f>IFERROR(YHHistoricalPricesAdjusted!BY45/YHHistoricalPricesAdjusted!BY44-1,  "")</f>
        <v>-2.9095414580852741E-2</v>
      </c>
      <c r="BZ45" s="37">
        <f>IFERROR(YHHistoricalPricesAdjusted!BZ45/YHHistoricalPricesAdjusted!BZ44-1,  "")</f>
        <v>6.7882191894759192E-3</v>
      </c>
      <c r="CA45" s="37">
        <f>IFERROR(YHHistoricalPricesAdjusted!CA45/YHHistoricalPricesAdjusted!CA44-1,  "")</f>
        <v>-3.0681338415708193E-2</v>
      </c>
      <c r="CB45" s="37">
        <f>IFERROR(YHHistoricalPricesAdjusted!CB45/YHHistoricalPricesAdjusted!CB44-1,  "")</f>
        <v>6.4122593284214435E-2</v>
      </c>
      <c r="CC45" s="37">
        <f>IFERROR(YHHistoricalPricesAdjusted!CC45/YHHistoricalPricesAdjusted!CC44-1,  "")</f>
        <v>7.4255775801662649E-2</v>
      </c>
      <c r="CD45" s="37">
        <f>IFERROR(YHHistoricalPricesAdjusted!CD45/YHHistoricalPricesAdjusted!CD44-1,  "")</f>
        <v>1.7589163827833376E-2</v>
      </c>
      <c r="CE45" s="37">
        <f>IFERROR(YHHistoricalPricesAdjusted!CE45/YHHistoricalPricesAdjusted!CE44-1,  "")</f>
        <v>2.5695961738848583E-2</v>
      </c>
      <c r="CF45" s="37">
        <f>IFERROR(YHHistoricalPricesAdjusted!CF45/YHHistoricalPricesAdjusted!CF44-1,  "")</f>
        <v>0.20014556040756903</v>
      </c>
    </row>
    <row r="46" spans="1:84" x14ac:dyDescent="0.25">
      <c r="A46" s="17">
        <v>42643</v>
      </c>
      <c r="B46" s="37">
        <f>IFERROR(YHHistoricalPricesAdjusted!B46/YHHistoricalPricesAdjusted!B45-1,  "")</f>
        <v>7.1276421823772251E-2</v>
      </c>
      <c r="C46" s="37">
        <f>IFERROR(YHHistoricalPricesAdjusted!C46/YHHistoricalPricesAdjusted!C45-1,  "")</f>
        <v>-5.1856508370533017E-2</v>
      </c>
      <c r="D46" s="37">
        <f>IFERROR(YHHistoricalPricesAdjusted!D46/YHHistoricalPricesAdjusted!D45-1,  "")</f>
        <v>8.4463434587127573E-3</v>
      </c>
      <c r="E46" s="37">
        <f>IFERROR(YHHistoricalPricesAdjusted!E46/YHHistoricalPricesAdjusted!E45-1,  "")</f>
        <v>-1.693837740424109E-2</v>
      </c>
      <c r="F46" s="37">
        <f>IFERROR(YHHistoricalPricesAdjusted!F46/YHHistoricalPricesAdjusted!F45-1,  "")</f>
        <v>5.1575489344208858E-3</v>
      </c>
      <c r="G46" s="37">
        <f>IFERROR(YHHistoricalPricesAdjusted!G46/YHHistoricalPricesAdjusted!G45-1,  "")</f>
        <v>1.6428927777527358E-2</v>
      </c>
      <c r="H46" s="37">
        <f>IFERROR(YHHistoricalPricesAdjusted!H46/YHHistoricalPricesAdjusted!H45-1,  "")</f>
        <v>-2.555825885455465E-2</v>
      </c>
      <c r="I46" s="37">
        <f>IFERROR(YHHistoricalPricesAdjusted!I46/YHHistoricalPricesAdjusted!I45-1,  "")</f>
        <v>-5.8464155740502566E-2</v>
      </c>
      <c r="J46" s="37">
        <f>IFERROR(YHHistoricalPricesAdjusted!J46/YHHistoricalPricesAdjusted!J45-1,  "")</f>
        <v>-6.0036763279980532E-2</v>
      </c>
      <c r="K46" s="37">
        <f>IFERROR(YHHistoricalPricesAdjusted!K46/YHHistoricalPricesAdjusted!K45-1,  "")</f>
        <v>-3.7884383251893361E-2</v>
      </c>
      <c r="L46" s="37">
        <f>IFERROR(YHHistoricalPricesAdjusted!L46/YHHistoricalPricesAdjusted!L45-1,  "")</f>
        <v>-2.555825885455465E-2</v>
      </c>
      <c r="M46" s="37">
        <f>IFERROR(YHHistoricalPricesAdjusted!M46/YHHistoricalPricesAdjusted!M45-1,  "")</f>
        <v>2.6125041004720684E-2</v>
      </c>
      <c r="N46" s="37">
        <f>IFERROR(YHHistoricalPricesAdjusted!N46/YHHistoricalPricesAdjusted!N45-1,  "")</f>
        <v>-6.1343709115682876E-2</v>
      </c>
      <c r="O46" s="37">
        <f>IFERROR(YHHistoricalPricesAdjusted!O46/YHHistoricalPricesAdjusted!O45-1,  "")</f>
        <v>-3.7639715995465228E-2</v>
      </c>
      <c r="P46" s="37">
        <f>IFERROR(YHHistoricalPricesAdjusted!P46/YHHistoricalPricesAdjusted!P45-1,  "")</f>
        <v>1.0147760745404577E-2</v>
      </c>
      <c r="Q46" s="37">
        <f>IFERROR(YHHistoricalPricesAdjusted!Q46/YHHistoricalPricesAdjusted!Q45-1,  "")</f>
        <v>3.4046773013340248E-2</v>
      </c>
      <c r="R46" s="37">
        <f>IFERROR(YHHistoricalPricesAdjusted!R46/YHHistoricalPricesAdjusted!R45-1,  "")</f>
        <v>-2.2031562797869886E-2</v>
      </c>
      <c r="S46" s="37">
        <f>IFERROR(YHHistoricalPricesAdjusted!S46/YHHistoricalPricesAdjusted!S45-1,  "")</f>
        <v>3.6191831718866529E-2</v>
      </c>
      <c r="T46" s="37">
        <f>IFERROR(YHHistoricalPricesAdjusted!T46/YHHistoricalPricesAdjusted!T45-1,  "")</f>
        <v>3.167848056371203E-2</v>
      </c>
      <c r="U46" s="37">
        <f>IFERROR(YHHistoricalPricesAdjusted!U46/YHHistoricalPricesAdjusted!U45-1,  "")</f>
        <v>6.9025932250641242E-2</v>
      </c>
      <c r="V46" s="37">
        <f>IFERROR(YHHistoricalPricesAdjusted!V46/YHHistoricalPricesAdjusted!V45-1,  "")</f>
        <v>-4.0375594959201955E-2</v>
      </c>
      <c r="W46" s="37">
        <f>IFERROR(YHHistoricalPricesAdjusted!W46/YHHistoricalPricesAdjusted!W45-1,  "")</f>
        <v>-0.18656479481461241</v>
      </c>
      <c r="X46" s="37">
        <f>IFERROR(YHHistoricalPricesAdjusted!X46/YHHistoricalPricesAdjusted!X45-1,  "")</f>
        <v>1.1809191626268145E-2</v>
      </c>
      <c r="Y46" s="37">
        <f>IFERROR(YHHistoricalPricesAdjusted!Y46/YHHistoricalPricesAdjusted!Y45-1,  "")</f>
        <v>-3.5357534341868835E-3</v>
      </c>
      <c r="Z46" s="37">
        <f>IFERROR(YHHistoricalPricesAdjusted!Z46/YHHistoricalPricesAdjusted!Z45-1,  "")</f>
        <v>-1.8633955442352357E-2</v>
      </c>
      <c r="AA46" s="37">
        <f>IFERROR(YHHistoricalPricesAdjusted!AA46/YHHistoricalPricesAdjusted!AA45-1,  "")</f>
        <v>-6.0519700899588358E-3</v>
      </c>
      <c r="AB46" s="37">
        <f>IFERROR(YHHistoricalPricesAdjusted!AB46/YHHistoricalPricesAdjusted!AB45-1,  "")</f>
        <v>2.9033346828418294E-2</v>
      </c>
      <c r="AC46" s="37">
        <f>IFERROR(YHHistoricalPricesAdjusted!AC46/YHHistoricalPricesAdjusted!AC45-1,  "")</f>
        <v>1.0588441900147849E-3</v>
      </c>
      <c r="AD46" s="37">
        <f>IFERROR(YHHistoricalPricesAdjusted!AD46/YHHistoricalPricesAdjusted!AD45-1,  "")</f>
        <v>2.3162260078367414E-2</v>
      </c>
      <c r="AE46" s="37">
        <f>IFERROR(YHHistoricalPricesAdjusted!AE46/YHHistoricalPricesAdjusted!AE45-1,  "")</f>
        <v>-3.4347375158221949E-2</v>
      </c>
      <c r="AF46" s="37">
        <f>IFERROR(YHHistoricalPricesAdjusted!AF46/YHHistoricalPricesAdjusted!AF45-1,  "")</f>
        <v>-0.12709317736324133</v>
      </c>
      <c r="AG46" s="37">
        <f>IFERROR(YHHistoricalPricesAdjusted!AG46/YHHistoricalPricesAdjusted!AG45-1,  "")</f>
        <v>-1.8035412021443653E-2</v>
      </c>
      <c r="AH46" s="37">
        <f>IFERROR(YHHistoricalPricesAdjusted!AH46/YHHistoricalPricesAdjusted!AH45-1,  "")</f>
        <v>-3.5640584786734042E-2</v>
      </c>
      <c r="AI46" s="37">
        <f>IFERROR(YHHistoricalPricesAdjusted!AI46/YHHistoricalPricesAdjusted!AI45-1,  "")</f>
        <v>-5.607743174440305E-2</v>
      </c>
      <c r="AJ46" s="37">
        <f>IFERROR(YHHistoricalPricesAdjusted!AJ46/YHHistoricalPricesAdjusted!AJ45-1,  "")</f>
        <v>7.209337101946045E-2</v>
      </c>
      <c r="AK46" s="37">
        <f>IFERROR(YHHistoricalPricesAdjusted!AK46/YHHistoricalPricesAdjusted!AK45-1,  "")</f>
        <v>-4.2201799312925448E-2</v>
      </c>
      <c r="AL46" s="37">
        <f>IFERROR(YHHistoricalPricesAdjusted!AL46/YHHistoricalPricesAdjusted!AL45-1,  "")</f>
        <v>-2.6787667182984309E-2</v>
      </c>
      <c r="AM46" s="37">
        <f>IFERROR(YHHistoricalPricesAdjusted!AM46/YHHistoricalPricesAdjusted!AM45-1,  "")</f>
        <v>1.0306965159247561E-2</v>
      </c>
      <c r="AN46" s="37">
        <f>IFERROR(YHHistoricalPricesAdjusted!AN46/YHHistoricalPricesAdjusted!AN45-1,  "")</f>
        <v>-7.9655933292325343E-2</v>
      </c>
      <c r="AO46" s="37">
        <f>IFERROR(YHHistoricalPricesAdjusted!AO46/YHHistoricalPricesAdjusted!AO45-1,  "")</f>
        <v>2.6873430277945642E-2</v>
      </c>
      <c r="AP46" s="37">
        <f>IFERROR(YHHistoricalPricesAdjusted!AP46/YHHistoricalPricesAdjusted!AP45-1,  "")</f>
        <v>1.5243749071068402E-2</v>
      </c>
      <c r="AQ46" s="37">
        <f>IFERROR(YHHistoricalPricesAdjusted!AQ46/YHHistoricalPricesAdjusted!AQ45-1,  "")</f>
        <v>2.3614407319366482E-2</v>
      </c>
      <c r="AR46" s="37">
        <f>IFERROR(YHHistoricalPricesAdjusted!AR46/YHHistoricalPricesAdjusted!AR45-1,  "")</f>
        <v>3.2904429731363649E-2</v>
      </c>
      <c r="AS46" s="37">
        <f>IFERROR(YHHistoricalPricesAdjusted!AS46/YHHistoricalPricesAdjusted!AS45-1,  "")</f>
        <v>5.8081864969288022E-2</v>
      </c>
      <c r="AT46" s="37">
        <f>IFERROR(YHHistoricalPricesAdjusted!AT46/YHHistoricalPricesAdjusted!AT45-1,  "")</f>
        <v>8.3091027113451066E-3</v>
      </c>
      <c r="AU46" s="37">
        <f>IFERROR(YHHistoricalPricesAdjusted!AU46/YHHistoricalPricesAdjusted!AU45-1,  "")</f>
        <v>1.6182645036187715E-2</v>
      </c>
      <c r="AV46" s="37">
        <f>IFERROR(YHHistoricalPricesAdjusted!AV46/YHHistoricalPricesAdjusted!AV45-1,  "")</f>
        <v>7.8637693591739444E-2</v>
      </c>
      <c r="AW46" s="37">
        <f>IFERROR(YHHistoricalPricesAdjusted!AW46/YHHistoricalPricesAdjusted!AW45-1,  "")</f>
        <v>1.8527548152349693E-2</v>
      </c>
      <c r="AX46" s="37">
        <f>IFERROR(YHHistoricalPricesAdjusted!AX46/YHHistoricalPricesAdjusted!AX45-1,  "")</f>
        <v>1.5012743511383375E-2</v>
      </c>
      <c r="AY46" s="37">
        <f>IFERROR(YHHistoricalPricesAdjusted!AY46/YHHistoricalPricesAdjusted!AY45-1,  "")</f>
        <v>1.0112713507046012E-2</v>
      </c>
      <c r="AZ46" s="37">
        <f>IFERROR(YHHistoricalPricesAdjusted!AZ46/YHHistoricalPricesAdjusted!AZ45-1,  "")</f>
        <v>2.4467157290208874E-2</v>
      </c>
      <c r="BA46" s="37">
        <f>IFERROR(YHHistoricalPricesAdjusted!BA46/YHHistoricalPricesAdjusted!BA45-1,  "")</f>
        <v>8.2885856605781072E-3</v>
      </c>
      <c r="BB46" s="37">
        <f>IFERROR(YHHistoricalPricesAdjusted!BB46/YHHistoricalPricesAdjusted!BB45-1,  "")</f>
        <v>-1.3481408974550413E-2</v>
      </c>
      <c r="BC46" s="37">
        <f>IFERROR(YHHistoricalPricesAdjusted!BC46/YHHistoricalPricesAdjusted!BC45-1,  "")</f>
        <v>-2.5846764997789484E-2</v>
      </c>
      <c r="BD46" s="37">
        <f>IFERROR(YHHistoricalPricesAdjusted!BD46/YHHistoricalPricesAdjusted!BD45-1,  "")</f>
        <v>2.4023740018566109E-2</v>
      </c>
      <c r="BE46" s="37">
        <f>IFERROR(YHHistoricalPricesAdjusted!BE46/YHHistoricalPricesAdjusted!BE45-1,  "")</f>
        <v>-1.0683006046708576E-2</v>
      </c>
      <c r="BF46" s="37">
        <f>IFERROR(YHHistoricalPricesAdjusted!BF46/YHHistoricalPricesAdjusted!BF45-1,  "")</f>
        <v>-4.4608477547860681E-2</v>
      </c>
      <c r="BG46" s="37">
        <f>IFERROR(YHHistoricalPricesAdjusted!BG46/YHHistoricalPricesAdjusted!BG45-1,  "")</f>
        <v>-2.8539168584189589E-2</v>
      </c>
      <c r="BH46" s="37">
        <f>IFERROR(YHHistoricalPricesAdjusted!BH46/YHHistoricalPricesAdjusted!BH45-1,  "")</f>
        <v>-0.12134662072481706</v>
      </c>
      <c r="BI46" s="37">
        <f>IFERROR(YHHistoricalPricesAdjusted!BI46/YHHistoricalPricesAdjusted!BI45-1,  "")</f>
        <v>5.3192687711692388E-2</v>
      </c>
      <c r="BJ46" s="37">
        <f>IFERROR(YHHistoricalPricesAdjusted!BJ46/YHHistoricalPricesAdjusted!BJ45-1,  "")</f>
        <v>-1.5625033271809641E-2</v>
      </c>
      <c r="BK46" s="37">
        <f>IFERROR(YHHistoricalPricesAdjusted!BK46/YHHistoricalPricesAdjusted!BK45-1,  "")</f>
        <v>-2.3482845651766282E-2</v>
      </c>
      <c r="BL46" s="37">
        <f>IFERROR(YHHistoricalPricesAdjusted!BL46/YHHistoricalPricesAdjusted!BL45-1,  "")</f>
        <v>-1.0666762090777326E-2</v>
      </c>
      <c r="BM46" s="37">
        <f>IFERROR(YHHistoricalPricesAdjusted!BM46/YHHistoricalPricesAdjusted!BM45-1,  "")</f>
        <v>4.1394156328429244E-3</v>
      </c>
      <c r="BN46" s="37">
        <f>IFERROR(YHHistoricalPricesAdjusted!BN46/YHHistoricalPricesAdjusted!BN45-1,  "")</f>
        <v>-3.70962101021729E-2</v>
      </c>
      <c r="BO46" s="37">
        <f>IFERROR(YHHistoricalPricesAdjusted!BO46/YHHistoricalPricesAdjusted!BO45-1,  "")</f>
        <v>8.3299347531873291E-3</v>
      </c>
      <c r="BP46" s="37">
        <f>IFERROR(YHHistoricalPricesAdjusted!BP46/YHHistoricalPricesAdjusted!BP45-1,  "")</f>
        <v>2.771046160429913E-2</v>
      </c>
      <c r="BQ46" s="37">
        <f>IFERROR(YHHistoricalPricesAdjusted!BQ46/YHHistoricalPricesAdjusted!BQ45-1,  "")</f>
        <v>2.8554791157251902E-2</v>
      </c>
      <c r="BR46" s="37">
        <f>IFERROR(YHHistoricalPricesAdjusted!BR46/YHHistoricalPricesAdjusted!BR45-1,  "")</f>
        <v>1.3912584224706759E-3</v>
      </c>
      <c r="BS46" s="37">
        <f>IFERROR(YHHistoricalPricesAdjusted!BS46/YHHistoricalPricesAdjusted!BS45-1,  "")</f>
        <v>1.2113652627874227E-2</v>
      </c>
      <c r="BT46" s="37">
        <f>IFERROR(YHHistoricalPricesAdjusted!BT46/YHHistoricalPricesAdjusted!BT45-1,  "")</f>
        <v>-5.0028302601891061E-3</v>
      </c>
      <c r="BU46" s="37">
        <f>IFERROR(YHHistoricalPricesAdjusted!BU46/YHHistoricalPricesAdjusted!BU45-1,  "")</f>
        <v>-3.5349131580919124E-2</v>
      </c>
      <c r="BV46" s="37">
        <f>IFERROR(YHHistoricalPricesAdjusted!BV46/YHHistoricalPricesAdjusted!BV45-1,  "")</f>
        <v>8.6843335688646661E-3</v>
      </c>
      <c r="BW46" s="37">
        <f>IFERROR(YHHistoricalPricesAdjusted!BW46/YHHistoricalPricesAdjusted!BW45-1,  "")</f>
        <v>5.9798071541373954E-2</v>
      </c>
      <c r="BX46" s="37">
        <f>IFERROR(YHHistoricalPricesAdjusted!BX46/YHHistoricalPricesAdjusted!BX45-1,  "")</f>
        <v>-6.688400269775685E-3</v>
      </c>
      <c r="BY46" s="37">
        <f>IFERROR(YHHistoricalPricesAdjusted!BY46/YHHistoricalPricesAdjusted!BY45-1,  "")</f>
        <v>-0.10186346265080504</v>
      </c>
      <c r="BZ46" s="37">
        <f>IFERROR(YHHistoricalPricesAdjusted!BZ46/YHHistoricalPricesAdjusted!BZ45-1,  "")</f>
        <v>-1.2920533345116558E-2</v>
      </c>
      <c r="CA46" s="37">
        <f>IFERROR(YHHistoricalPricesAdjusted!CA46/YHHistoricalPricesAdjusted!CA45-1,  "")</f>
        <v>0.10756369796257736</v>
      </c>
      <c r="CB46" s="37">
        <f>IFERROR(YHHistoricalPricesAdjusted!CB46/YHHistoricalPricesAdjusted!CB45-1,  "")</f>
        <v>-2.6080503778757147E-2</v>
      </c>
      <c r="CC46" s="37">
        <f>IFERROR(YHHistoricalPricesAdjusted!CC46/YHHistoricalPricesAdjusted!CC45-1,  "")</f>
        <v>0.11911085337074967</v>
      </c>
      <c r="CD46" s="37">
        <f>IFERROR(YHHistoricalPricesAdjusted!CD46/YHHistoricalPricesAdjusted!CD45-1,  "")</f>
        <v>1.7047264104489424E-2</v>
      </c>
      <c r="CE46" s="37">
        <f>IFERROR(YHHistoricalPricesAdjusted!CE46/YHHistoricalPricesAdjusted!CE45-1,  "")</f>
        <v>8.0723635387716763E-2</v>
      </c>
      <c r="CF46" s="37">
        <f>IFERROR(YHHistoricalPricesAdjusted!CF46/YHHistoricalPricesAdjusted!CF45-1,  "")</f>
        <v>7.8229290479078228E-2</v>
      </c>
    </row>
    <row r="47" spans="1:84" x14ac:dyDescent="0.25">
      <c r="A47" s="17">
        <v>42674</v>
      </c>
      <c r="B47" s="37">
        <f>IFERROR(YHHistoricalPricesAdjusted!B47/YHHistoricalPricesAdjusted!B46-1,  "")</f>
        <v>4.3342602490421545E-3</v>
      </c>
      <c r="C47" s="37">
        <f>IFERROR(YHHistoricalPricesAdjusted!C47/YHHistoricalPricesAdjusted!C46-1,  "")</f>
        <v>-9.8882587333570804E-3</v>
      </c>
      <c r="D47" s="37">
        <f>IFERROR(YHHistoricalPricesAdjusted!D47/YHHistoricalPricesAdjusted!D46-1,  "")</f>
        <v>-3.2483566052164403E-2</v>
      </c>
      <c r="E47" s="37">
        <f>IFERROR(YHHistoricalPricesAdjusted!E47/YHHistoricalPricesAdjusted!E46-1,  "")</f>
        <v>-1.8306817881508231E-3</v>
      </c>
      <c r="F47" s="37">
        <f>IFERROR(YHHistoricalPricesAdjusted!F47/YHHistoricalPricesAdjusted!F46-1,  "")</f>
        <v>-2.41851848114506E-2</v>
      </c>
      <c r="G47" s="37">
        <f>IFERROR(YHHistoricalPricesAdjusted!G47/YHHistoricalPricesAdjusted!G46-1,  "")</f>
        <v>-2.9118198593097722E-2</v>
      </c>
      <c r="H47" s="37">
        <f>IFERROR(YHHistoricalPricesAdjusted!H47/YHHistoricalPricesAdjusted!H46-1,  "")</f>
        <v>1.0075785520901048E-2</v>
      </c>
      <c r="I47" s="37">
        <f>IFERROR(YHHistoricalPricesAdjusted!I47/YHHistoricalPricesAdjusted!I46-1,  "")</f>
        <v>-8.0063858042604741E-2</v>
      </c>
      <c r="J47" s="37">
        <f>IFERROR(YHHistoricalPricesAdjusted!J47/YHHistoricalPricesAdjusted!J46-1,  "")</f>
        <v>-2.0524695013965144E-2</v>
      </c>
      <c r="K47" s="37">
        <f>IFERROR(YHHistoricalPricesAdjusted!K47/YHHistoricalPricesAdjusted!K46-1,  "")</f>
        <v>1.1700991368756908E-2</v>
      </c>
      <c r="L47" s="37">
        <f>IFERROR(YHHistoricalPricesAdjusted!L47/YHHistoricalPricesAdjusted!L46-1,  "")</f>
        <v>1.0075785520901048E-2</v>
      </c>
      <c r="M47" s="37">
        <f>IFERROR(YHHistoricalPricesAdjusted!M47/YHHistoricalPricesAdjusted!M46-1,  "")</f>
        <v>-1.4434081814591715E-2</v>
      </c>
      <c r="N47" s="37">
        <f>IFERROR(YHHistoricalPricesAdjusted!N47/YHHistoricalPricesAdjusted!N46-1,  "")</f>
        <v>3.8422325842707661E-2</v>
      </c>
      <c r="O47" s="37">
        <f>IFERROR(YHHistoricalPricesAdjusted!O47/YHHistoricalPricesAdjusted!O46-1,  "")</f>
        <v>-3.0877826941517528E-2</v>
      </c>
      <c r="P47" s="37">
        <f>IFERROR(YHHistoricalPricesAdjusted!P47/YHHistoricalPricesAdjusted!P46-1,  "")</f>
        <v>-4.5371131670040699E-2</v>
      </c>
      <c r="Q47" s="37">
        <f>IFERROR(YHHistoricalPricesAdjusted!Q47/YHHistoricalPricesAdjusted!Q46-1,  "")</f>
        <v>1.7780809976674083E-2</v>
      </c>
      <c r="R47" s="37">
        <f>IFERROR(YHHistoricalPricesAdjusted!R47/YHHistoricalPricesAdjusted!R46-1,  "")</f>
        <v>-0.11494246802612551</v>
      </c>
      <c r="S47" s="37">
        <f>IFERROR(YHHistoricalPricesAdjusted!S47/YHHistoricalPricesAdjusted!S46-1,  "")</f>
        <v>-3.1962720078500539E-2</v>
      </c>
      <c r="T47" s="37">
        <f>IFERROR(YHHistoricalPricesAdjusted!T47/YHHistoricalPricesAdjusted!T46-1,  "")</f>
        <v>-8.1094713518614414E-2</v>
      </c>
      <c r="U47" s="37">
        <f>IFERROR(YHHistoricalPricesAdjusted!U47/YHHistoricalPricesAdjusted!U46-1,  "")</f>
        <v>-1.8828361716986319E-2</v>
      </c>
      <c r="V47" s="37">
        <f>IFERROR(YHHistoricalPricesAdjusted!V47/YHHistoricalPricesAdjusted!V46-1,  "")</f>
        <v>-1.3992248739279955E-2</v>
      </c>
      <c r="W47" s="37">
        <f>IFERROR(YHHistoricalPricesAdjusted!W47/YHHistoricalPricesAdjusted!W46-1,  "")</f>
        <v>-2.8966040748708011E-2</v>
      </c>
      <c r="X47" s="37">
        <f>IFERROR(YHHistoricalPricesAdjusted!X47/YHHistoricalPricesAdjusted!X46-1,  "")</f>
        <v>5.7884054181586597E-2</v>
      </c>
      <c r="Y47" s="37">
        <f>IFERROR(YHHistoricalPricesAdjusted!Y47/YHHistoricalPricesAdjusted!Y46-1,  "")</f>
        <v>-1.8115442910595303E-2</v>
      </c>
      <c r="Z47" s="37">
        <f>IFERROR(YHHistoricalPricesAdjusted!Z47/YHHistoricalPricesAdjusted!Z46-1,  "")</f>
        <v>-6.3772984637626595E-2</v>
      </c>
      <c r="AA47" s="37">
        <f>IFERROR(YHHistoricalPricesAdjusted!AA47/YHHistoricalPricesAdjusted!AA46-1,  "")</f>
        <v>-5.222570268404958E-2</v>
      </c>
      <c r="AB47" s="37">
        <f>IFERROR(YHHistoricalPricesAdjusted!AB47/YHHistoricalPricesAdjusted!AB46-1,  "")</f>
        <v>1.41616735704444E-2</v>
      </c>
      <c r="AC47" s="37">
        <f>IFERROR(YHHistoricalPricesAdjusted!AC47/YHHistoricalPricesAdjusted!AC46-1,  "")</f>
        <v>1.1900007857304162E-2</v>
      </c>
      <c r="AD47" s="37">
        <f>IFERROR(YHHistoricalPricesAdjusted!AD47/YHHistoricalPricesAdjusted!AD46-1,  "")</f>
        <v>-2.0370051778820786E-2</v>
      </c>
      <c r="AE47" s="37">
        <f>IFERROR(YHHistoricalPricesAdjusted!AE47/YHHistoricalPricesAdjusted!AE46-1,  "")</f>
        <v>1.685296380669099E-2</v>
      </c>
      <c r="AF47" s="37">
        <f>IFERROR(YHHistoricalPricesAdjusted!AF47/YHHistoricalPricesAdjusted!AF46-1,  "")</f>
        <v>-8.1440592137533407E-2</v>
      </c>
      <c r="AG47" s="37">
        <f>IFERROR(YHHistoricalPricesAdjusted!AG47/YHHistoricalPricesAdjusted!AG46-1,  "")</f>
        <v>-9.2787882715579362E-2</v>
      </c>
      <c r="AH47" s="37">
        <f>IFERROR(YHHistoricalPricesAdjusted!AH47/YHHistoricalPricesAdjusted!AH46-1,  "")</f>
        <v>-5.1834016998685728E-2</v>
      </c>
      <c r="AI47" s="37">
        <f>IFERROR(YHHistoricalPricesAdjusted!AI47/YHHistoricalPricesAdjusted!AI46-1,  "")</f>
        <v>2.4742944378736809E-2</v>
      </c>
      <c r="AJ47" s="37">
        <f>IFERROR(YHHistoricalPricesAdjusted!AJ47/YHHistoricalPricesAdjusted!AJ46-1,  "")</f>
        <v>0.1071796161045957</v>
      </c>
      <c r="AK47" s="37">
        <f>IFERROR(YHHistoricalPricesAdjusted!AK47/YHHistoricalPricesAdjusted!AK46-1,  "")</f>
        <v>-2.2129592605228288E-2</v>
      </c>
      <c r="AL47" s="37">
        <f>IFERROR(YHHistoricalPricesAdjusted!AL47/YHHistoricalPricesAdjusted!AL46-1,  "")</f>
        <v>-5.2366079206140115E-2</v>
      </c>
      <c r="AM47" s="37">
        <f>IFERROR(YHHistoricalPricesAdjusted!AM47/YHHistoricalPricesAdjusted!AM46-1,  "")</f>
        <v>-4.6130003204849834E-2</v>
      </c>
      <c r="AN47" s="37">
        <f>IFERROR(YHHistoricalPricesAdjusted!AN47/YHHistoricalPricesAdjusted!AN46-1,  "")</f>
        <v>3.1897552808748619E-2</v>
      </c>
      <c r="AO47" s="37">
        <f>IFERROR(YHHistoricalPricesAdjusted!AO47/YHHistoricalPricesAdjusted!AO46-1,  "")</f>
        <v>-9.58679173808753E-2</v>
      </c>
      <c r="AP47" s="37">
        <f>IFERROR(YHHistoricalPricesAdjusted!AP47/YHHistoricalPricesAdjusted!AP46-1,  "")</f>
        <v>0.11734754103223155</v>
      </c>
      <c r="AQ47" s="37">
        <f>IFERROR(YHHistoricalPricesAdjusted!AQ47/YHHistoricalPricesAdjusted!AQ46-1,  "")</f>
        <v>-0.14814637544273901</v>
      </c>
      <c r="AR47" s="37">
        <f>IFERROR(YHHistoricalPricesAdjusted!AR47/YHHistoricalPricesAdjusted!AR46-1,  "")</f>
        <v>-1.7479346771840376E-3</v>
      </c>
      <c r="AS47" s="37">
        <f>IFERROR(YHHistoricalPricesAdjusted!AS47/YHHistoricalPricesAdjusted!AS46-1,  "")</f>
        <v>-3.3966980831557358E-2</v>
      </c>
      <c r="AT47" s="37">
        <f>IFERROR(YHHistoricalPricesAdjusted!AT47/YHHistoricalPricesAdjusted!AT46-1,  "")</f>
        <v>7.217928386078043E-3</v>
      </c>
      <c r="AU47" s="37">
        <f>IFERROR(YHHistoricalPricesAdjusted!AU47/YHHistoricalPricesAdjusted!AU46-1,  "")</f>
        <v>-1.0689199993198617E-2</v>
      </c>
      <c r="AV47" s="37">
        <f>IFERROR(YHHistoricalPricesAdjusted!AV47/YHHistoricalPricesAdjusted!AV46-1,  "")</f>
        <v>4.7054159999130096E-2</v>
      </c>
      <c r="AW47" s="37">
        <f>IFERROR(YHHistoricalPricesAdjusted!AW47/YHHistoricalPricesAdjusted!AW46-1,  "")</f>
        <v>4.6435520163424115E-2</v>
      </c>
      <c r="AX47" s="37">
        <f>IFERROR(YHHistoricalPricesAdjusted!AX47/YHHistoricalPricesAdjusted!AX46-1,  "")</f>
        <v>-2.499582269992473E-4</v>
      </c>
      <c r="AY47" s="37">
        <f>IFERROR(YHHistoricalPricesAdjusted!AY47/YHHistoricalPricesAdjusted!AY46-1,  "")</f>
        <v>5.2632105555083797E-3</v>
      </c>
      <c r="AZ47" s="37">
        <f>IFERROR(YHHistoricalPricesAdjusted!AZ47/YHHistoricalPricesAdjusted!AZ46-1,  "")</f>
        <v>6.0180234720794701E-3</v>
      </c>
      <c r="BA47" s="37">
        <f>IFERROR(YHHistoricalPricesAdjusted!BA47/YHHistoricalPricesAdjusted!BA46-1,  "")</f>
        <v>3.359909421166174E-2</v>
      </c>
      <c r="BB47" s="37">
        <f>IFERROR(YHHistoricalPricesAdjusted!BB47/YHHistoricalPricesAdjusted!BB46-1,  "")</f>
        <v>4.0095995415482255E-2</v>
      </c>
      <c r="BC47" s="37">
        <f>IFERROR(YHHistoricalPricesAdjusted!BC47/YHHistoricalPricesAdjusted!BC46-1,  "")</f>
        <v>5.4313109696566553E-2</v>
      </c>
      <c r="BD47" s="37">
        <f>IFERROR(YHHistoricalPricesAdjusted!BD47/YHHistoricalPricesAdjusted!BD46-1,  "")</f>
        <v>-2.2973866574297341E-3</v>
      </c>
      <c r="BE47" s="37">
        <f>IFERROR(YHHistoricalPricesAdjusted!BE47/YHHistoricalPricesAdjusted!BE46-1,  "")</f>
        <v>4.0652311995402091E-2</v>
      </c>
      <c r="BF47" s="37">
        <f>IFERROR(YHHistoricalPricesAdjusted!BF47/YHHistoricalPricesAdjusted!BF46-1,  "")</f>
        <v>0.10522738852317204</v>
      </c>
      <c r="BG47" s="37">
        <f>IFERROR(YHHistoricalPricesAdjusted!BG47/YHHistoricalPricesAdjusted!BG46-1,  "")</f>
        <v>5.0455978941618795E-2</v>
      </c>
      <c r="BH47" s="37">
        <f>IFERROR(YHHistoricalPricesAdjusted!BH47/YHHistoricalPricesAdjusted!BH46-1,  "")</f>
        <v>3.9069411609478744E-2</v>
      </c>
      <c r="BI47" s="37">
        <f>IFERROR(YHHistoricalPricesAdjusted!BI47/YHHistoricalPricesAdjusted!BI46-1,  "")</f>
        <v>5.1586848383425421E-2</v>
      </c>
      <c r="BJ47" s="37">
        <f>IFERROR(YHHistoricalPricesAdjusted!BJ47/YHHistoricalPricesAdjusted!BJ46-1,  "")</f>
        <v>9.7505570830121568E-2</v>
      </c>
      <c r="BK47" s="37">
        <f>IFERROR(YHHistoricalPricesAdjusted!BK47/YHHistoricalPricesAdjusted!BK46-1,  "")</f>
        <v>3.7164307259747176E-2</v>
      </c>
      <c r="BL47" s="37">
        <f>IFERROR(YHHistoricalPricesAdjusted!BL47/YHHistoricalPricesAdjusted!BL46-1,  "")</f>
        <v>-6.2021315286973633E-2</v>
      </c>
      <c r="BM47" s="37">
        <f>IFERROR(YHHistoricalPricesAdjusted!BM47/YHHistoricalPricesAdjusted!BM46-1,  "")</f>
        <v>-5.425325555825411E-2</v>
      </c>
      <c r="BN47" s="37">
        <f>IFERROR(YHHistoricalPricesAdjusted!BN47/YHHistoricalPricesAdjusted!BN46-1,  "")</f>
        <v>3.6571323414753554E-3</v>
      </c>
      <c r="BO47" s="37">
        <f>IFERROR(YHHistoricalPricesAdjusted!BO47/YHHistoricalPricesAdjusted!BO46-1,  "")</f>
        <v>-4.7114988248121992E-2</v>
      </c>
      <c r="BP47" s="37">
        <f>IFERROR(YHHistoricalPricesAdjusted!BP47/YHHistoricalPricesAdjusted!BP46-1,  "")</f>
        <v>-5.0200012251184423E-2</v>
      </c>
      <c r="BQ47" s="37">
        <f>IFERROR(YHHistoricalPricesAdjusted!BQ47/YHHistoricalPricesAdjusted!BQ46-1,  "")</f>
        <v>-2.575079139911729E-3</v>
      </c>
      <c r="BR47" s="37">
        <f>IFERROR(YHHistoricalPricesAdjusted!BR47/YHHistoricalPricesAdjusted!BR46-1,  "")</f>
        <v>-7.6199656510987146E-2</v>
      </c>
      <c r="BS47" s="37">
        <f>IFERROR(YHHistoricalPricesAdjusted!BS47/YHHistoricalPricesAdjusted!BS46-1,  "")</f>
        <v>5.0186027527709953E-3</v>
      </c>
      <c r="BT47" s="37">
        <f>IFERROR(YHHistoricalPricesAdjusted!BT47/YHHistoricalPricesAdjusted!BT46-1,  "")</f>
        <v>-5.4158956268367198E-2</v>
      </c>
      <c r="BU47" s="37">
        <f>IFERROR(YHHistoricalPricesAdjusted!BU47/YHHistoricalPricesAdjusted!BU46-1,  "")</f>
        <v>-9.3107925260283331E-2</v>
      </c>
      <c r="BV47" s="37">
        <f>IFERROR(YHHistoricalPricesAdjusted!BV47/YHHistoricalPricesAdjusted!BV46-1,  "")</f>
        <v>4.0277685820560905E-2</v>
      </c>
      <c r="BW47" s="37">
        <f>IFERROR(YHHistoricalPricesAdjusted!BW47/YHHistoricalPricesAdjusted!BW46-1,  "")</f>
        <v>-7.6291304592062459E-2</v>
      </c>
      <c r="BX47" s="37">
        <f>IFERROR(YHHistoricalPricesAdjusted!BX47/YHHistoricalPricesAdjusted!BX46-1,  "")</f>
        <v>-7.4644020820576529E-2</v>
      </c>
      <c r="BY47" s="37">
        <f>IFERROR(YHHistoricalPricesAdjusted!BY47/YHHistoricalPricesAdjusted!BY46-1,  "")</f>
        <v>5.3694124388220299E-2</v>
      </c>
      <c r="BZ47" s="37">
        <f>IFERROR(YHHistoricalPricesAdjusted!BZ47/YHHistoricalPricesAdjusted!BZ46-1,  "")</f>
        <v>-1.1544556567550823E-2</v>
      </c>
      <c r="CA47" s="37">
        <f>IFERROR(YHHistoricalPricesAdjusted!CA47/YHHistoricalPricesAdjusted!CA46-1,  "")</f>
        <v>-4.181621819086434E-2</v>
      </c>
      <c r="CB47" s="37">
        <f>IFERROR(YHHistoricalPricesAdjusted!CB47/YHHistoricalPricesAdjusted!CB46-1,  "")</f>
        <v>-1.3605474423869168E-2</v>
      </c>
      <c r="CC47" s="37">
        <f>IFERROR(YHHistoricalPricesAdjusted!CC47/YHHistoricalPricesAdjusted!CC46-1,  "")</f>
        <v>3.8528999190732049E-2</v>
      </c>
      <c r="CD47" s="37">
        <f>IFERROR(YHHistoricalPricesAdjusted!CD47/YHHistoricalPricesAdjusted!CD46-1,  "")</f>
        <v>2.1205277268097733E-2</v>
      </c>
      <c r="CE47" s="37">
        <f>IFERROR(YHHistoricalPricesAdjusted!CE47/YHHistoricalPricesAdjusted!CE46-1,  "")</f>
        <v>-5.8671173255966602E-2</v>
      </c>
      <c r="CF47" s="37">
        <f>IFERROR(YHHistoricalPricesAdjusted!CF47/YHHistoricalPricesAdjusted!CF46-1,  "")</f>
        <v>-3.4870695451591827E-2</v>
      </c>
    </row>
    <row r="48" spans="1:84" x14ac:dyDescent="0.25">
      <c r="A48" s="17">
        <v>42704</v>
      </c>
      <c r="B48" s="37">
        <f>IFERROR(YHHistoricalPricesAdjusted!B48/YHHistoricalPricesAdjusted!B47-1,  "")</f>
        <v>-2.6598557005375723E-2</v>
      </c>
      <c r="C48" s="37">
        <f>IFERROR(YHHistoricalPricesAdjusted!C48/YHHistoricalPricesAdjusted!C47-1,  "")</f>
        <v>5.7044685197575662E-2</v>
      </c>
      <c r="D48" s="37">
        <f>IFERROR(YHHistoricalPricesAdjusted!D48/YHHistoricalPricesAdjusted!D47-1,  "")</f>
        <v>5.5501411467423045E-2</v>
      </c>
      <c r="E48" s="37">
        <f>IFERROR(YHHistoricalPricesAdjusted!E48/YHHistoricalPricesAdjusted!E47-1,  "")</f>
        <v>6.9371136879042616E-2</v>
      </c>
      <c r="F48" s="37">
        <f>IFERROR(YHHistoricalPricesAdjusted!F48/YHHistoricalPricesAdjusted!F47-1,  "")</f>
        <v>5.9518516282142109E-2</v>
      </c>
      <c r="G48" s="37">
        <f>IFERROR(YHHistoricalPricesAdjusted!G48/YHHistoricalPricesAdjusted!G47-1,  "")</f>
        <v>5.8556013472581547E-3</v>
      </c>
      <c r="H48" s="37">
        <f>IFERROR(YHHistoricalPricesAdjusted!H48/YHHistoricalPricesAdjusted!H47-1,  "")</f>
        <v>-4.8349231088897882E-2</v>
      </c>
      <c r="I48" s="37">
        <f>IFERROR(YHHistoricalPricesAdjusted!I48/YHHistoricalPricesAdjusted!I47-1,  "")</f>
        <v>7.1296792111283924E-2</v>
      </c>
      <c r="J48" s="37">
        <f>IFERROR(YHHistoricalPricesAdjusted!J48/YHHistoricalPricesAdjusted!J47-1,  "")</f>
        <v>8.6735806072915311E-2</v>
      </c>
      <c r="K48" s="37">
        <f>IFERROR(YHHistoricalPricesAdjusted!K48/YHHistoricalPricesAdjusted!K47-1,  "")</f>
        <v>2.4814065203979219E-2</v>
      </c>
      <c r="L48" s="37">
        <f>IFERROR(YHHistoricalPricesAdjusted!L48/YHHistoricalPricesAdjusted!L47-1,  "")</f>
        <v>-4.8349231088897882E-2</v>
      </c>
      <c r="M48" s="37">
        <f>IFERROR(YHHistoricalPricesAdjusted!M48/YHHistoricalPricesAdjusted!M47-1,  "")</f>
        <v>-6.62314175855655E-2</v>
      </c>
      <c r="N48" s="37">
        <f>IFERROR(YHHistoricalPricesAdjusted!N48/YHHistoricalPricesAdjusted!N47-1,  "")</f>
        <v>-3.0170751195232048E-3</v>
      </c>
      <c r="O48" s="37">
        <f>IFERROR(YHHistoricalPricesAdjusted!O48/YHHistoricalPricesAdjusted!O47-1,  "")</f>
        <v>-4.2128165521229333E-2</v>
      </c>
      <c r="P48" s="37">
        <f>IFERROR(YHHistoricalPricesAdjusted!P48/YHHistoricalPricesAdjusted!P47-1,  "")</f>
        <v>4.776776056709986E-2</v>
      </c>
      <c r="Q48" s="37">
        <f>IFERROR(YHHistoricalPricesAdjusted!Q48/YHHistoricalPricesAdjusted!Q47-1,  "")</f>
        <v>6.5011995495912744E-2</v>
      </c>
      <c r="R48" s="37">
        <f>IFERROR(YHHistoricalPricesAdjusted!R48/YHHistoricalPricesAdjusted!R47-1,  "")</f>
        <v>9.7239294186853842E-2</v>
      </c>
      <c r="S48" s="37">
        <f>IFERROR(YHHistoricalPricesAdjusted!S48/YHHistoricalPricesAdjusted!S47-1,  "")</f>
        <v>0.14249856353619794</v>
      </c>
      <c r="T48" s="37">
        <f>IFERROR(YHHistoricalPricesAdjusted!T48/YHHistoricalPricesAdjusted!T47-1,  "")</f>
        <v>-7.4399649370149423E-2</v>
      </c>
      <c r="U48" s="37">
        <f>IFERROR(YHHistoricalPricesAdjusted!U48/YHHistoricalPricesAdjusted!U47-1,  "")</f>
        <v>5.0628446347957157E-2</v>
      </c>
      <c r="V48" s="37">
        <f>IFERROR(YHHistoricalPricesAdjusted!V48/YHHistoricalPricesAdjusted!V47-1,  "")</f>
        <v>2.4668563337567839E-2</v>
      </c>
      <c r="W48" s="37">
        <f>IFERROR(YHHistoricalPricesAdjusted!W48/YHHistoricalPricesAdjusted!W47-1,  "")</f>
        <v>0.20696985553503033</v>
      </c>
      <c r="X48" s="37">
        <f>IFERROR(YHHistoricalPricesAdjusted!X48/YHHistoricalPricesAdjusted!X47-1,  "")</f>
        <v>3.6099353852278471E-2</v>
      </c>
      <c r="Y48" s="37">
        <f>IFERROR(YHHistoricalPricesAdjusted!Y48/YHHistoricalPricesAdjusted!Y47-1,  "")</f>
        <v>-4.0434531939721019E-2</v>
      </c>
      <c r="Z48" s="37">
        <f>IFERROR(YHHistoricalPricesAdjusted!Z48/YHHistoricalPricesAdjusted!Z47-1,  "")</f>
        <v>1.3560310516397056E-2</v>
      </c>
      <c r="AA48" s="37">
        <f>IFERROR(YHHistoricalPricesAdjusted!AA48/YHHistoricalPricesAdjusted!AA47-1,  "")</f>
        <v>4.2064022008531099E-2</v>
      </c>
      <c r="AB48" s="37">
        <f>IFERROR(YHHistoricalPricesAdjusted!AB48/YHHistoricalPricesAdjusted!AB47-1,  "")</f>
        <v>0.12021514230955921</v>
      </c>
      <c r="AC48" s="37">
        <f>IFERROR(YHHistoricalPricesAdjusted!AC48/YHHistoricalPricesAdjusted!AC47-1,  "")</f>
        <v>-7.3696535629163784E-2</v>
      </c>
      <c r="AD48" s="37">
        <f>IFERROR(YHHistoricalPricesAdjusted!AD48/YHHistoricalPricesAdjusted!AD47-1,  "")</f>
        <v>1.9136805613673813E-2</v>
      </c>
      <c r="AE48" s="37">
        <f>IFERROR(YHHistoricalPricesAdjusted!AE48/YHHistoricalPricesAdjusted!AE47-1,  "")</f>
        <v>4.6139760139918495E-2</v>
      </c>
      <c r="AF48" s="37">
        <f>IFERROR(YHHistoricalPricesAdjusted!AF48/YHHistoricalPricesAdjusted!AF47-1,  "")</f>
        <v>6.4033295950480795E-3</v>
      </c>
      <c r="AG48" s="37">
        <f>IFERROR(YHHistoricalPricesAdjusted!AG48/YHHistoricalPricesAdjusted!AG47-1,  "")</f>
        <v>-7.006802530602263E-2</v>
      </c>
      <c r="AH48" s="37">
        <f>IFERROR(YHHistoricalPricesAdjusted!AH48/YHHistoricalPricesAdjusted!AH47-1,  "")</f>
        <v>6.0568821585045729E-2</v>
      </c>
      <c r="AI48" s="37">
        <f>IFERROR(YHHistoricalPricesAdjusted!AI48/YHHistoricalPricesAdjusted!AI47-1,  "")</f>
        <v>0.14672496873311336</v>
      </c>
      <c r="AJ48" s="37">
        <f>IFERROR(YHHistoricalPricesAdjusted!AJ48/YHHistoricalPricesAdjusted!AJ47-1,  "")</f>
        <v>-4.0083591223936677E-2</v>
      </c>
      <c r="AK48" s="37">
        <f>IFERROR(YHHistoricalPricesAdjusted!AK48/YHHistoricalPricesAdjusted!AK47-1,  "")</f>
        <v>9.3408163420602097E-2</v>
      </c>
      <c r="AL48" s="37">
        <f>IFERROR(YHHistoricalPricesAdjusted!AL48/YHHistoricalPricesAdjusted!AL47-1,  "")</f>
        <v>4.7148312306035889E-2</v>
      </c>
      <c r="AM48" s="37">
        <f>IFERROR(YHHistoricalPricesAdjusted!AM48/YHHistoricalPricesAdjusted!AM47-1,  "")</f>
        <v>0.21785633880203847</v>
      </c>
      <c r="AN48" s="37">
        <f>IFERROR(YHHistoricalPricesAdjusted!AN48/YHHistoricalPricesAdjusted!AN47-1,  "")</f>
        <v>1.0828900515545969E-2</v>
      </c>
      <c r="AO48" s="37">
        <f>IFERROR(YHHistoricalPricesAdjusted!AO48/YHHistoricalPricesAdjusted!AO47-1,  "")</f>
        <v>0.14912677442433275</v>
      </c>
      <c r="AP48" s="37">
        <f>IFERROR(YHHistoricalPricesAdjusted!AP48/YHHistoricalPricesAdjusted!AP47-1,  "")</f>
        <v>-7.090603000079243E-3</v>
      </c>
      <c r="AQ48" s="37">
        <f>IFERROR(YHHistoricalPricesAdjusted!AQ48/YHHistoricalPricesAdjusted!AQ47-1,  "")</f>
        <v>9.8597338989983907E-2</v>
      </c>
      <c r="AR48" s="37">
        <f>IFERROR(YHHistoricalPricesAdjusted!AR48/YHHistoricalPricesAdjusted!AR47-1,  "")</f>
        <v>6.053043360457111E-2</v>
      </c>
      <c r="AS48" s="37">
        <f>IFERROR(YHHistoricalPricesAdjusted!AS48/YHHistoricalPricesAdjusted!AS47-1,  "")</f>
        <v>0.11451593323257336</v>
      </c>
      <c r="AT48" s="37">
        <f>IFERROR(YHHistoricalPricesAdjusted!AT48/YHHistoricalPricesAdjusted!AT47-1,  "")</f>
        <v>-3.1596149758929215E-2</v>
      </c>
      <c r="AU48" s="37">
        <f>IFERROR(YHHistoricalPricesAdjusted!AU48/YHHistoricalPricesAdjusted!AU47-1,  "")</f>
        <v>-2.1205068834726393E-2</v>
      </c>
      <c r="AV48" s="37">
        <f>IFERROR(YHHistoricalPricesAdjusted!AV48/YHHistoricalPricesAdjusted!AV47-1,  "")</f>
        <v>4.7052061811446944E-2</v>
      </c>
      <c r="AW48" s="37">
        <f>IFERROR(YHHistoricalPricesAdjusted!AW48/YHHistoricalPricesAdjusted!AW47-1,  "")</f>
        <v>-0.10757803430258905</v>
      </c>
      <c r="AX48" s="37">
        <f>IFERROR(YHHistoricalPricesAdjusted!AX48/YHHistoricalPricesAdjusted!AX47-1,  "")</f>
        <v>-7.8105550874657204E-2</v>
      </c>
      <c r="AY48" s="37">
        <f>IFERROR(YHHistoricalPricesAdjusted!AY48/YHHistoricalPricesAdjusted!AY47-1,  "")</f>
        <v>-9.2107905425147352E-2</v>
      </c>
      <c r="AZ48" s="37">
        <f>IFERROR(YHHistoricalPricesAdjusted!AZ48/YHHistoricalPricesAdjusted!AZ47-1,  "")</f>
        <v>-6.8160543328778855E-2</v>
      </c>
      <c r="BA48" s="37">
        <f>IFERROR(YHHistoricalPricesAdjusted!BA48/YHHistoricalPricesAdjusted!BA47-1,  "")</f>
        <v>-3.0413629762662153E-2</v>
      </c>
      <c r="BB48" s="37">
        <f>IFERROR(YHHistoricalPricesAdjusted!BB48/YHHistoricalPricesAdjusted!BB47-1,  "")</f>
        <v>0.16593686284498754</v>
      </c>
      <c r="BC48" s="37">
        <f>IFERROR(YHHistoricalPricesAdjusted!BC48/YHHistoricalPricesAdjusted!BC47-1,  "")</f>
        <v>0.28000025057671407</v>
      </c>
      <c r="BD48" s="37">
        <f>IFERROR(YHHistoricalPricesAdjusted!BD48/YHHistoricalPricesAdjusted!BD47-1,  "")</f>
        <v>-6.2901469803371413E-2</v>
      </c>
      <c r="BE48" s="37">
        <f>IFERROR(YHHistoricalPricesAdjusted!BE48/YHHistoricalPricesAdjusted!BE47-1,  "")</f>
        <v>0.14730399754314827</v>
      </c>
      <c r="BF48" s="37">
        <f>IFERROR(YHHistoricalPricesAdjusted!BF48/YHHistoricalPricesAdjusted!BF47-1,  "")</f>
        <v>0.2303073925535648</v>
      </c>
      <c r="BG48" s="37">
        <f>IFERROR(YHHistoricalPricesAdjusted!BG48/YHHistoricalPricesAdjusted!BG47-1,  "")</f>
        <v>0.10857920482908301</v>
      </c>
      <c r="BH48" s="37">
        <f>IFERROR(YHHistoricalPricesAdjusted!BH48/YHHistoricalPricesAdjusted!BH47-1,  "")</f>
        <v>0.15018471799222577</v>
      </c>
      <c r="BI48" s="37">
        <f>IFERROR(YHHistoricalPricesAdjusted!BI48/YHHistoricalPricesAdjusted!BI47-1,  "")</f>
        <v>-4.3242360899730103E-2</v>
      </c>
      <c r="BJ48" s="37">
        <f>IFERROR(YHHistoricalPricesAdjusted!BJ48/YHHistoricalPricesAdjusted!BJ47-1,  "")</f>
        <v>-5.5431187179491581E-2</v>
      </c>
      <c r="BK48" s="37">
        <f>IFERROR(YHHistoricalPricesAdjusted!BK48/YHHistoricalPricesAdjusted!BK47-1,  "")</f>
        <v>9.0071031517188649E-2</v>
      </c>
      <c r="BL48" s="37">
        <f>IFERROR(YHHistoricalPricesAdjusted!BL48/YHHistoricalPricesAdjusted!BL47-1,  "")</f>
        <v>3.8959610968710923E-2</v>
      </c>
      <c r="BM48" s="37">
        <f>IFERROR(YHHistoricalPricesAdjusted!BM48/YHHistoricalPricesAdjusted!BM47-1,  "")</f>
        <v>3.8840202218821007E-2</v>
      </c>
      <c r="BN48" s="37">
        <f>IFERROR(YHHistoricalPricesAdjusted!BN48/YHHistoricalPricesAdjusted!BN47-1,  "")</f>
        <v>-4.837713200180227E-3</v>
      </c>
      <c r="BO48" s="37">
        <f>IFERROR(YHHistoricalPricesAdjusted!BO48/YHHistoricalPricesAdjusted!BO47-1,  "")</f>
        <v>0.10222763713549199</v>
      </c>
      <c r="BP48" s="37">
        <f>IFERROR(YHHistoricalPricesAdjusted!BP48/YHHistoricalPricesAdjusted!BP47-1,  "")</f>
        <v>4.6731895208694141E-2</v>
      </c>
      <c r="BQ48" s="37">
        <f>IFERROR(YHHistoricalPricesAdjusted!BQ48/YHHistoricalPricesAdjusted!BQ47-1,  "")</f>
        <v>0.10921613925495177</v>
      </c>
      <c r="BR48" s="37">
        <f>IFERROR(YHHistoricalPricesAdjusted!BR48/YHHistoricalPricesAdjusted!BR47-1,  "")</f>
        <v>8.7176526135872123E-2</v>
      </c>
      <c r="BS48" s="37">
        <f>IFERROR(YHHistoricalPricesAdjusted!BS48/YHHistoricalPricesAdjusted!BS47-1,  "")</f>
        <v>6.5914334177567424E-2</v>
      </c>
      <c r="BT48" s="37">
        <f>IFERROR(YHHistoricalPricesAdjusted!BT48/YHHistoricalPricesAdjusted!BT47-1,  "")</f>
        <v>0.20063802859283286</v>
      </c>
      <c r="BU48" s="37">
        <f>IFERROR(YHHistoricalPricesAdjusted!BU48/YHHistoricalPricesAdjusted!BU47-1,  "")</f>
        <v>0.2218356505054353</v>
      </c>
      <c r="BV48" s="37">
        <f>IFERROR(YHHistoricalPricesAdjusted!BV48/YHHistoricalPricesAdjusted!BV47-1,  "")</f>
        <v>5.6742863575471869E-3</v>
      </c>
      <c r="BW48" s="37">
        <f>IFERROR(YHHistoricalPricesAdjusted!BW48/YHHistoricalPricesAdjusted!BW47-1,  "")</f>
        <v>-4.8752590988169198E-3</v>
      </c>
      <c r="BX48" s="37">
        <f>IFERROR(YHHistoricalPricesAdjusted!BX48/YHHistoricalPricesAdjusted!BX47-1,  "")</f>
        <v>4.924303475052616E-2</v>
      </c>
      <c r="BY48" s="37">
        <f>IFERROR(YHHistoricalPricesAdjusted!BY48/YHHistoricalPricesAdjusted!BY47-1,  "")</f>
        <v>-4.2043691216408163E-2</v>
      </c>
      <c r="BZ48" s="37">
        <f>IFERROR(YHHistoricalPricesAdjusted!BZ48/YHHistoricalPricesAdjusted!BZ47-1,  "")</f>
        <v>4.8689579265769334E-2</v>
      </c>
      <c r="CA48" s="37">
        <f>IFERROR(YHHistoricalPricesAdjusted!CA48/YHHistoricalPricesAdjusted!CA47-1,  "")</f>
        <v>2.1433235174947773E-2</v>
      </c>
      <c r="CB48" s="37">
        <f>IFERROR(YHHistoricalPricesAdjusted!CB48/YHHistoricalPricesAdjusted!CB47-1,  "")</f>
        <v>2.9337723685554984E-2</v>
      </c>
      <c r="CC48" s="37">
        <f>IFERROR(YHHistoricalPricesAdjusted!CC48/YHHistoricalPricesAdjusted!CC47-1,  "")</f>
        <v>0.29567170823725153</v>
      </c>
      <c r="CD48" s="37">
        <f>IFERROR(YHHistoricalPricesAdjusted!CD48/YHHistoricalPricesAdjusted!CD47-1,  "")</f>
        <v>-9.5961573556699875E-2</v>
      </c>
      <c r="CE48" s="37">
        <f>IFERROR(YHHistoricalPricesAdjusted!CE48/YHHistoricalPricesAdjusted!CE47-1,  "")</f>
        <v>6.2801909745960449E-2</v>
      </c>
      <c r="CF48" s="37">
        <f>IFERROR(YHHistoricalPricesAdjusted!CF48/YHHistoricalPricesAdjusted!CF47-1,  "")</f>
        <v>0.13811194638694624</v>
      </c>
    </row>
    <row r="49" spans="1:84" x14ac:dyDescent="0.25">
      <c r="A49" s="17">
        <v>42735</v>
      </c>
      <c r="B49" s="37">
        <f>IFERROR(YHHistoricalPricesAdjusted!B49/YHHistoricalPricesAdjusted!B48-1,  "")</f>
        <v>5.3335617209426367E-2</v>
      </c>
      <c r="C49" s="37">
        <f>IFERROR(YHHistoricalPricesAdjusted!C49/YHHistoricalPricesAdjusted!C48-1,  "")</f>
        <v>2.7308269978301825E-2</v>
      </c>
      <c r="D49" s="37">
        <f>IFERROR(YHHistoricalPricesAdjusted!D49/YHHistoricalPricesAdjusted!D48-1,  "")</f>
        <v>3.2522943060291576E-2</v>
      </c>
      <c r="E49" s="37">
        <f>IFERROR(YHHistoricalPricesAdjusted!E49/YHHistoricalPricesAdjusted!E48-1,  "")</f>
        <v>5.1452625635481475E-2</v>
      </c>
      <c r="F49" s="37">
        <f>IFERROR(YHHistoricalPricesAdjusted!F49/YHHistoricalPricesAdjusted!F48-1,  "")</f>
        <v>2.8477652055703517E-2</v>
      </c>
      <c r="G49" s="37">
        <f>IFERROR(YHHistoricalPricesAdjusted!G49/YHHistoricalPricesAdjusted!G48-1,  "")</f>
        <v>-1.8600020338438772E-2</v>
      </c>
      <c r="H49" s="37">
        <f>IFERROR(YHHistoricalPricesAdjusted!H49/YHHistoricalPricesAdjusted!H48-1,  "")</f>
        <v>4.969218275520304E-2</v>
      </c>
      <c r="I49" s="37">
        <f>IFERROR(YHHistoricalPricesAdjusted!I49/YHHistoricalPricesAdjusted!I48-1,  "")</f>
        <v>1.1345173102257133E-2</v>
      </c>
      <c r="J49" s="37">
        <f>IFERROR(YHHistoricalPricesAdjusted!J49/YHHistoricalPricesAdjusted!J48-1,  "")</f>
        <v>4.0573621092302226E-2</v>
      </c>
      <c r="K49" s="37">
        <f>IFERROR(YHHistoricalPricesAdjusted!K49/YHHistoricalPricesAdjusted!K48-1,  "")</f>
        <v>-1.1220782320454092E-2</v>
      </c>
      <c r="L49" s="37">
        <f>IFERROR(YHHistoricalPricesAdjusted!L49/YHHistoricalPricesAdjusted!L48-1,  "")</f>
        <v>4.969218275520304E-2</v>
      </c>
      <c r="M49" s="37">
        <f>IFERROR(YHHistoricalPricesAdjusted!M49/YHHistoricalPricesAdjusted!M48-1,  "")</f>
        <v>5.2982251085797127E-2</v>
      </c>
      <c r="N49" s="37">
        <f>IFERROR(YHHistoricalPricesAdjusted!N49/YHHistoricalPricesAdjusted!N48-1,  "")</f>
        <v>-1.8493613056057123E-2</v>
      </c>
      <c r="O49" s="37">
        <f>IFERROR(YHHistoricalPricesAdjusted!O49/YHHistoricalPricesAdjusted!O48-1,  "")</f>
        <v>0.12824714239431279</v>
      </c>
      <c r="P49" s="37">
        <f>IFERROR(YHHistoricalPricesAdjusted!P49/YHHistoricalPricesAdjusted!P48-1,  "")</f>
        <v>4.306100056241946E-2</v>
      </c>
      <c r="Q49" s="37">
        <f>IFERROR(YHHistoricalPricesAdjusted!Q49/YHHistoricalPricesAdjusted!Q48-1,  "")</f>
        <v>6.5599772746157026E-2</v>
      </c>
      <c r="R49" s="37">
        <f>IFERROR(YHHistoricalPricesAdjusted!R49/YHHistoricalPricesAdjusted!R48-1,  "")</f>
        <v>3.4323855884510479E-3</v>
      </c>
      <c r="S49" s="37">
        <f>IFERROR(YHHistoricalPricesAdjusted!S49/YHHistoricalPricesAdjusted!S48-1,  "")</f>
        <v>-5.0465929132948451E-2</v>
      </c>
      <c r="T49" s="37">
        <f>IFERROR(YHHistoricalPricesAdjusted!T49/YHHistoricalPricesAdjusted!T48-1,  "")</f>
        <v>-2.6600501915555075E-2</v>
      </c>
      <c r="U49" s="37">
        <f>IFERROR(YHHistoricalPricesAdjusted!U49/YHHistoricalPricesAdjusted!U48-1,  "")</f>
        <v>3.3151025678101131E-2</v>
      </c>
      <c r="V49" s="37">
        <f>IFERROR(YHHistoricalPricesAdjusted!V49/YHHistoricalPricesAdjusted!V48-1,  "")</f>
        <v>2.4340335888723974E-2</v>
      </c>
      <c r="W49" s="37">
        <f>IFERROR(YHHistoricalPricesAdjusted!W49/YHHistoricalPricesAdjusted!W48-1,  "")</f>
        <v>4.323593930837788E-2</v>
      </c>
      <c r="X49" s="37">
        <f>IFERROR(YHHistoricalPricesAdjusted!X49/YHHistoricalPricesAdjusted!X48-1,  "")</f>
        <v>5.8720900003559118E-2</v>
      </c>
      <c r="Y49" s="37">
        <f>IFERROR(YHHistoricalPricesAdjusted!Y49/YHHistoricalPricesAdjusted!Y48-1,  "")</f>
        <v>4.2283195836570808E-2</v>
      </c>
      <c r="Z49" s="37">
        <f>IFERROR(YHHistoricalPricesAdjusted!Z49/YHHistoricalPricesAdjusted!Z48-1,  "")</f>
        <v>-3.8530774697301817E-3</v>
      </c>
      <c r="AA49" s="37">
        <f>IFERROR(YHHistoricalPricesAdjusted!AA49/YHHistoricalPricesAdjusted!AA48-1,  "")</f>
        <v>-3.7914636116738176E-2</v>
      </c>
      <c r="AB49" s="37">
        <f>IFERROR(YHHistoricalPricesAdjusted!AB49/YHHistoricalPricesAdjusted!AB48-1,  "")</f>
        <v>1.4889055898891446E-2</v>
      </c>
      <c r="AC49" s="37">
        <f>IFERROR(YHHistoricalPricesAdjusted!AC49/YHHistoricalPricesAdjusted!AC48-1,  "")</f>
        <v>4.4152850692297907E-2</v>
      </c>
      <c r="AD49" s="37">
        <f>IFERROR(YHHistoricalPricesAdjusted!AD49/YHHistoricalPricesAdjusted!AD48-1,  "")</f>
        <v>-0.13455757071628993</v>
      </c>
      <c r="AE49" s="37">
        <f>IFERROR(YHHistoricalPricesAdjusted!AE49/YHHistoricalPricesAdjusted!AE48-1,  "")</f>
        <v>0.14186762087518812</v>
      </c>
      <c r="AF49" s="37">
        <f>IFERROR(YHHistoricalPricesAdjusted!AF49/YHHistoricalPricesAdjusted!AF48-1,  "")</f>
        <v>3.0442373514394161E-2</v>
      </c>
      <c r="AG49" s="37">
        <f>IFERROR(YHHistoricalPricesAdjusted!AG49/YHHistoricalPricesAdjusted!AG48-1,  "")</f>
        <v>8.0854381923244345E-2</v>
      </c>
      <c r="AH49" s="37">
        <f>IFERROR(YHHistoricalPricesAdjusted!AH49/YHHistoricalPricesAdjusted!AH48-1,  "")</f>
        <v>4.1668885150902168E-2</v>
      </c>
      <c r="AI49" s="37">
        <f>IFERROR(YHHistoricalPricesAdjusted!AI49/YHHistoricalPricesAdjusted!AI48-1,  "")</f>
        <v>5.3602409888355407E-2</v>
      </c>
      <c r="AJ49" s="37">
        <f>IFERROR(YHHistoricalPricesAdjusted!AJ49/YHHistoricalPricesAdjusted!AJ48-1,  "")</f>
        <v>2.2674531595225922E-3</v>
      </c>
      <c r="AK49" s="37">
        <f>IFERROR(YHHistoricalPricesAdjusted!AK49/YHHistoricalPricesAdjusted!AK48-1,  "")</f>
        <v>6.8026261669345223E-2</v>
      </c>
      <c r="AL49" s="37">
        <f>IFERROR(YHHistoricalPricesAdjusted!AL49/YHHistoricalPricesAdjusted!AL48-1,  "")</f>
        <v>7.3105648430437986E-2</v>
      </c>
      <c r="AM49" s="37">
        <f>IFERROR(YHHistoricalPricesAdjusted!AM49/YHHistoricalPricesAdjusted!AM48-1,  "")</f>
        <v>-1.0309291220815475E-2</v>
      </c>
      <c r="AN49" s="37">
        <f>IFERROR(YHHistoricalPricesAdjusted!AN49/YHHistoricalPricesAdjusted!AN48-1,  "")</f>
        <v>7.6353685425277096E-2</v>
      </c>
      <c r="AO49" s="37">
        <f>IFERROR(YHHistoricalPricesAdjusted!AO49/YHHistoricalPricesAdjusted!AO48-1,  "")</f>
        <v>2.9290622259426025E-2</v>
      </c>
      <c r="AP49" s="37">
        <f>IFERROR(YHHistoricalPricesAdjusted!AP49/YHHistoricalPricesAdjusted!AP48-1,  "")</f>
        <v>-5.236841753635979E-2</v>
      </c>
      <c r="AQ49" s="37">
        <f>IFERROR(YHHistoricalPricesAdjusted!AQ49/YHHistoricalPricesAdjusted!AQ48-1,  "")</f>
        <v>-4.7965030715679924E-2</v>
      </c>
      <c r="AR49" s="37">
        <f>IFERROR(YHHistoricalPricesAdjusted!AR49/YHHistoricalPricesAdjusted!AR48-1,  "")</f>
        <v>8.1095166020110465E-2</v>
      </c>
      <c r="AS49" s="37">
        <f>IFERROR(YHHistoricalPricesAdjusted!AS49/YHHistoricalPricesAdjusted!AS48-1,  "")</f>
        <v>-1.3295845956695418E-2</v>
      </c>
      <c r="AT49" s="37">
        <f>IFERROR(YHHistoricalPricesAdjusted!AT49/YHHistoricalPricesAdjusted!AT48-1,  "")</f>
        <v>1.9140479040065106E-2</v>
      </c>
      <c r="AU49" s="37">
        <f>IFERROR(YHHistoricalPricesAdjusted!AU49/YHHistoricalPricesAdjusted!AU48-1,  "")</f>
        <v>3.8148734100662551E-3</v>
      </c>
      <c r="AV49" s="37">
        <f>IFERROR(YHHistoricalPricesAdjusted!AV49/YHHistoricalPricesAdjusted!AV48-1,  "")</f>
        <v>2.9575473662294405E-2</v>
      </c>
      <c r="AW49" s="37">
        <f>IFERROR(YHHistoricalPricesAdjusted!AW49/YHHistoricalPricesAdjusted!AW48-1,  "")</f>
        <v>6.1918542607993343E-2</v>
      </c>
      <c r="AX49" s="37">
        <f>IFERROR(YHHistoricalPricesAdjusted!AX49/YHHistoricalPricesAdjusted!AX48-1,  "")</f>
        <v>6.4172391693890773E-2</v>
      </c>
      <c r="AY49" s="37">
        <f>IFERROR(YHHistoricalPricesAdjusted!AY49/YHHistoricalPricesAdjusted!AY48-1,  "")</f>
        <v>6.2909855762421918E-2</v>
      </c>
      <c r="AZ49" s="37">
        <f>IFERROR(YHHistoricalPricesAdjusted!AZ49/YHHistoricalPricesAdjusted!AZ48-1,  "")</f>
        <v>8.4166586315985725E-3</v>
      </c>
      <c r="BA49" s="37">
        <f>IFERROR(YHHistoricalPricesAdjusted!BA49/YHHistoricalPricesAdjusted!BA48-1,  "")</f>
        <v>5.822334166378007E-2</v>
      </c>
      <c r="BB49" s="37">
        <f>IFERROR(YHHistoricalPricesAdjusted!BB49/YHHistoricalPricesAdjusted!BB48-1,  "")</f>
        <v>6.6358905832750503E-2</v>
      </c>
      <c r="BC49" s="37">
        <f>IFERROR(YHHistoricalPricesAdjusted!BC49/YHHistoricalPricesAdjusted!BC48-1,  "")</f>
        <v>9.7332646482950036E-2</v>
      </c>
      <c r="BD49" s="37">
        <f>IFERROR(YHHistoricalPricesAdjusted!BD49/YHHistoricalPricesAdjusted!BD48-1,  "")</f>
        <v>1.1176833948806086E-2</v>
      </c>
      <c r="BE49" s="37">
        <f>IFERROR(YHHistoricalPricesAdjusted!BE49/YHHistoricalPricesAdjusted!BE48-1,  "")</f>
        <v>5.7395731984949183E-2</v>
      </c>
      <c r="BF49" s="37">
        <f>IFERROR(YHHistoricalPricesAdjusted!BF49/YHHistoricalPricesAdjusted!BF48-1,  "")</f>
        <v>9.5317622655229028E-2</v>
      </c>
      <c r="BG49" s="37">
        <f>IFERROR(YHHistoricalPricesAdjusted!BG49/YHHistoricalPricesAdjusted!BG48-1,  "")</f>
        <v>3.5267993319231694E-2</v>
      </c>
      <c r="BH49" s="37">
        <f>IFERROR(YHHistoricalPricesAdjusted!BH49/YHHistoricalPricesAdjusted!BH48-1,  "")</f>
        <v>5.0059542083288111E-2</v>
      </c>
      <c r="BI49" s="37">
        <f>IFERROR(YHHistoricalPricesAdjusted!BI49/YHHistoricalPricesAdjusted!BI48-1,  "")</f>
        <v>1.0274024137369109E-2</v>
      </c>
      <c r="BJ49" s="37">
        <f>IFERROR(YHHistoricalPricesAdjusted!BJ49/YHHistoricalPricesAdjusted!BJ48-1,  "")</f>
        <v>0.14601763243161758</v>
      </c>
      <c r="BK49" s="37">
        <f>IFERROR(YHHistoricalPricesAdjusted!BK49/YHHistoricalPricesAdjusted!BK48-1,  "")</f>
        <v>2.8317626931508411E-2</v>
      </c>
      <c r="BL49" s="37">
        <f>IFERROR(YHHistoricalPricesAdjusted!BL49/YHHistoricalPricesAdjusted!BL48-1,  "")</f>
        <v>4.5966769549523612E-2</v>
      </c>
      <c r="BM49" s="37">
        <f>IFERROR(YHHistoricalPricesAdjusted!BM49/YHHistoricalPricesAdjusted!BM48-1,  "")</f>
        <v>2.2775672773732492E-2</v>
      </c>
      <c r="BN49" s="37">
        <f>IFERROR(YHHistoricalPricesAdjusted!BN49/YHHistoricalPricesAdjusted!BN48-1,  "")</f>
        <v>-8.9540415903033299E-4</v>
      </c>
      <c r="BO49" s="37">
        <f>IFERROR(YHHistoricalPricesAdjusted!BO49/YHHistoricalPricesAdjusted!BO48-1,  "")</f>
        <v>1.469893621466789E-2</v>
      </c>
      <c r="BP49" s="37">
        <f>IFERROR(YHHistoricalPricesAdjusted!BP49/YHHistoricalPricesAdjusted!BP48-1,  "")</f>
        <v>2.5895792427485409E-2</v>
      </c>
      <c r="BQ49" s="37">
        <f>IFERROR(YHHistoricalPricesAdjusted!BQ49/YHHistoricalPricesAdjusted!BQ48-1,  "")</f>
        <v>1.088543823568755E-2</v>
      </c>
      <c r="BR49" s="37">
        <f>IFERROR(YHHistoricalPricesAdjusted!BR49/YHHistoricalPricesAdjusted!BR48-1,  "")</f>
        <v>-3.7923231765201626E-2</v>
      </c>
      <c r="BS49" s="37">
        <f>IFERROR(YHHistoricalPricesAdjusted!BS49/YHHistoricalPricesAdjusted!BS48-1,  "")</f>
        <v>4.9845296796390715E-2</v>
      </c>
      <c r="BT49" s="37">
        <f>IFERROR(YHHistoricalPricesAdjusted!BT49/YHHistoricalPricesAdjusted!BT48-1,  "")</f>
        <v>8.4882969580658996E-2</v>
      </c>
      <c r="BU49" s="37">
        <f>IFERROR(YHHistoricalPricesAdjusted!BU49/YHHistoricalPricesAdjusted!BU48-1,  "")</f>
        <v>3.8107761369769566E-2</v>
      </c>
      <c r="BV49" s="37">
        <f>IFERROR(YHHistoricalPricesAdjusted!BV49/YHHistoricalPricesAdjusted!BV48-1,  "")</f>
        <v>3.8164455554299037E-2</v>
      </c>
      <c r="BW49" s="37">
        <f>IFERROR(YHHistoricalPricesAdjusted!BW49/YHHistoricalPricesAdjusted!BW48-1,  "")</f>
        <v>5.315904122406101E-2</v>
      </c>
      <c r="BX49" s="37">
        <f>IFERROR(YHHistoricalPricesAdjusted!BX49/YHHistoricalPricesAdjusted!BX48-1,  "")</f>
        <v>6.9739355728833274E-2</v>
      </c>
      <c r="BY49" s="37">
        <f>IFERROR(YHHistoricalPricesAdjusted!BY49/YHHistoricalPricesAdjusted!BY48-1,  "")</f>
        <v>-4.916668055555562E-2</v>
      </c>
      <c r="BZ49" s="37">
        <f>IFERROR(YHHistoricalPricesAdjusted!BZ49/YHHistoricalPricesAdjusted!BZ48-1,  "")</f>
        <v>8.1809270514938692E-3</v>
      </c>
      <c r="CA49" s="37">
        <f>IFERROR(YHHistoricalPricesAdjusted!CA49/YHHistoricalPricesAdjusted!CA48-1,  "")</f>
        <v>-0.11894834889459804</v>
      </c>
      <c r="CB49" s="37">
        <f>IFERROR(YHHistoricalPricesAdjusted!CB49/YHHistoricalPricesAdjusted!CB48-1,  "")</f>
        <v>-1.6377762590426115E-2</v>
      </c>
      <c r="CC49" s="37">
        <f>IFERROR(YHHistoricalPricesAdjusted!CC49/YHHistoricalPricesAdjusted!CC48-1,  "")</f>
        <v>0.15943398435443057</v>
      </c>
      <c r="CD49" s="37">
        <f>IFERROR(YHHistoricalPricesAdjusted!CD49/YHHistoricalPricesAdjusted!CD48-1,  "")</f>
        <v>-2.845798899608154E-2</v>
      </c>
      <c r="CE49" s="37">
        <f>IFERROR(YHHistoricalPricesAdjusted!CE49/YHHistoricalPricesAdjusted!CE48-1,  "")</f>
        <v>-3.6363556256581386E-2</v>
      </c>
      <c r="CF49" s="37">
        <f>IFERROR(YHHistoricalPricesAdjusted!CF49/YHHistoricalPricesAdjusted!CF48-1,  "")</f>
        <v>0.12237577458393378</v>
      </c>
    </row>
    <row r="50" spans="1:84" x14ac:dyDescent="0.25">
      <c r="A50" s="17">
        <v>42766</v>
      </c>
      <c r="B50" s="37">
        <f>IFERROR(YHHistoricalPricesAdjusted!B50/YHHistoricalPricesAdjusted!B49-1,  "")</f>
        <v>4.7746429807540736E-2</v>
      </c>
      <c r="C50" s="37">
        <f>IFERROR(YHHistoricalPricesAdjusted!C50/YHHistoricalPricesAdjusted!C49-1,  "")</f>
        <v>-5.3053336090818859E-2</v>
      </c>
      <c r="D50" s="37">
        <f>IFERROR(YHHistoricalPricesAdjusted!D50/YHHistoricalPricesAdjusted!D49-1,  "")</f>
        <v>5.1388694179382854E-2</v>
      </c>
      <c r="E50" s="37">
        <f>IFERROR(YHHistoricalPricesAdjusted!E50/YHHistoricalPricesAdjusted!E49-1,  "")</f>
        <v>6.9878635894683239E-2</v>
      </c>
      <c r="F50" s="37">
        <f>IFERROR(YHHistoricalPricesAdjusted!F50/YHHistoricalPricesAdjusted!F49-1,  "")</f>
        <v>6.9832581085096379E-3</v>
      </c>
      <c r="G50" s="37">
        <f>IFERROR(YHHistoricalPricesAdjusted!G50/YHHistoricalPricesAdjusted!G49-1,  "")</f>
        <v>-2.7522087227636494E-2</v>
      </c>
      <c r="H50" s="37">
        <f>IFERROR(YHHistoricalPricesAdjusted!H50/YHHistoricalPricesAdjusted!H49-1,  "")</f>
        <v>-1.0238154215020501E-2</v>
      </c>
      <c r="I50" s="37">
        <f>IFERROR(YHHistoricalPricesAdjusted!I50/YHHistoricalPricesAdjusted!I49-1,  "")</f>
        <v>8.0929505040597816E-2</v>
      </c>
      <c r="J50" s="37">
        <f>IFERROR(YHHistoricalPricesAdjusted!J50/YHHistoricalPricesAdjusted!J49-1,  "")</f>
        <v>1.169267921043482E-2</v>
      </c>
      <c r="K50" s="37">
        <f>IFERROR(YHHistoricalPricesAdjusted!K50/YHHistoricalPricesAdjusted!K49-1,  "")</f>
        <v>-1.2372022312456932E-2</v>
      </c>
      <c r="L50" s="37">
        <f>IFERROR(YHHistoricalPricesAdjusted!L50/YHHistoricalPricesAdjusted!L49-1,  "")</f>
        <v>-1.0238154215020501E-2</v>
      </c>
      <c r="M50" s="37">
        <f>IFERROR(YHHistoricalPricesAdjusted!M50/YHHistoricalPricesAdjusted!M49-1,  "")</f>
        <v>-8.1239313836475313E-3</v>
      </c>
      <c r="N50" s="37">
        <f>IFERROR(YHHistoricalPricesAdjusted!N50/YHHistoricalPricesAdjusted!N49-1,  "")</f>
        <v>2.5394568679089513E-2</v>
      </c>
      <c r="O50" s="37">
        <f>IFERROR(YHHistoricalPricesAdjusted!O50/YHHistoricalPricesAdjusted!O49-1,  "")</f>
        <v>0.17895077281154226</v>
      </c>
      <c r="P50" s="37">
        <f>IFERROR(YHHistoricalPricesAdjusted!P50/YHHistoricalPricesAdjusted!P49-1,  "")</f>
        <v>-7.0573987791144543E-2</v>
      </c>
      <c r="Q50" s="37">
        <f>IFERROR(YHHistoricalPricesAdjusted!Q50/YHHistoricalPricesAdjusted!Q49-1,  "")</f>
        <v>-5.3950715224147405E-2</v>
      </c>
      <c r="R50" s="37">
        <f>IFERROR(YHHistoricalPricesAdjusted!R50/YHHistoricalPricesAdjusted!R49-1,  "")</f>
        <v>0.1304978697462198</v>
      </c>
      <c r="S50" s="37">
        <f>IFERROR(YHHistoricalPricesAdjusted!S50/YHHistoricalPricesAdjusted!S49-1,  "")</f>
        <v>0.10573314461389227</v>
      </c>
      <c r="T50" s="37">
        <f>IFERROR(YHHistoricalPricesAdjusted!T50/YHHistoricalPricesAdjusted!T49-1,  "")</f>
        <v>1.0101598979384008E-4</v>
      </c>
      <c r="U50" s="37">
        <f>IFERROR(YHHistoricalPricesAdjusted!U50/YHHistoricalPricesAdjusted!U49-1,  "")</f>
        <v>2.49249961080662E-2</v>
      </c>
      <c r="V50" s="37">
        <f>IFERROR(YHHistoricalPricesAdjusted!V50/YHHistoricalPricesAdjusted!V49-1,  "")</f>
        <v>2.94648619092297E-2</v>
      </c>
      <c r="W50" s="37">
        <f>IFERROR(YHHistoricalPricesAdjusted!W50/YHHistoricalPricesAdjusted!W49-1,  "")</f>
        <v>6.9553391886810756E-2</v>
      </c>
      <c r="X50" s="37">
        <f>IFERROR(YHHistoricalPricesAdjusted!X50/YHHistoricalPricesAdjusted!X49-1,  "")</f>
        <v>-3.7467286347624196E-2</v>
      </c>
      <c r="Y50" s="37">
        <f>IFERROR(YHHistoricalPricesAdjusted!Y50/YHHistoricalPricesAdjusted!Y49-1,  "")</f>
        <v>-1.7012347155698326E-2</v>
      </c>
      <c r="Z50" s="37">
        <f>IFERROR(YHHistoricalPricesAdjusted!Z50/YHHistoricalPricesAdjusted!Z49-1,  "")</f>
        <v>9.46288897629044E-4</v>
      </c>
      <c r="AA50" s="37">
        <f>IFERROR(YHHistoricalPricesAdjusted!AA50/YHHistoricalPricesAdjusted!AA49-1,  "")</f>
        <v>6.1078286672691551E-2</v>
      </c>
      <c r="AB50" s="37">
        <f>IFERROR(YHHistoricalPricesAdjusted!AB50/YHHistoricalPricesAdjusted!AB49-1,  "")</f>
        <v>1.2871849940837121E-2</v>
      </c>
      <c r="AC50" s="37">
        <f>IFERROR(YHHistoricalPricesAdjusted!AC50/YHHistoricalPricesAdjusted!AC49-1,  "")</f>
        <v>8.4571731588142018E-2</v>
      </c>
      <c r="AD50" s="37">
        <f>IFERROR(YHHistoricalPricesAdjusted!AD50/YHHistoricalPricesAdjusted!AD49-1,  "")</f>
        <v>5.8751694872455573E-2</v>
      </c>
      <c r="AE50" s="37">
        <f>IFERROR(YHHistoricalPricesAdjusted!AE50/YHHistoricalPricesAdjusted!AE49-1,  "")</f>
        <v>0.14083534118278895</v>
      </c>
      <c r="AF50" s="37">
        <f>IFERROR(YHHistoricalPricesAdjusted!AF50/YHHistoricalPricesAdjusted!AF49-1,  "")</f>
        <v>-7.4095090930800245E-3</v>
      </c>
      <c r="AG50" s="37">
        <f>IFERROR(YHHistoricalPricesAdjusted!AG50/YHHistoricalPricesAdjusted!AG49-1,  "")</f>
        <v>4.2283750434670031E-2</v>
      </c>
      <c r="AH50" s="37">
        <f>IFERROR(YHHistoricalPricesAdjusted!AH50/YHHistoricalPricesAdjusted!AH49-1,  "")</f>
        <v>2.6103611743655497E-2</v>
      </c>
      <c r="AI50" s="37">
        <f>IFERROR(YHHistoricalPricesAdjusted!AI50/YHHistoricalPricesAdjusted!AI49-1,  "")</f>
        <v>2.3221990276446114E-2</v>
      </c>
      <c r="AJ50" s="37">
        <f>IFERROR(YHHistoricalPricesAdjusted!AJ50/YHHistoricalPricesAdjusted!AJ49-1,  "")</f>
        <v>-1.9909693961583264E-2</v>
      </c>
      <c r="AK50" s="37">
        <f>IFERROR(YHHistoricalPricesAdjusted!AK50/YHHistoricalPricesAdjusted!AK49-1,  "")</f>
        <v>3.522303767724555E-2</v>
      </c>
      <c r="AL50" s="37">
        <f>IFERROR(YHHistoricalPricesAdjusted!AL50/YHHistoricalPricesAdjusted!AL49-1,  "")</f>
        <v>4.7372068676758694E-2</v>
      </c>
      <c r="AM50" s="37">
        <f>IFERROR(YHHistoricalPricesAdjusted!AM50/YHHistoricalPricesAdjusted!AM49-1,  "")</f>
        <v>4.2245363283847981E-2</v>
      </c>
      <c r="AN50" s="37">
        <f>IFERROR(YHHistoricalPricesAdjusted!AN50/YHHistoricalPricesAdjusted!AN49-1,  "")</f>
        <v>-9.9529474580704047E-3</v>
      </c>
      <c r="AO50" s="37">
        <f>IFERROR(YHHistoricalPricesAdjusted!AO50/YHHistoricalPricesAdjusted!AO49-1,  "")</f>
        <v>2.7970706656144095E-2</v>
      </c>
      <c r="AP50" s="37">
        <f>IFERROR(YHHistoricalPricesAdjusted!AP50/YHHistoricalPricesAdjusted!AP49-1,  "")</f>
        <v>9.8660440200969424E-2</v>
      </c>
      <c r="AQ50" s="37">
        <f>IFERROR(YHHistoricalPricesAdjusted!AQ50/YHHistoricalPricesAdjusted!AQ49-1,  "")</f>
        <v>0.11692991143191622</v>
      </c>
      <c r="AR50" s="37">
        <f>IFERROR(YHHistoricalPricesAdjusted!AR50/YHHistoricalPricesAdjusted!AR49-1,  "")</f>
        <v>-3.9069414633674082E-2</v>
      </c>
      <c r="AS50" s="37">
        <f>IFERROR(YHHistoricalPricesAdjusted!AS50/YHHistoricalPricesAdjusted!AS49-1,  "")</f>
        <v>1.7698973537581875E-2</v>
      </c>
      <c r="AT50" s="37">
        <f>IFERROR(YHHistoricalPricesAdjusted!AT50/YHHistoricalPricesAdjusted!AT49-1,  "")</f>
        <v>1.0299020429185957E-2</v>
      </c>
      <c r="AU50" s="37">
        <f>IFERROR(YHHistoricalPricesAdjusted!AU50/YHHistoricalPricesAdjusted!AU49-1,  "")</f>
        <v>1.492545755406316E-2</v>
      </c>
      <c r="AV50" s="37">
        <f>IFERROR(YHHistoricalPricesAdjusted!AV50/YHHistoricalPricesAdjusted!AV49-1,  "")</f>
        <v>-3.240814080398946E-2</v>
      </c>
      <c r="AW50" s="37">
        <f>IFERROR(YHHistoricalPricesAdjusted!AW50/YHHistoricalPricesAdjusted!AW49-1,  "")</f>
        <v>3.5660590024249705E-2</v>
      </c>
      <c r="AX50" s="37">
        <f>IFERROR(YHHistoricalPricesAdjusted!AX50/YHHistoricalPricesAdjusted!AX49-1,  "")</f>
        <v>1.1852588517977214E-2</v>
      </c>
      <c r="AY50" s="37">
        <f>IFERROR(YHHistoricalPricesAdjusted!AY50/YHHistoricalPricesAdjusted!AY49-1,  "")</f>
        <v>4.8791193435568925E-3</v>
      </c>
      <c r="AZ50" s="37">
        <f>IFERROR(YHHistoricalPricesAdjusted!AZ50/YHHistoricalPricesAdjusted!AZ49-1,  "")</f>
        <v>2.5204145099204878E-2</v>
      </c>
      <c r="BA50" s="37">
        <f>IFERROR(YHHistoricalPricesAdjusted!BA50/YHHistoricalPricesAdjusted!BA49-1,  "")</f>
        <v>9.9172066098329736E-3</v>
      </c>
      <c r="BB50" s="37">
        <f>IFERROR(YHHistoricalPricesAdjusted!BB50/YHHistoricalPricesAdjusted!BB49-1,  "")</f>
        <v>-1.0059549065202456E-2</v>
      </c>
      <c r="BC50" s="37">
        <f>IFERROR(YHHistoricalPricesAdjusted!BC50/YHHistoricalPricesAdjusted!BC49-1,  "")</f>
        <v>-1.9489072400397989E-2</v>
      </c>
      <c r="BD50" s="37">
        <f>IFERROR(YHHistoricalPricesAdjusted!BD50/YHHistoricalPricesAdjusted!BD49-1,  "")</f>
        <v>6.0112906958112333E-2</v>
      </c>
      <c r="BE50" s="37">
        <f>IFERROR(YHHistoricalPricesAdjusted!BE50/YHHistoricalPricesAdjusted!BE49-1,  "")</f>
        <v>-6.057540883492385E-2</v>
      </c>
      <c r="BF50" s="37">
        <f>IFERROR(YHHistoricalPricesAdjusted!BF50/YHHistoricalPricesAdjusted!BF49-1,  "")</f>
        <v>-4.2305245920008061E-2</v>
      </c>
      <c r="BG50" s="37">
        <f>IFERROR(YHHistoricalPricesAdjusted!BG50/YHHistoricalPricesAdjusted!BG49-1,  "")</f>
        <v>3.0432959637108681E-2</v>
      </c>
      <c r="BH50" s="37">
        <f>IFERROR(YHHistoricalPricesAdjusted!BH50/YHHistoricalPricesAdjusted!BH49-1,  "")</f>
        <v>2.2137662750583154E-2</v>
      </c>
      <c r="BI50" s="37">
        <f>IFERROR(YHHistoricalPricesAdjusted!BI50/YHHistoricalPricesAdjusted!BI49-1,  "")</f>
        <v>2.9830547627280435E-2</v>
      </c>
      <c r="BJ50" s="37">
        <f>IFERROR(YHHistoricalPricesAdjusted!BJ50/YHHistoricalPricesAdjusted!BJ49-1,  "")</f>
        <v>7.335894603529125E-2</v>
      </c>
      <c r="BK50" s="37">
        <f>IFERROR(YHHistoricalPricesAdjusted!BK50/YHHistoricalPricesAdjusted!BK49-1,  "")</f>
        <v>3.1047463980812484E-2</v>
      </c>
      <c r="BL50" s="37">
        <f>IFERROR(YHHistoricalPricesAdjusted!BL50/YHHistoricalPricesAdjusted!BL49-1,  "")</f>
        <v>-2.0561233518392008E-2</v>
      </c>
      <c r="BM50" s="37">
        <f>IFERROR(YHHistoricalPricesAdjusted!BM50/YHHistoricalPricesAdjusted!BM49-1,  "")</f>
        <v>2.13208198285324E-2</v>
      </c>
      <c r="BN50" s="37">
        <f>IFERROR(YHHistoricalPricesAdjusted!BN50/YHHistoricalPricesAdjusted!BN49-1,  "")</f>
        <v>7.6226522911957195E-2</v>
      </c>
      <c r="BO50" s="37">
        <f>IFERROR(YHHistoricalPricesAdjusted!BO50/YHHistoricalPricesAdjusted!BO49-1,  "")</f>
        <v>6.642863033579971E-3</v>
      </c>
      <c r="BP50" s="37">
        <f>IFERROR(YHHistoricalPricesAdjusted!BP50/YHHistoricalPricesAdjusted!BP49-1,  "")</f>
        <v>3.2562007735092324E-2</v>
      </c>
      <c r="BQ50" s="37">
        <f>IFERROR(YHHistoricalPricesAdjusted!BQ50/YHHistoricalPricesAdjusted!BQ49-1,  "")</f>
        <v>3.3462067935517759E-2</v>
      </c>
      <c r="BR50" s="37">
        <f>IFERROR(YHHistoricalPricesAdjusted!BR50/YHHistoricalPricesAdjusted!BR49-1,  "")</f>
        <v>1.1102284654551653E-3</v>
      </c>
      <c r="BS50" s="37">
        <f>IFERROR(YHHistoricalPricesAdjusted!BS50/YHHistoricalPricesAdjusted!BS49-1,  "")</f>
        <v>1.5832021529231355E-2</v>
      </c>
      <c r="BT50" s="37">
        <f>IFERROR(YHHistoricalPricesAdjusted!BT50/YHHistoricalPricesAdjusted!BT49-1,  "")</f>
        <v>-2.437038189434737E-2</v>
      </c>
      <c r="BU50" s="37">
        <f>IFERROR(YHHistoricalPricesAdjusted!BU50/YHHistoricalPricesAdjusted!BU49-1,  "")</f>
        <v>-5.6399466731352987E-2</v>
      </c>
      <c r="BV50" s="37">
        <f>IFERROR(YHHistoricalPricesAdjusted!BV50/YHHistoricalPricesAdjusted!BV49-1,  "")</f>
        <v>4.0392697960918378E-2</v>
      </c>
      <c r="BW50" s="37">
        <f>IFERROR(YHHistoricalPricesAdjusted!BW50/YHHistoricalPricesAdjusted!BW49-1,  "")</f>
        <v>1.516394894321782E-2</v>
      </c>
      <c r="BX50" s="37">
        <f>IFERROR(YHHistoricalPricesAdjusted!BX50/YHHistoricalPricesAdjusted!BX49-1,  "")</f>
        <v>-8.1865876832911577E-2</v>
      </c>
      <c r="BY50" s="37">
        <f>IFERROR(YHHistoricalPricesAdjusted!BY50/YHHistoricalPricesAdjusted!BY49-1,  "")</f>
        <v>0.15541921056703489</v>
      </c>
      <c r="BZ50" s="37">
        <f>IFERROR(YHHistoricalPricesAdjusted!BZ50/YHHistoricalPricesAdjusted!BZ49-1,  "")</f>
        <v>3.4639229741483923E-2</v>
      </c>
      <c r="CA50" s="37">
        <f>IFERROR(YHHistoricalPricesAdjusted!CA50/YHHistoricalPricesAdjusted!CA49-1,  "")</f>
        <v>8.8665714002828633E-2</v>
      </c>
      <c r="CB50" s="37">
        <f>IFERROR(YHHistoricalPricesAdjusted!CB50/YHHistoricalPricesAdjusted!CB49-1,  "")</f>
        <v>8.325267776522205E-3</v>
      </c>
      <c r="CC50" s="37">
        <f>IFERROR(YHHistoricalPricesAdjusted!CC50/YHHistoricalPricesAdjusted!CC49-1,  "")</f>
        <v>2.2859235842142223E-2</v>
      </c>
      <c r="CD50" s="37">
        <f>IFERROR(YHHistoricalPricesAdjusted!CD50/YHHistoricalPricesAdjusted!CD49-1,  "")</f>
        <v>0.13272493352303516</v>
      </c>
      <c r="CE50" s="37">
        <f>IFERROR(YHHistoricalPricesAdjusted!CE50/YHHistoricalPricesAdjusted!CE49-1,  "")</f>
        <v>2.2751639396268342E-2</v>
      </c>
      <c r="CF50" s="37">
        <f>IFERROR(YHHistoricalPricesAdjusted!CF50/YHHistoricalPricesAdjusted!CF49-1,  "")</f>
        <v>9.990880474452557E-2</v>
      </c>
    </row>
    <row r="51" spans="1:84" x14ac:dyDescent="0.25">
      <c r="A51" s="17">
        <v>42794</v>
      </c>
      <c r="B51" s="37">
        <f>IFERROR(YHHistoricalPricesAdjusted!B51/YHHistoricalPricesAdjusted!B50-1,  "")</f>
        <v>0.12888339086268341</v>
      </c>
      <c r="C51" s="37">
        <f>IFERROR(YHHistoricalPricesAdjusted!C51/YHHistoricalPricesAdjusted!C50-1,  "")</f>
        <v>3.7037194063089807E-3</v>
      </c>
      <c r="D51" s="37">
        <f>IFERROR(YHHistoricalPricesAdjusted!D51/YHHistoricalPricesAdjusted!D50-1,  "")</f>
        <v>3.0368948590038025E-2</v>
      </c>
      <c r="E51" s="37">
        <f>IFERROR(YHHistoricalPricesAdjusted!E51/YHHistoricalPricesAdjusted!E50-1,  "")</f>
        <v>-5.0609401357437633E-3</v>
      </c>
      <c r="F51" s="37">
        <f>IFERROR(YHHistoricalPricesAdjusted!F51/YHHistoricalPricesAdjusted!F50-1,  "")</f>
        <v>4.1445810402862104E-2</v>
      </c>
      <c r="G51" s="37">
        <f>IFERROR(YHHistoricalPricesAdjusted!G51/YHHistoricalPricesAdjusted!G50-1,  "")</f>
        <v>6.2780993160706622E-2</v>
      </c>
      <c r="H51" s="37">
        <f>IFERROR(YHHistoricalPricesAdjusted!H51/YHHistoricalPricesAdjusted!H50-1,  "")</f>
        <v>9.3816266258845982E-3</v>
      </c>
      <c r="I51" s="37">
        <f>IFERROR(YHHistoricalPricesAdjusted!I51/YHHistoricalPricesAdjusted!I50-1,  "")</f>
        <v>4.8739831333206585E-2</v>
      </c>
      <c r="J51" s="37">
        <f>IFERROR(YHHistoricalPricesAdjusted!J51/YHHistoricalPricesAdjusted!J50-1,  "")</f>
        <v>8.6680472878705839E-2</v>
      </c>
      <c r="K51" s="37">
        <f>IFERROR(YHHistoricalPricesAdjusted!K51/YHHistoricalPricesAdjusted!K50-1,  "")</f>
        <v>-2.2462157391578086E-2</v>
      </c>
      <c r="L51" s="37">
        <f>IFERROR(YHHistoricalPricesAdjusted!L51/YHHistoricalPricesAdjusted!L50-1,  "")</f>
        <v>9.3816266258845982E-3</v>
      </c>
      <c r="M51" s="37">
        <f>IFERROR(YHHistoricalPricesAdjusted!M51/YHHistoricalPricesAdjusted!M50-1,  "")</f>
        <v>6.3596083844373874E-2</v>
      </c>
      <c r="N51" s="37">
        <f>IFERROR(YHHistoricalPricesAdjusted!N51/YHHistoricalPricesAdjusted!N50-1,  "")</f>
        <v>4.2059220756046622E-2</v>
      </c>
      <c r="O51" s="37">
        <f>IFERROR(YHHistoricalPricesAdjusted!O51/YHHistoricalPricesAdjusted!O50-1,  "")</f>
        <v>-7.7005043222463376E-3</v>
      </c>
      <c r="P51" s="37">
        <f>IFERROR(YHHistoricalPricesAdjusted!P51/YHHistoricalPricesAdjusted!P50-1,  "")</f>
        <v>-3.0635203535110733E-2</v>
      </c>
      <c r="Q51" s="37">
        <f>IFERROR(YHHistoricalPricesAdjusted!Q51/YHHistoricalPricesAdjusted!Q50-1,  "")</f>
        <v>1.0327794130768009E-2</v>
      </c>
      <c r="R51" s="37">
        <f>IFERROR(YHHistoricalPricesAdjusted!R51/YHHistoricalPricesAdjusted!R50-1,  "")</f>
        <v>1.5569102982106564E-2</v>
      </c>
      <c r="S51" s="37">
        <f>IFERROR(YHHistoricalPricesAdjusted!S51/YHHistoricalPricesAdjusted!S50-1,  "")</f>
        <v>2.4551757658998197E-2</v>
      </c>
      <c r="T51" s="37">
        <f>IFERROR(YHHistoricalPricesAdjusted!T51/YHHistoricalPricesAdjusted!T50-1,  "")</f>
        <v>7.2434020475609318E-2</v>
      </c>
      <c r="U51" s="37">
        <f>IFERROR(YHHistoricalPricesAdjusted!U51/YHHistoricalPricesAdjusted!U50-1,  "")</f>
        <v>9.5747053514374736E-2</v>
      </c>
      <c r="V51" s="37">
        <f>IFERROR(YHHistoricalPricesAdjusted!V51/YHHistoricalPricesAdjusted!V50-1,  "")</f>
        <v>5.6381679564020626E-2</v>
      </c>
      <c r="W51" s="37">
        <f>IFERROR(YHHistoricalPricesAdjusted!W51/YHHistoricalPricesAdjusted!W50-1,  "")</f>
        <v>-5.7379601460166851E-3</v>
      </c>
      <c r="X51" s="37">
        <f>IFERROR(YHHistoricalPricesAdjusted!X51/YHHistoricalPricesAdjusted!X50-1,  "")</f>
        <v>-1.4570059372129407E-2</v>
      </c>
      <c r="Y51" s="37">
        <f>IFERROR(YHHistoricalPricesAdjusted!Y51/YHHistoricalPricesAdjusted!Y50-1,  "")</f>
        <v>7.9116961377390327E-2</v>
      </c>
      <c r="Z51" s="37">
        <f>IFERROR(YHHistoricalPricesAdjusted!Z51/YHHistoricalPricesAdjusted!Z50-1,  "")</f>
        <v>7.5323067015485412E-2</v>
      </c>
      <c r="AA51" s="37">
        <f>IFERROR(YHHistoricalPricesAdjusted!AA51/YHHistoricalPricesAdjusted!AA50-1,  "")</f>
        <v>6.2590606061490472E-2</v>
      </c>
      <c r="AB51" s="37">
        <f>IFERROR(YHHistoricalPricesAdjusted!AB51/YHHistoricalPricesAdjusted!AB50-1,  "")</f>
        <v>2.0234525140614856E-2</v>
      </c>
      <c r="AC51" s="37">
        <f>IFERROR(YHHistoricalPricesAdjusted!AC51/YHHistoricalPricesAdjusted!AC50-1,  "")</f>
        <v>8.6696536921823775E-2</v>
      </c>
      <c r="AD51" s="37">
        <f>IFERROR(YHHistoricalPricesAdjusted!AD51/YHHistoricalPricesAdjusted!AD50-1,  "")</f>
        <v>0.11515585469788481</v>
      </c>
      <c r="AE51" s="37">
        <f>IFERROR(YHHistoricalPricesAdjusted!AE51/YHHistoricalPricesAdjusted!AE50-1,  "")</f>
        <v>-9.723158047938707E-2</v>
      </c>
      <c r="AF51" s="37">
        <f>IFERROR(YHHistoricalPricesAdjusted!AF51/YHHistoricalPricesAdjusted!AF50-1,  "")</f>
        <v>0.14757399076608269</v>
      </c>
      <c r="AG51" s="37">
        <f>IFERROR(YHHistoricalPricesAdjusted!AG51/YHHistoricalPricesAdjusted!AG50-1,  "")</f>
        <v>0.11846126714910299</v>
      </c>
      <c r="AH51" s="37">
        <f>IFERROR(YHHistoricalPricesAdjusted!AH51/YHHistoricalPricesAdjusted!AH50-1,  "")</f>
        <v>5.3278173037740073E-2</v>
      </c>
      <c r="AI51" s="37">
        <f>IFERROR(YHHistoricalPricesAdjusted!AI51/YHHistoricalPricesAdjusted!AI50-1,  "")</f>
        <v>2.8250699004456425E-2</v>
      </c>
      <c r="AJ51" s="37">
        <f>IFERROR(YHHistoricalPricesAdjusted!AJ51/YHHistoricalPricesAdjusted!AJ50-1,  "")</f>
        <v>-2.0972094020233256E-2</v>
      </c>
      <c r="AK51" s="37">
        <f>IFERROR(YHHistoricalPricesAdjusted!AK51/YHHistoricalPricesAdjusted!AK50-1,  "")</f>
        <v>5.2871332887829858E-2</v>
      </c>
      <c r="AL51" s="37">
        <f>IFERROR(YHHistoricalPricesAdjusted!AL51/YHHistoricalPricesAdjusted!AL50-1,  "")</f>
        <v>1.313806889521385E-2</v>
      </c>
      <c r="AM51" s="37">
        <f>IFERROR(YHHistoricalPricesAdjusted!AM51/YHHistoricalPricesAdjusted!AM50-1,  "")</f>
        <v>7.2922457458718837E-2</v>
      </c>
      <c r="AN51" s="37">
        <f>IFERROR(YHHistoricalPricesAdjusted!AN51/YHHistoricalPricesAdjusted!AN50-1,  "")</f>
        <v>-6.1597485881781378E-2</v>
      </c>
      <c r="AO51" s="37">
        <f>IFERROR(YHHistoricalPricesAdjusted!AO51/YHHistoricalPricesAdjusted!AO50-1,  "")</f>
        <v>1.2760367224908142E-2</v>
      </c>
      <c r="AP51" s="37">
        <f>IFERROR(YHHistoricalPricesAdjusted!AP51/YHHistoricalPricesAdjusted!AP50-1,  "")</f>
        <v>8.7487235925562734E-2</v>
      </c>
      <c r="AQ51" s="37">
        <f>IFERROR(YHHistoricalPricesAdjusted!AQ51/YHHistoricalPricesAdjusted!AQ50-1,  "")</f>
        <v>-6.4066343659519021E-3</v>
      </c>
      <c r="AR51" s="37">
        <f>IFERROR(YHHistoricalPricesAdjusted!AR51/YHHistoricalPricesAdjusted!AR50-1,  "")</f>
        <v>2.14710386203667E-2</v>
      </c>
      <c r="AS51" s="37">
        <f>IFERROR(YHHistoricalPricesAdjusted!AS51/YHHistoricalPricesAdjusted!AS50-1,  "")</f>
        <v>6.5217421005981269E-2</v>
      </c>
      <c r="AT51" s="37">
        <f>IFERROR(YHHistoricalPricesAdjusted!AT51/YHHistoricalPricesAdjusted!AT50-1,  "")</f>
        <v>4.3735531056708465E-2</v>
      </c>
      <c r="AU51" s="37">
        <f>IFERROR(YHHistoricalPricesAdjusted!AU51/YHHistoricalPricesAdjusted!AU50-1,  "")</f>
        <v>6.209157150679423E-2</v>
      </c>
      <c r="AV51" s="37">
        <f>IFERROR(YHHistoricalPricesAdjusted!AV51/YHHistoricalPricesAdjusted!AV50-1,  "")</f>
        <v>5.5699401486171141E-2</v>
      </c>
      <c r="AW51" s="37">
        <f>IFERROR(YHHistoricalPricesAdjusted!AW51/YHHistoricalPricesAdjusted!AW50-1,  "")</f>
        <v>5.8842471892156523E-2</v>
      </c>
      <c r="AX51" s="37">
        <f>IFERROR(YHHistoricalPricesAdjusted!AX51/YHHistoricalPricesAdjusted!AX50-1,  "")</f>
        <v>5.1056839026691003E-2</v>
      </c>
      <c r="AY51" s="37">
        <f>IFERROR(YHHistoricalPricesAdjusted!AY51/YHHistoricalPricesAdjusted!AY50-1,  "")</f>
        <v>2.8120540301124652E-2</v>
      </c>
      <c r="AZ51" s="37">
        <f>IFERROR(YHHistoricalPricesAdjusted!AZ51/YHHistoricalPricesAdjusted!AZ50-1,  "")</f>
        <v>7.7155951704641401E-2</v>
      </c>
      <c r="BA51" s="37">
        <f>IFERROR(YHHistoricalPricesAdjusted!BA51/YHHistoricalPricesAdjusted!BA50-1,  "")</f>
        <v>2.7777639936894749E-2</v>
      </c>
      <c r="BB51" s="37">
        <f>IFERROR(YHHistoricalPricesAdjusted!BB51/YHHistoricalPricesAdjusted!BB50-1,  "")</f>
        <v>7.6703569735902866E-2</v>
      </c>
      <c r="BC51" s="37">
        <f>IFERROR(YHHistoricalPricesAdjusted!BC51/YHHistoricalPricesAdjusted!BC50-1,  "")</f>
        <v>9.0106011284277532E-2</v>
      </c>
      <c r="BD51" s="37">
        <f>IFERROR(YHHistoricalPricesAdjusted!BD51/YHHistoricalPricesAdjusted!BD50-1,  "")</f>
        <v>6.3232969776108261E-2</v>
      </c>
      <c r="BE51" s="37">
        <f>IFERROR(YHHistoricalPricesAdjusted!BE51/YHHistoricalPricesAdjusted!BE50-1,  "")</f>
        <v>7.1287816484433053E-2</v>
      </c>
      <c r="BF51" s="37">
        <f>IFERROR(YHHistoricalPricesAdjusted!BF51/YHHistoricalPricesAdjusted!BF50-1,  "")</f>
        <v>8.1719865593575358E-2</v>
      </c>
      <c r="BG51" s="37">
        <f>IFERROR(YHHistoricalPricesAdjusted!BG51/YHHistoricalPricesAdjusted!BG50-1,  "")</f>
        <v>4.4634381158046077E-2</v>
      </c>
      <c r="BH51" s="37">
        <f>IFERROR(YHHistoricalPricesAdjusted!BH51/YHHistoricalPricesAdjusted!BH50-1,  "")</f>
        <v>2.7516366240156742E-2</v>
      </c>
      <c r="BI51" s="37">
        <f>IFERROR(YHHistoricalPricesAdjusted!BI51/YHHistoricalPricesAdjusted!BI50-1,  "")</f>
        <v>4.0993875834636206E-2</v>
      </c>
      <c r="BJ51" s="37">
        <f>IFERROR(YHHistoricalPricesAdjusted!BJ51/YHHistoricalPricesAdjusted!BJ50-1,  "")</f>
        <v>-1.63963069764127E-2</v>
      </c>
      <c r="BK51" s="37">
        <f>IFERROR(YHHistoricalPricesAdjusted!BK51/YHHistoricalPricesAdjusted!BK50-1,  "")</f>
        <v>5.2650529797752643E-2</v>
      </c>
      <c r="BL51" s="37">
        <f>IFERROR(YHHistoricalPricesAdjusted!BL51/YHHistoricalPricesAdjusted!BL50-1,  "")</f>
        <v>6.5953502575333944E-2</v>
      </c>
      <c r="BM51" s="37">
        <f>IFERROR(YHHistoricalPricesAdjusted!BM51/YHHistoricalPricesAdjusted!BM50-1,  "")</f>
        <v>5.2231184799902408E-2</v>
      </c>
      <c r="BN51" s="37">
        <f>IFERROR(YHHistoricalPricesAdjusted!BN51/YHHistoricalPricesAdjusted!BN50-1,  "")</f>
        <v>1.9423362404241251E-2</v>
      </c>
      <c r="BO51" s="37">
        <f>IFERROR(YHHistoricalPricesAdjusted!BO51/YHHistoricalPricesAdjusted!BO50-1,  "")</f>
        <v>3.7814267362990872E-2</v>
      </c>
      <c r="BP51" s="37">
        <f>IFERROR(YHHistoricalPricesAdjusted!BP51/YHHistoricalPricesAdjusted!BP50-1,  "")</f>
        <v>9.2498880800377714E-2</v>
      </c>
      <c r="BQ51" s="37">
        <f>IFERROR(YHHistoricalPricesAdjusted!BQ51/YHHistoricalPricesAdjusted!BQ50-1,  "")</f>
        <v>1.0067522542297258E-2</v>
      </c>
      <c r="BR51" s="37">
        <f>IFERROR(YHHistoricalPricesAdjusted!BR51/YHHistoricalPricesAdjusted!BR50-1,  "")</f>
        <v>2.6358358982175201E-2</v>
      </c>
      <c r="BS51" s="37">
        <f>IFERROR(YHHistoricalPricesAdjusted!BS51/YHHistoricalPricesAdjusted!BS50-1,  "")</f>
        <v>5.7341654788604535E-2</v>
      </c>
      <c r="BT51" s="37">
        <f>IFERROR(YHHistoricalPricesAdjusted!BT51/YHHistoricalPricesAdjusted!BT50-1,  "")</f>
        <v>8.4140088063585194E-2</v>
      </c>
      <c r="BU51" s="37">
        <f>IFERROR(YHHistoricalPricesAdjusted!BU51/YHHistoricalPricesAdjusted!BU50-1,  "")</f>
        <v>3.3760726161313759E-2</v>
      </c>
      <c r="BV51" s="37">
        <f>IFERROR(YHHistoricalPricesAdjusted!BV51/YHHistoricalPricesAdjusted!BV50-1,  "")</f>
        <v>-1.036353765853204E-2</v>
      </c>
      <c r="BW51" s="37">
        <f>IFERROR(YHHistoricalPricesAdjusted!BW51/YHHistoricalPricesAdjusted!BW50-1,  "")</f>
        <v>-1.6838551065130547E-2</v>
      </c>
      <c r="BX51" s="37">
        <f>IFERROR(YHHistoricalPricesAdjusted!BX51/YHHistoricalPricesAdjusted!BX50-1,  "")</f>
        <v>2.3467714506318682E-2</v>
      </c>
      <c r="BY51" s="37">
        <f>IFERROR(YHHistoricalPricesAdjusted!BY51/YHHistoricalPricesAdjusted!BY50-1,  "")</f>
        <v>2.8445007040328818E-2</v>
      </c>
      <c r="BZ51" s="37">
        <f>IFERROR(YHHistoricalPricesAdjusted!BZ51/YHHistoricalPricesAdjusted!BZ50-1,  "")</f>
        <v>6.0969220007373259E-2</v>
      </c>
      <c r="CA51" s="37">
        <f>IFERROR(YHHistoricalPricesAdjusted!CA51/YHHistoricalPricesAdjusted!CA50-1,  "")</f>
        <v>9.1328430073606803E-2</v>
      </c>
      <c r="CB51" s="37">
        <f>IFERROR(YHHistoricalPricesAdjusted!CB51/YHHistoricalPricesAdjusted!CB50-1,  "")</f>
        <v>0.14475659136271513</v>
      </c>
      <c r="CC51" s="37">
        <f>IFERROR(YHHistoricalPricesAdjusted!CC51/YHHistoricalPricesAdjusted!CC50-1,  "")</f>
        <v>-7.052572586730621E-2</v>
      </c>
      <c r="CD51" s="37">
        <f>IFERROR(YHHistoricalPricesAdjusted!CD51/YHHistoricalPricesAdjusted!CD50-1,  "")</f>
        <v>4.0055139039395504E-2</v>
      </c>
      <c r="CE51" s="37">
        <f>IFERROR(YHHistoricalPricesAdjusted!CE51/YHHistoricalPricesAdjusted!CE50-1,  "")</f>
        <v>0.15415286820193419</v>
      </c>
      <c r="CF51" s="37">
        <f>IFERROR(YHHistoricalPricesAdjusted!CF51/YHHistoricalPricesAdjusted!CF50-1,  "")</f>
        <v>-2.7789297893434428E-2</v>
      </c>
    </row>
    <row r="52" spans="1:84" x14ac:dyDescent="0.25">
      <c r="A52" s="17">
        <v>42825</v>
      </c>
      <c r="B52" s="37">
        <f>IFERROR(YHHistoricalPricesAdjusted!B52/YHHistoricalPricesAdjusted!B51-1,  "")</f>
        <v>5.3236365288339638E-2</v>
      </c>
      <c r="C52" s="37">
        <f>IFERROR(YHHistoricalPricesAdjusted!C52/YHHistoricalPricesAdjusted!C51-1,  "")</f>
        <v>7.6379500366268172E-3</v>
      </c>
      <c r="D52" s="37">
        <f>IFERROR(YHHistoricalPricesAdjusted!D52/YHHistoricalPricesAdjusted!D51-1,  "")</f>
        <v>-2.392991088117602E-2</v>
      </c>
      <c r="E52" s="37">
        <f>IFERROR(YHHistoricalPricesAdjusted!E52/YHHistoricalPricesAdjusted!E51-1,  "")</f>
        <v>2.9975513863224057E-2</v>
      </c>
      <c r="F52" s="37">
        <f>IFERROR(YHHistoricalPricesAdjusted!F52/YHHistoricalPricesAdjusted!F51-1,  "")</f>
        <v>2.2827841832863571E-2</v>
      </c>
      <c r="G52" s="37">
        <f>IFERROR(YHHistoricalPricesAdjusted!G52/YHHistoricalPricesAdjusted!G51-1,  "")</f>
        <v>1.6212995519782503E-2</v>
      </c>
      <c r="H52" s="37">
        <f>IFERROR(YHHistoricalPricesAdjusted!H52/YHHistoricalPricesAdjusted!H51-1,  "")</f>
        <v>1.143942624015537E-2</v>
      </c>
      <c r="I52" s="37">
        <f>IFERROR(YHHistoricalPricesAdjusted!I52/YHHistoricalPricesAdjusted!I51-1,  "")</f>
        <v>1.3827548975845705E-2</v>
      </c>
      <c r="J52" s="37">
        <f>IFERROR(YHHistoricalPricesAdjusted!J52/YHHistoricalPricesAdjusted!J51-1,  "")</f>
        <v>4.0275455498302914E-2</v>
      </c>
      <c r="K52" s="37">
        <f>IFERROR(YHHistoricalPricesAdjusted!K52/YHHistoricalPricesAdjusted!K51-1,  "")</f>
        <v>-4.0035353505657123E-2</v>
      </c>
      <c r="L52" s="37">
        <f>IFERROR(YHHistoricalPricesAdjusted!L52/YHHistoricalPricesAdjusted!L51-1,  "")</f>
        <v>1.143942624015537E-2</v>
      </c>
      <c r="M52" s="37">
        <f>IFERROR(YHHistoricalPricesAdjusted!M52/YHHistoricalPricesAdjusted!M51-1,  "")</f>
        <v>1.3408257179872818E-2</v>
      </c>
      <c r="N52" s="37">
        <f>IFERROR(YHHistoricalPricesAdjusted!N52/YHHistoricalPricesAdjusted!N51-1,  "")</f>
        <v>-2.2925399378979083E-2</v>
      </c>
      <c r="O52" s="37">
        <f>IFERROR(YHHistoricalPricesAdjusted!O52/YHHistoricalPricesAdjusted!O51-1,  "")</f>
        <v>0.11324445951349138</v>
      </c>
      <c r="P52" s="37">
        <f>IFERROR(YHHistoricalPricesAdjusted!P52/YHHistoricalPricesAdjusted!P51-1,  "")</f>
        <v>1.7706557939430212E-2</v>
      </c>
      <c r="Q52" s="37">
        <f>IFERROR(YHHistoricalPricesAdjusted!Q52/YHHistoricalPricesAdjusted!Q51-1,  "")</f>
        <v>-3.6464503923216429E-2</v>
      </c>
      <c r="R52" s="37">
        <f>IFERROR(YHHistoricalPricesAdjusted!R52/YHHistoricalPricesAdjusted!R51-1,  "")</f>
        <v>8.0900748666365985E-3</v>
      </c>
      <c r="S52" s="37">
        <f>IFERROR(YHHistoricalPricesAdjusted!S52/YHHistoricalPricesAdjusted!S51-1,  "")</f>
        <v>4.4445238034623635E-2</v>
      </c>
      <c r="T52" s="37">
        <f>IFERROR(YHHistoricalPricesAdjusted!T52/YHHistoricalPricesAdjusted!T51-1,  "")</f>
        <v>5.4335698906325502E-2</v>
      </c>
      <c r="U52" s="37">
        <f>IFERROR(YHHistoricalPricesAdjusted!U52/YHHistoricalPricesAdjusted!U51-1,  "")</f>
        <v>4.0685560911656315E-2</v>
      </c>
      <c r="V52" s="37">
        <f>IFERROR(YHHistoricalPricesAdjusted!V52/YHHistoricalPricesAdjusted!V51-1,  "")</f>
        <v>-5.5346095475320434E-3</v>
      </c>
      <c r="W52" s="37">
        <f>IFERROR(YHHistoricalPricesAdjusted!W52/YHHistoricalPricesAdjusted!W51-1,  "")</f>
        <v>-5.6214754443843939E-2</v>
      </c>
      <c r="X52" s="37">
        <f>IFERROR(YHHistoricalPricesAdjusted!X52/YHHistoricalPricesAdjusted!X51-1,  "")</f>
        <v>3.5917775351323789E-2</v>
      </c>
      <c r="Y52" s="37">
        <f>IFERROR(YHHistoricalPricesAdjusted!Y52/YHHistoricalPricesAdjusted!Y51-1,  "")</f>
        <v>2.5891191950006442E-2</v>
      </c>
      <c r="Z52" s="37">
        <f>IFERROR(YHHistoricalPricesAdjusted!Z52/YHHistoricalPricesAdjusted!Z51-1,  "")</f>
        <v>1.2852388328482567E-2</v>
      </c>
      <c r="AA52" s="37">
        <f>IFERROR(YHHistoricalPricesAdjusted!AA52/YHHistoricalPricesAdjusted!AA51-1,  "")</f>
        <v>-3.5372555170886E-2</v>
      </c>
      <c r="AB52" s="37">
        <f>IFERROR(YHHistoricalPricesAdjusted!AB52/YHHistoricalPricesAdjusted!AB51-1,  "")</f>
        <v>-8.2840717259244911E-3</v>
      </c>
      <c r="AC52" s="37">
        <f>IFERROR(YHHistoricalPricesAdjusted!AC52/YHHistoricalPricesAdjusted!AC51-1,  "")</f>
        <v>2.0059651702463821E-2</v>
      </c>
      <c r="AD52" s="37">
        <f>IFERROR(YHHistoricalPricesAdjusted!AD52/YHHistoricalPricesAdjusted!AD51-1,  "")</f>
        <v>-8.3690274390495478E-3</v>
      </c>
      <c r="AE52" s="37">
        <f>IFERROR(YHHistoricalPricesAdjusted!AE52/YHHistoricalPricesAdjusted!AE51-1,  "")</f>
        <v>-8.353639261077439E-2</v>
      </c>
      <c r="AF52" s="37">
        <f>IFERROR(YHHistoricalPricesAdjusted!AF52/YHHistoricalPricesAdjusted!AF51-1,  "")</f>
        <v>-2.7437252024443248E-2</v>
      </c>
      <c r="AG52" s="37">
        <f>IFERROR(YHHistoricalPricesAdjusted!AG52/YHHistoricalPricesAdjusted!AG51-1,  "")</f>
        <v>-2.1326158225510983E-2</v>
      </c>
      <c r="AH52" s="37">
        <f>IFERROR(YHHistoricalPricesAdjusted!AH52/YHHistoricalPricesAdjusted!AH51-1,  "")</f>
        <v>1.3249522864737795E-2</v>
      </c>
      <c r="AI52" s="37">
        <f>IFERROR(YHHistoricalPricesAdjusted!AI52/YHHistoricalPricesAdjusted!AI51-1,  "")</f>
        <v>8.635709977915873E-2</v>
      </c>
      <c r="AJ52" s="37">
        <f>IFERROR(YHHistoricalPricesAdjusted!AJ52/YHHistoricalPricesAdjusted!AJ51-1,  "")</f>
        <v>5.9895760478077875E-2</v>
      </c>
      <c r="AK52" s="37">
        <f>IFERROR(YHHistoricalPricesAdjusted!AK52/YHHistoricalPricesAdjusted!AK51-1,  "")</f>
        <v>1.2614234143422998E-2</v>
      </c>
      <c r="AL52" s="37">
        <f>IFERROR(YHHistoricalPricesAdjusted!AL52/YHHistoricalPricesAdjusted!AL51-1,  "")</f>
        <v>4.0178472831553069E-2</v>
      </c>
      <c r="AM52" s="37">
        <f>IFERROR(YHHistoricalPricesAdjusted!AM52/YHHistoricalPricesAdjusted!AM51-1,  "")</f>
        <v>7.0381249127725143E-2</v>
      </c>
      <c r="AN52" s="37">
        <f>IFERROR(YHHistoricalPricesAdjusted!AN52/YHHistoricalPricesAdjusted!AN51-1,  "")</f>
        <v>5.1421895662876027E-2</v>
      </c>
      <c r="AO52" s="37">
        <f>IFERROR(YHHistoricalPricesAdjusted!AO52/YHHistoricalPricesAdjusted!AO51-1,  "")</f>
        <v>-1.3118400377298722E-2</v>
      </c>
      <c r="AP52" s="37">
        <f>IFERROR(YHHistoricalPricesAdjusted!AP52/YHHistoricalPricesAdjusted!AP51-1,  "")</f>
        <v>-2.9028979442817904E-2</v>
      </c>
      <c r="AQ52" s="37">
        <f>IFERROR(YHHistoricalPricesAdjusted!AQ52/YHHistoricalPricesAdjusted!AQ51-1,  "")</f>
        <v>6.3953765199258994E-2</v>
      </c>
      <c r="AR52" s="37">
        <f>IFERROR(YHHistoricalPricesAdjusted!AR52/YHHistoricalPricesAdjusted!AR51-1,  "")</f>
        <v>-3.9727466560736113E-3</v>
      </c>
      <c r="AS52" s="37">
        <f>IFERROR(YHHistoricalPricesAdjusted!AS52/YHHistoricalPricesAdjusted!AS51-1,  "")</f>
        <v>-1.9243622297542617E-2</v>
      </c>
      <c r="AT52" s="37">
        <f>IFERROR(YHHistoricalPricesAdjusted!AT52/YHHistoricalPricesAdjusted!AT51-1,  "")</f>
        <v>1.9340497873193252E-2</v>
      </c>
      <c r="AU52" s="37">
        <f>IFERROR(YHHistoricalPricesAdjusted!AU52/YHHistoricalPricesAdjusted!AU51-1,  "")</f>
        <v>2.2002876853166597E-3</v>
      </c>
      <c r="AV52" s="37">
        <f>IFERROR(YHHistoricalPricesAdjusted!AV52/YHHistoricalPricesAdjusted!AV51-1,  "")</f>
        <v>-6.3623751878723822E-2</v>
      </c>
      <c r="AW52" s="37">
        <f>IFERROR(YHHistoricalPricesAdjusted!AW52/YHHistoricalPricesAdjusted!AW51-1,  "")</f>
        <v>-1.2565769433120266E-2</v>
      </c>
      <c r="AX52" s="37">
        <f>IFERROR(YHHistoricalPricesAdjusted!AX52/YHHistoricalPricesAdjusted!AX51-1,  "")</f>
        <v>4.4633759543182272E-3</v>
      </c>
      <c r="AY52" s="37">
        <f>IFERROR(YHHistoricalPricesAdjusted!AY52/YHHistoricalPricesAdjusted!AY51-1,  "")</f>
        <v>-8.986168753314816E-3</v>
      </c>
      <c r="AZ52" s="37">
        <f>IFERROR(YHHistoricalPricesAdjusted!AZ52/YHHistoricalPricesAdjusted!AZ51-1,  "")</f>
        <v>1.9040378984740425E-3</v>
      </c>
      <c r="BA52" s="37">
        <f>IFERROR(YHHistoricalPricesAdjusted!BA52/YHHistoricalPricesAdjusted!BA51-1,  "")</f>
        <v>7.2008259381106665E-3</v>
      </c>
      <c r="BB52" s="37">
        <f>IFERROR(YHHistoricalPricesAdjusted!BB52/YHHistoricalPricesAdjusted!BB51-1,  "")</f>
        <v>-3.0677675820566686E-2</v>
      </c>
      <c r="BC52" s="37">
        <f>IFERROR(YHHistoricalPricesAdjusted!BC52/YHHistoricalPricesAdjusted!BC51-1,  "")</f>
        <v>-4.4165273995545706E-2</v>
      </c>
      <c r="BD52" s="37">
        <f>IFERROR(YHHistoricalPricesAdjusted!BD52/YHHistoricalPricesAdjusted!BD51-1,  "")</f>
        <v>1.2498985747557922E-2</v>
      </c>
      <c r="BE52" s="37">
        <f>IFERROR(YHHistoricalPricesAdjusted!BE52/YHHistoricalPricesAdjusted!BE51-1,  "")</f>
        <v>3.0304035679562524E-3</v>
      </c>
      <c r="BF52" s="37">
        <f>IFERROR(YHHistoricalPricesAdjusted!BF52/YHHistoricalPricesAdjusted!BF51-1,  "")</f>
        <v>-7.1513113510975779E-2</v>
      </c>
      <c r="BG52" s="37">
        <f>IFERROR(YHHistoricalPricesAdjusted!BG52/YHHistoricalPricesAdjusted!BG51-1,  "")</f>
        <v>-6.3636370775217221E-2</v>
      </c>
      <c r="BH52" s="37">
        <f>IFERROR(YHHistoricalPricesAdjusted!BH52/YHHistoricalPricesAdjusted!BH51-1,  "")</f>
        <v>-3.1823999963396243E-2</v>
      </c>
      <c r="BI52" s="37">
        <f>IFERROR(YHHistoricalPricesAdjusted!BI52/YHHistoricalPricesAdjusted!BI51-1,  "")</f>
        <v>1.8196678392594201E-2</v>
      </c>
      <c r="BJ52" s="37">
        <f>IFERROR(YHHistoricalPricesAdjusted!BJ52/YHHistoricalPricesAdjusted!BJ51-1,  "")</f>
        <v>0.12199641542650497</v>
      </c>
      <c r="BK52" s="37">
        <f>IFERROR(YHHistoricalPricesAdjusted!BK52/YHHistoricalPricesAdjusted!BK51-1,  "")</f>
        <v>-1.186605737208557E-2</v>
      </c>
      <c r="BL52" s="37">
        <f>IFERROR(YHHistoricalPricesAdjusted!BL52/YHHistoricalPricesAdjusted!BL51-1,  "")</f>
        <v>3.3410374135191434E-2</v>
      </c>
      <c r="BM52" s="37">
        <f>IFERROR(YHHistoricalPricesAdjusted!BM52/YHHistoricalPricesAdjusted!BM51-1,  "")</f>
        <v>8.3487751437374413E-3</v>
      </c>
      <c r="BN52" s="37">
        <f>IFERROR(YHHistoricalPricesAdjusted!BN52/YHHistoricalPricesAdjusted!BN51-1,  "")</f>
        <v>-2.3383756335326744E-4</v>
      </c>
      <c r="BO52" s="37">
        <f>IFERROR(YHHistoricalPricesAdjusted!BO52/YHHistoricalPricesAdjusted!BO51-1,  "")</f>
        <v>3.4847448655852542E-3</v>
      </c>
      <c r="BP52" s="37">
        <f>IFERROR(YHHistoricalPricesAdjusted!BP52/YHHistoricalPricesAdjusted!BP51-1,  "")</f>
        <v>-1.2954080240053067E-2</v>
      </c>
      <c r="BQ52" s="37">
        <f>IFERROR(YHHistoricalPricesAdjusted!BQ52/YHHistoricalPricesAdjusted!BQ51-1,  "")</f>
        <v>2.5050147696584535E-2</v>
      </c>
      <c r="BR52" s="37">
        <f>IFERROR(YHHistoricalPricesAdjusted!BR52/YHHistoricalPricesAdjusted!BR51-1,  "")</f>
        <v>1.4318291826666885E-2</v>
      </c>
      <c r="BS52" s="37">
        <f>IFERROR(YHHistoricalPricesAdjusted!BS52/YHHistoricalPricesAdjusted!BS51-1,  "")</f>
        <v>2.5634652988407725E-2</v>
      </c>
      <c r="BT52" s="37">
        <f>IFERROR(YHHistoricalPricesAdjusted!BT52/YHHistoricalPricesAdjusted!BT51-1,  "")</f>
        <v>5.953048241131631E-3</v>
      </c>
      <c r="BU52" s="37">
        <f>IFERROR(YHHistoricalPricesAdjusted!BU52/YHHistoricalPricesAdjusted!BU51-1,  "")</f>
        <v>-1.6293056635776737E-2</v>
      </c>
      <c r="BV52" s="37">
        <f>IFERROR(YHHistoricalPricesAdjusted!BV52/YHHistoricalPricesAdjusted!BV51-1,  "")</f>
        <v>3.5624752317807706E-2</v>
      </c>
      <c r="BW52" s="37">
        <f>IFERROR(YHHistoricalPricesAdjusted!BW52/YHHistoricalPricesAdjusted!BW51-1,  "")</f>
        <v>3.5219408933133689E-3</v>
      </c>
      <c r="BX52" s="37">
        <f>IFERROR(YHHistoricalPricesAdjusted!BX52/YHHistoricalPricesAdjusted!BX51-1,  "")</f>
        <v>-1.7731282415949567E-2</v>
      </c>
      <c r="BY52" s="37">
        <f>IFERROR(YHHistoricalPricesAdjusted!BY52/YHHistoricalPricesAdjusted!BY51-1,  "")</f>
        <v>1.4013522163823566E-2</v>
      </c>
      <c r="BZ52" s="37">
        <f>IFERROR(YHHistoricalPricesAdjusted!BZ52/YHHistoricalPricesAdjusted!BZ51-1,  "")</f>
        <v>-7.5334854114727845E-2</v>
      </c>
      <c r="CA52" s="37">
        <f>IFERROR(YHHistoricalPricesAdjusted!CA52/YHHistoricalPricesAdjusted!CA51-1,  "")</f>
        <v>4.4559860996494782E-2</v>
      </c>
      <c r="CB52" s="37">
        <f>IFERROR(YHHistoricalPricesAdjusted!CB52/YHHistoricalPricesAdjusted!CB51-1,  "")</f>
        <v>1.0303577926122909E-3</v>
      </c>
      <c r="CC52" s="37">
        <f>IFERROR(YHHistoricalPricesAdjusted!CC52/YHHistoricalPricesAdjusted!CC51-1,  "")</f>
        <v>7.4768134870635494E-2</v>
      </c>
      <c r="CD52" s="37">
        <f>IFERROR(YHHistoricalPricesAdjusted!CD52/YHHistoricalPricesAdjusted!CD51-1,  "")</f>
        <v>4.803017807445209E-2</v>
      </c>
      <c r="CE52" s="37">
        <f>IFERROR(YHHistoricalPricesAdjusted!CE52/YHHistoricalPricesAdjusted!CE51-1,  "")</f>
        <v>2.9360825774342292E-2</v>
      </c>
      <c r="CF52" s="37">
        <f>IFERROR(YHHistoricalPricesAdjusted!CF52/YHHistoricalPricesAdjusted!CF51-1,  "")</f>
        <v>0.2329351009839975</v>
      </c>
    </row>
    <row r="53" spans="1:84" x14ac:dyDescent="0.25">
      <c r="A53" s="17">
        <v>42855</v>
      </c>
      <c r="B53" s="37">
        <f>IFERROR(YHHistoricalPricesAdjusted!B53/YHHistoricalPricesAdjusted!B52-1,  "")</f>
        <v>-6.95927586197298E-5</v>
      </c>
      <c r="C53" s="37">
        <f>IFERROR(YHHistoricalPricesAdjusted!C53/YHHistoricalPricesAdjusted!C52-1,  "")</f>
        <v>-2.7181293722053579E-2</v>
      </c>
      <c r="D53" s="37">
        <f>IFERROR(YHHistoricalPricesAdjusted!D53/YHHistoricalPricesAdjusted!D52-1,  "")</f>
        <v>-7.9533787325147043E-2</v>
      </c>
      <c r="E53" s="37">
        <f>IFERROR(YHHistoricalPricesAdjusted!E53/YHHistoricalPricesAdjusted!E52-1,  "")</f>
        <v>1.9490220323388652E-2</v>
      </c>
      <c r="F53" s="37">
        <f>IFERROR(YHHistoricalPricesAdjusted!F53/YHHistoricalPricesAdjusted!F52-1,  "")</f>
        <v>7.962342250210841E-2</v>
      </c>
      <c r="G53" s="37">
        <f>IFERROR(YHHistoricalPricesAdjusted!G53/YHHistoricalPricesAdjusted!G52-1,  "")</f>
        <v>5.0676941324669711E-2</v>
      </c>
      <c r="H53" s="37">
        <f>IFERROR(YHHistoricalPricesAdjusted!H53/YHHistoricalPricesAdjusted!H52-1,  "")</f>
        <v>2.5703555075118789E-2</v>
      </c>
      <c r="I53" s="37">
        <f>IFERROR(YHHistoricalPricesAdjusted!I53/YHHistoricalPricesAdjusted!I52-1,  "")</f>
        <v>2.3094635428675847E-2</v>
      </c>
      <c r="J53" s="37">
        <f>IFERROR(YHHistoricalPricesAdjusted!J53/YHHistoricalPricesAdjusted!J52-1,  "")</f>
        <v>5.0620663525167142E-3</v>
      </c>
      <c r="K53" s="37">
        <f>IFERROR(YHHistoricalPricesAdjusted!K53/YHHistoricalPricesAdjusted!K52-1,  "")</f>
        <v>1.330771766780825E-2</v>
      </c>
      <c r="L53" s="37">
        <f>IFERROR(YHHistoricalPricesAdjusted!L53/YHHistoricalPricesAdjusted!L52-1,  "")</f>
        <v>2.5703555075118789E-2</v>
      </c>
      <c r="M53" s="37">
        <f>IFERROR(YHHistoricalPricesAdjusted!M53/YHHistoricalPricesAdjusted!M52-1,  "")</f>
        <v>1.9645600462301349E-2</v>
      </c>
      <c r="N53" s="37">
        <f>IFERROR(YHHistoricalPricesAdjusted!N53/YHHistoricalPricesAdjusted!N52-1,  "")</f>
        <v>-3.8334359690849751E-2</v>
      </c>
      <c r="O53" s="37">
        <f>IFERROR(YHHistoricalPricesAdjusted!O53/YHHistoricalPricesAdjusted!O52-1,  "")</f>
        <v>0.1285304367314597</v>
      </c>
      <c r="P53" s="37">
        <f>IFERROR(YHHistoricalPricesAdjusted!P53/YHHistoricalPricesAdjusted!P52-1,  "")</f>
        <v>-4.3896293285391463E-3</v>
      </c>
      <c r="Q53" s="37">
        <f>IFERROR(YHHistoricalPricesAdjusted!Q53/YHHistoricalPricesAdjusted!Q52-1,  "")</f>
        <v>-6.2402972001687207E-3</v>
      </c>
      <c r="R53" s="37">
        <f>IFERROR(YHHistoricalPricesAdjusted!R53/YHHistoricalPricesAdjusted!R52-1,  "")</f>
        <v>7.8951536838676617E-2</v>
      </c>
      <c r="S53" s="37">
        <f>IFERROR(YHHistoricalPricesAdjusted!S53/YHHistoricalPricesAdjusted!S52-1,  "")</f>
        <v>-5.7532169355312468E-2</v>
      </c>
      <c r="T53" s="37">
        <f>IFERROR(YHHistoricalPricesAdjusted!T53/YHHistoricalPricesAdjusted!T52-1,  "")</f>
        <v>5.0637554455562617E-2</v>
      </c>
      <c r="U53" s="37">
        <f>IFERROR(YHHistoricalPricesAdjusted!U53/YHHistoricalPricesAdjusted!U52-1,  "")</f>
        <v>3.4165579729467321E-2</v>
      </c>
      <c r="V53" s="37">
        <f>IFERROR(YHHistoricalPricesAdjusted!V53/YHHistoricalPricesAdjusted!V52-1,  "")</f>
        <v>3.0123712652551982E-2</v>
      </c>
      <c r="W53" s="37">
        <f>IFERROR(YHHistoricalPricesAdjusted!W53/YHHistoricalPricesAdjusted!W52-1,  "")</f>
        <v>-7.7107651017109147E-2</v>
      </c>
      <c r="X53" s="37">
        <f>IFERROR(YHHistoricalPricesAdjusted!X53/YHHistoricalPricesAdjusted!X52-1,  "")</f>
        <v>3.4372062806822257E-2</v>
      </c>
      <c r="Y53" s="37">
        <f>IFERROR(YHHistoricalPricesAdjusted!Y53/YHHistoricalPricesAdjusted!Y52-1,  "")</f>
        <v>-8.6712764461865932E-3</v>
      </c>
      <c r="Z53" s="37">
        <f>IFERROR(YHHistoricalPricesAdjusted!Z53/YHHistoricalPricesAdjusted!Z52-1,  "")</f>
        <v>-8.4769160554807321E-3</v>
      </c>
      <c r="AA53" s="37">
        <f>IFERROR(YHHistoricalPricesAdjusted!AA53/YHHistoricalPricesAdjusted!AA52-1,  "")</f>
        <v>-1.196426687999752E-2</v>
      </c>
      <c r="AB53" s="37">
        <f>IFERROR(YHHistoricalPricesAdjusted!AB53/YHHistoricalPricesAdjusted!AB52-1,  "")</f>
        <v>7.0250881603356463E-2</v>
      </c>
      <c r="AC53" s="37">
        <f>IFERROR(YHHistoricalPricesAdjusted!AC53/YHHistoricalPricesAdjusted!AC52-1,  "")</f>
        <v>-5.3713900806982573E-2</v>
      </c>
      <c r="AD53" s="37">
        <f>IFERROR(YHHistoricalPricesAdjusted!AD53/YHHistoricalPricesAdjusted!AD52-1,  "")</f>
        <v>-2.9650290205593732E-2</v>
      </c>
      <c r="AE53" s="37">
        <f>IFERROR(YHHistoricalPricesAdjusted!AE53/YHHistoricalPricesAdjusted!AE52-1,  "")</f>
        <v>-7.1502494035216024E-2</v>
      </c>
      <c r="AF53" s="37">
        <f>IFERROR(YHHistoricalPricesAdjusted!AF53/YHHistoricalPricesAdjusted!AF52-1,  "")</f>
        <v>1.9721745333860508E-3</v>
      </c>
      <c r="AG53" s="37">
        <f>IFERROR(YHHistoricalPricesAdjusted!AG53/YHHistoricalPricesAdjusted!AG52-1,  "")</f>
        <v>2.0676455431828833E-2</v>
      </c>
      <c r="AH53" s="37">
        <f>IFERROR(YHHistoricalPricesAdjusted!AH53/YHHistoricalPricesAdjusted!AH52-1,  "")</f>
        <v>6.9604417483963177E-2</v>
      </c>
      <c r="AI53" s="37">
        <f>IFERROR(YHHistoricalPricesAdjusted!AI53/YHHistoricalPricesAdjusted!AI52-1,  "")</f>
        <v>2.5482601762480961E-3</v>
      </c>
      <c r="AJ53" s="37">
        <f>IFERROR(YHHistoricalPricesAdjusted!AJ53/YHHistoricalPricesAdjusted!AJ52-1,  "")</f>
        <v>6.2288290226202081E-2</v>
      </c>
      <c r="AK53" s="37">
        <f>IFERROR(YHHistoricalPricesAdjusted!AK53/YHHistoricalPricesAdjusted!AK52-1,  "")</f>
        <v>0.13875943019895653</v>
      </c>
      <c r="AL53" s="37">
        <f>IFERROR(YHHistoricalPricesAdjusted!AL53/YHHistoricalPricesAdjusted!AL52-1,  "")</f>
        <v>7.888827200982429E-2</v>
      </c>
      <c r="AM53" s="37">
        <f>IFERROR(YHHistoricalPricesAdjusted!AM53/YHHistoricalPricesAdjusted!AM52-1,  "")</f>
        <v>0.14391624494451838</v>
      </c>
      <c r="AN53" s="37">
        <f>IFERROR(YHHistoricalPricesAdjusted!AN53/YHHistoricalPricesAdjusted!AN52-1,  "")</f>
        <v>2.8158575689826826E-2</v>
      </c>
      <c r="AO53" s="37">
        <f>IFERROR(YHHistoricalPricesAdjusted!AO53/YHHistoricalPricesAdjusted!AO52-1,  "")</f>
        <v>5.702408082884669E-2</v>
      </c>
      <c r="AP53" s="37">
        <f>IFERROR(YHHistoricalPricesAdjusted!AP53/YHHistoricalPricesAdjusted!AP52-1,  "")</f>
        <v>-1.3358975162957032E-2</v>
      </c>
      <c r="AQ53" s="37">
        <f>IFERROR(YHHistoricalPricesAdjusted!AQ53/YHHistoricalPricesAdjusted!AQ52-1,  "")</f>
        <v>6.4980276339520193E-2</v>
      </c>
      <c r="AR53" s="37">
        <f>IFERROR(YHHistoricalPricesAdjusted!AR53/YHHistoricalPricesAdjusted!AR52-1,  "")</f>
        <v>4.9660385621346226E-3</v>
      </c>
      <c r="AS53" s="37">
        <f>IFERROR(YHHistoricalPricesAdjusted!AS53/YHHistoricalPricesAdjusted!AS52-1,  "")</f>
        <v>-4.1841107675029132E-3</v>
      </c>
      <c r="AT53" s="37">
        <f>IFERROR(YHHistoricalPricesAdjusted!AT53/YHHistoricalPricesAdjusted!AT52-1,  "")</f>
        <v>2.9237934709166691E-2</v>
      </c>
      <c r="AU53" s="37">
        <f>IFERROR(YHHistoricalPricesAdjusted!AU53/YHHistoricalPricesAdjusted!AU52-1,  "")</f>
        <v>2.5588169796760818E-2</v>
      </c>
      <c r="AV53" s="37">
        <f>IFERROR(YHHistoricalPricesAdjusted!AV53/YHHistoricalPricesAdjusted!AV52-1,  "")</f>
        <v>9.7834861727961187E-3</v>
      </c>
      <c r="AW53" s="37">
        <f>IFERROR(YHHistoricalPricesAdjusted!AW53/YHHistoricalPricesAdjusted!AW52-1,  "")</f>
        <v>4.0430081179859911E-2</v>
      </c>
      <c r="AX53" s="37">
        <f>IFERROR(YHHistoricalPricesAdjusted!AX53/YHHistoricalPricesAdjusted!AX52-1,  "")</f>
        <v>5.9747017639084632E-3</v>
      </c>
      <c r="AY53" s="37">
        <f>IFERROR(YHHistoricalPricesAdjusted!AY53/YHHistoricalPricesAdjusted!AY52-1,  "")</f>
        <v>4.0164485983185116E-4</v>
      </c>
      <c r="AZ53" s="37">
        <f>IFERROR(YHHistoricalPricesAdjusted!AZ53/YHHistoricalPricesAdjusted!AZ52-1,  "")</f>
        <v>3.0483395228092514E-2</v>
      </c>
      <c r="BA53" s="37">
        <f>IFERROR(YHHistoricalPricesAdjusted!BA53/YHHistoricalPricesAdjusted!BA52-1,  "")</f>
        <v>3.2593658643261136E-2</v>
      </c>
      <c r="BB53" s="37">
        <f>IFERROR(YHHistoricalPricesAdjusted!BB53/YHHistoricalPricesAdjusted!BB52-1,  "")</f>
        <v>-9.5627426056541509E-3</v>
      </c>
      <c r="BC53" s="37">
        <f>IFERROR(YHHistoricalPricesAdjusted!BC53/YHHistoricalPricesAdjusted!BC52-1,  "")</f>
        <v>-7.5818247303766073E-3</v>
      </c>
      <c r="BD53" s="37">
        <f>IFERROR(YHHistoricalPricesAdjusted!BD53/YHHistoricalPricesAdjusted!BD52-1,  "")</f>
        <v>2.6443057201755771E-2</v>
      </c>
      <c r="BE53" s="37">
        <f>IFERROR(YHHistoricalPricesAdjusted!BE53/YHHistoricalPricesAdjusted!BE52-1,  "")</f>
        <v>-1.1701785511040175E-2</v>
      </c>
      <c r="BF53" s="37">
        <f>IFERROR(YHHistoricalPricesAdjusted!BF53/YHHistoricalPricesAdjusted!BF52-1,  "")</f>
        <v>-2.5770587837022796E-2</v>
      </c>
      <c r="BG53" s="37">
        <f>IFERROR(YHHistoricalPricesAdjusted!BG53/YHHistoricalPricesAdjusted!BG52-1,  "")</f>
        <v>1.0456667935878627E-3</v>
      </c>
      <c r="BH53" s="37">
        <f>IFERROR(YHHistoricalPricesAdjusted!BH53/YHHistoricalPricesAdjusted!BH52-1,  "")</f>
        <v>-3.2698558835046576E-2</v>
      </c>
      <c r="BI53" s="37">
        <f>IFERROR(YHHistoricalPricesAdjusted!BI53/YHHistoricalPricesAdjusted!BI52-1,  "")</f>
        <v>3.4231405251654801E-2</v>
      </c>
      <c r="BJ53" s="37">
        <f>IFERROR(YHHistoricalPricesAdjusted!BJ53/YHHistoricalPricesAdjusted!BJ52-1,  "")</f>
        <v>7.4134926290001735E-2</v>
      </c>
      <c r="BK53" s="37">
        <f>IFERROR(YHHistoricalPricesAdjusted!BK53/YHHistoricalPricesAdjusted!BK52-1,  "")</f>
        <v>1.7697923430339824E-3</v>
      </c>
      <c r="BL53" s="37">
        <f>IFERROR(YHHistoricalPricesAdjusted!BL53/YHHistoricalPricesAdjusted!BL52-1,  "")</f>
        <v>2.3519543406738119E-2</v>
      </c>
      <c r="BM53" s="37">
        <f>IFERROR(YHHistoricalPricesAdjusted!BM53/YHHistoricalPricesAdjusted!BM52-1,  "")</f>
        <v>5.0212114378467954E-2</v>
      </c>
      <c r="BN53" s="37">
        <f>IFERROR(YHHistoricalPricesAdjusted!BN53/YHHistoricalPricesAdjusted!BN52-1,  "")</f>
        <v>-2.4131353815619039E-2</v>
      </c>
      <c r="BO53" s="37">
        <f>IFERROR(YHHistoricalPricesAdjusted!BO53/YHHistoricalPricesAdjusted!BO52-1,  "")</f>
        <v>4.7547835066285904E-2</v>
      </c>
      <c r="BP53" s="37">
        <f>IFERROR(YHHistoricalPricesAdjusted!BP53/YHHistoricalPricesAdjusted!BP52-1,  "")</f>
        <v>5.9131130657997577E-2</v>
      </c>
      <c r="BQ53" s="37">
        <f>IFERROR(YHHistoricalPricesAdjusted!BQ53/YHHistoricalPricesAdjusted!BQ52-1,  "")</f>
        <v>-1.7194050465858535E-3</v>
      </c>
      <c r="BR53" s="37">
        <f>IFERROR(YHHistoricalPricesAdjusted!BR53/YHHistoricalPricesAdjusted!BR52-1,  "")</f>
        <v>0.1203079006942338</v>
      </c>
      <c r="BS53" s="37">
        <f>IFERROR(YHHistoricalPricesAdjusted!BS53/YHHistoricalPricesAdjusted!BS52-1,  "")</f>
        <v>1.9211976014481547E-2</v>
      </c>
      <c r="BT53" s="37">
        <f>IFERROR(YHHistoricalPricesAdjusted!BT53/YHHistoricalPricesAdjusted!BT52-1,  "")</f>
        <v>3.3095857534246598E-2</v>
      </c>
      <c r="BU53" s="37">
        <f>IFERROR(YHHistoricalPricesAdjusted!BU53/YHHistoricalPricesAdjusted!BU52-1,  "")</f>
        <v>-2.3451228071480479E-3</v>
      </c>
      <c r="BV53" s="37">
        <f>IFERROR(YHHistoricalPricesAdjusted!BV53/YHHistoricalPricesAdjusted!BV52-1,  "")</f>
        <v>3.9477688339365491E-2</v>
      </c>
      <c r="BW53" s="37">
        <f>IFERROR(YHHistoricalPricesAdjusted!BW53/YHHistoricalPricesAdjusted!BW52-1,  "")</f>
        <v>2.218102434526692E-3</v>
      </c>
      <c r="BX53" s="37">
        <f>IFERROR(YHHistoricalPricesAdjusted!BX53/YHHistoricalPricesAdjusted!BX52-1,  "")</f>
        <v>-5.8256428340558775E-2</v>
      </c>
      <c r="BY53" s="37">
        <f>IFERROR(YHHistoricalPricesAdjusted!BY53/YHHistoricalPricesAdjusted!BY52-1,  "")</f>
        <v>4.4005395660210889E-2</v>
      </c>
      <c r="BZ53" s="37">
        <f>IFERROR(YHHistoricalPricesAdjusted!BZ53/YHHistoricalPricesAdjusted!BZ52-1,  "")</f>
        <v>7.9489647011858677E-2</v>
      </c>
      <c r="CA53" s="37">
        <f>IFERROR(YHHistoricalPricesAdjusted!CA53/YHHistoricalPricesAdjusted!CA52-1,  "")</f>
        <v>1.826591907514441E-2</v>
      </c>
      <c r="CB53" s="37">
        <f>IFERROR(YHHistoricalPricesAdjusted!CB53/YHHistoricalPricesAdjusted!CB52-1,  "")</f>
        <v>3.0785074460978556E-2</v>
      </c>
      <c r="CC53" s="37">
        <f>IFERROR(YHHistoricalPricesAdjusted!CC53/YHHistoricalPricesAdjusted!CC52-1,  "")</f>
        <v>-4.2504279508772003E-2</v>
      </c>
      <c r="CD53" s="37">
        <f>IFERROR(YHHistoricalPricesAdjusted!CD53/YHHistoricalPricesAdjusted!CD52-1,  "")</f>
        <v>5.7726130424650579E-2</v>
      </c>
      <c r="CE53" s="37">
        <f>IFERROR(YHHistoricalPricesAdjusted!CE53/YHHistoricalPricesAdjusted!CE52-1,  "")</f>
        <v>6.0685233472119515E-2</v>
      </c>
      <c r="CF53" s="37">
        <f>IFERROR(YHHistoricalPricesAdjusted!CF53/YHHistoricalPricesAdjusted!CF52-1,  "")</f>
        <v>-4.2560553633217868E-2</v>
      </c>
    </row>
    <row r="54" spans="1:84" x14ac:dyDescent="0.25">
      <c r="A54" s="17">
        <v>42886</v>
      </c>
      <c r="B54" s="37">
        <f>IFERROR(YHHistoricalPricesAdjusted!B54/YHHistoricalPricesAdjusted!B53-1,  "")</f>
        <v>6.3417890860578918E-2</v>
      </c>
      <c r="C54" s="37">
        <f>IFERROR(YHHistoricalPricesAdjusted!C54/YHHistoricalPricesAdjusted!C53-1,  "")</f>
        <v>-5.5536315176813122E-2</v>
      </c>
      <c r="D54" s="37">
        <f>IFERROR(YHHistoricalPricesAdjusted!D54/YHHistoricalPricesAdjusted!D53-1,  "")</f>
        <v>-4.7788287479980651E-2</v>
      </c>
      <c r="E54" s="37">
        <f>IFERROR(YHHistoricalPricesAdjusted!E54/YHHistoricalPricesAdjusted!E53-1,  "")</f>
        <v>-6.6263005138307074E-2</v>
      </c>
      <c r="F54" s="37">
        <f>IFERROR(YHHistoricalPricesAdjusted!F54/YHHistoricalPricesAdjusted!F53-1,  "")</f>
        <v>7.8324941403833614E-2</v>
      </c>
      <c r="G54" s="37">
        <f>IFERROR(YHHistoricalPricesAdjusted!G54/YHHistoricalPricesAdjusted!G53-1,  "")</f>
        <v>4.5490789880522575E-2</v>
      </c>
      <c r="H54" s="37">
        <f>IFERROR(YHHistoricalPricesAdjusted!H54/YHHistoricalPricesAdjusted!H53-1,  "")</f>
        <v>5.3765967910762935E-2</v>
      </c>
      <c r="I54" s="37">
        <f>IFERROR(YHHistoricalPricesAdjusted!I54/YHHistoricalPricesAdjusted!I53-1,  "")</f>
        <v>1.9208697706294409E-2</v>
      </c>
      <c r="J54" s="37">
        <f>IFERROR(YHHistoricalPricesAdjusted!J54/YHHistoricalPricesAdjusted!J53-1,  "")</f>
        <v>-4.0963289719444518E-3</v>
      </c>
      <c r="K54" s="37">
        <f>IFERROR(YHHistoricalPricesAdjusted!K54/YHHistoricalPricesAdjusted!K53-1,  "")</f>
        <v>-5.548317067682329E-3</v>
      </c>
      <c r="L54" s="37">
        <f>IFERROR(YHHistoricalPricesAdjusted!L54/YHHistoricalPricesAdjusted!L53-1,  "")</f>
        <v>5.3765967910762935E-2</v>
      </c>
      <c r="M54" s="37">
        <f>IFERROR(YHHistoricalPricesAdjusted!M54/YHHistoricalPricesAdjusted!M53-1,  "")</f>
        <v>3.1691495342684339E-2</v>
      </c>
      <c r="N54" s="37">
        <f>IFERROR(YHHistoricalPricesAdjusted!N54/YHHistoricalPricesAdjusted!N53-1,  "")</f>
        <v>-4.0206148370370842E-2</v>
      </c>
      <c r="O54" s="37">
        <f>IFERROR(YHHistoricalPricesAdjusted!O54/YHHistoricalPricesAdjusted!O53-1,  "")</f>
        <v>8.5777063710512413E-2</v>
      </c>
      <c r="P54" s="37">
        <f>IFERROR(YHHistoricalPricesAdjusted!P54/YHHistoricalPricesAdjusted!P53-1,  "")</f>
        <v>-1.4084510806648298E-2</v>
      </c>
      <c r="Q54" s="37">
        <f>IFERROR(YHHistoricalPricesAdjusted!Q54/YHHistoricalPricesAdjusted!Q53-1,  "")</f>
        <v>-3.0177836233205912E-2</v>
      </c>
      <c r="R54" s="37">
        <f>IFERROR(YHHistoricalPricesAdjusted!R54/YHHistoricalPricesAdjusted!R53-1,  "")</f>
        <v>-8.6948599639298241E-3</v>
      </c>
      <c r="S54" s="37">
        <f>IFERROR(YHHistoricalPricesAdjusted!S54/YHHistoricalPricesAdjusted!S53-1,  "")</f>
        <v>-1.2690759390180051E-2</v>
      </c>
      <c r="T54" s="37">
        <f>IFERROR(YHHistoricalPricesAdjusted!T54/YHHistoricalPricesAdjusted!T53-1,  "")</f>
        <v>-5.0508672997953141E-3</v>
      </c>
      <c r="U54" s="37">
        <f>IFERROR(YHHistoricalPricesAdjusted!U54/YHHistoricalPricesAdjusted!U53-1,  "")</f>
        <v>4.3062940367690095E-2</v>
      </c>
      <c r="V54" s="37">
        <f>IFERROR(YHHistoricalPricesAdjusted!V54/YHHistoricalPricesAdjusted!V53-1,  "")</f>
        <v>1.1707235252316872E-2</v>
      </c>
      <c r="W54" s="37">
        <f>IFERROR(YHHistoricalPricesAdjusted!W54/YHHistoricalPricesAdjusted!W53-1,  "")</f>
        <v>-0.15967316332979598</v>
      </c>
      <c r="X54" s="37">
        <f>IFERROR(YHHistoricalPricesAdjusted!X54/YHHistoricalPricesAdjusted!X53-1,  "")</f>
        <v>-0.10341614840744384</v>
      </c>
      <c r="Y54" s="37">
        <f>IFERROR(YHHistoricalPricesAdjusted!Y54/YHHistoricalPricesAdjusted!Y53-1,  "")</f>
        <v>3.8713913061610983E-2</v>
      </c>
      <c r="Z54" s="37">
        <f>IFERROR(YHHistoricalPricesAdjusted!Z54/YHHistoricalPricesAdjusted!Z53-1,  "")</f>
        <v>-3.7441083167855216E-2</v>
      </c>
      <c r="AA54" s="37">
        <f>IFERROR(YHHistoricalPricesAdjusted!AA54/YHHistoricalPricesAdjusted!AA53-1,  "")</f>
        <v>4.4601371679068968E-2</v>
      </c>
      <c r="AB54" s="37">
        <f>IFERROR(YHHistoricalPricesAdjusted!AB54/YHHistoricalPricesAdjusted!AB53-1,  "")</f>
        <v>1.7153622248446965E-3</v>
      </c>
      <c r="AC54" s="37">
        <f>IFERROR(YHHistoricalPricesAdjusted!AC54/YHHistoricalPricesAdjusted!AC53-1,  "")</f>
        <v>-2.7312603444012318E-2</v>
      </c>
      <c r="AD54" s="37">
        <f>IFERROR(YHHistoricalPricesAdjusted!AD54/YHHistoricalPricesAdjusted!AD53-1,  "")</f>
        <v>-5.8794342171511582E-2</v>
      </c>
      <c r="AE54" s="37">
        <f>IFERROR(YHHistoricalPricesAdjusted!AE54/YHHistoricalPricesAdjusted!AE53-1,  "")</f>
        <v>-3.8265697015092193E-2</v>
      </c>
      <c r="AF54" s="37">
        <f>IFERROR(YHHistoricalPricesAdjusted!AF54/YHHistoricalPricesAdjusted!AF53-1,  "")</f>
        <v>-8.7633694268441475E-2</v>
      </c>
      <c r="AG54" s="37">
        <f>IFERROR(YHHistoricalPricesAdjusted!AG54/YHHistoricalPricesAdjusted!AG53-1,  "")</f>
        <v>-8.2465334928983003E-2</v>
      </c>
      <c r="AH54" s="37">
        <f>IFERROR(YHHistoricalPricesAdjusted!AH54/YHHistoricalPricesAdjusted!AH53-1,  "")</f>
        <v>-1.6591966298347804E-2</v>
      </c>
      <c r="AI54" s="37">
        <f>IFERROR(YHHistoricalPricesAdjusted!AI54/YHHistoricalPricesAdjusted!AI53-1,  "")</f>
        <v>0.14011865782361821</v>
      </c>
      <c r="AJ54" s="37">
        <f>IFERROR(YHHistoricalPricesAdjusted!AJ54/YHHistoricalPricesAdjusted!AJ53-1,  "")</f>
        <v>7.5231826518828315E-2</v>
      </c>
      <c r="AK54" s="37">
        <f>IFERROR(YHHistoricalPricesAdjusted!AK54/YHHistoricalPricesAdjusted!AK53-1,  "")</f>
        <v>5.959505362804518E-2</v>
      </c>
      <c r="AL54" s="37">
        <f>IFERROR(YHHistoricalPricesAdjusted!AL54/YHHistoricalPricesAdjusted!AL53-1,  "")</f>
        <v>2.4981637190010897E-2</v>
      </c>
      <c r="AM54" s="37">
        <f>IFERROR(YHHistoricalPricesAdjusted!AM54/YHHistoricalPricesAdjusted!AM53-1,  "")</f>
        <v>7.635948698688777E-2</v>
      </c>
      <c r="AN54" s="37">
        <f>IFERROR(YHHistoricalPricesAdjusted!AN54/YHHistoricalPricesAdjusted!AN53-1,  "")</f>
        <v>3.9639647478371787E-2</v>
      </c>
      <c r="AO54" s="37">
        <f>IFERROR(YHHistoricalPricesAdjusted!AO54/YHHistoricalPricesAdjusted!AO53-1,  "")</f>
        <v>-1.4826650476650105E-2</v>
      </c>
      <c r="AP54" s="37">
        <f>IFERROR(YHHistoricalPricesAdjusted!AP54/YHHistoricalPricesAdjusted!AP53-1,  "")</f>
        <v>0.16720874095598703</v>
      </c>
      <c r="AQ54" s="37">
        <f>IFERROR(YHHistoricalPricesAdjusted!AQ54/YHHistoricalPricesAdjusted!AQ53-1,  "")</f>
        <v>6.0699411847535689E-3</v>
      </c>
      <c r="AR54" s="37">
        <f>IFERROR(YHHistoricalPricesAdjusted!AR54/YHHistoricalPricesAdjusted!AR53-1,  "")</f>
        <v>2.8526576417136074E-2</v>
      </c>
      <c r="AS54" s="37">
        <f>IFERROR(YHHistoricalPricesAdjusted!AS54/YHHistoricalPricesAdjusted!AS53-1,  "")</f>
        <v>-2.9411609361807756E-2</v>
      </c>
      <c r="AT54" s="37">
        <f>IFERROR(YHHistoricalPricesAdjusted!AT54/YHHistoricalPricesAdjusted!AT53-1,  "")</f>
        <v>-1.208833071936366E-2</v>
      </c>
      <c r="AU54" s="37">
        <f>IFERROR(YHHistoricalPricesAdjusted!AU54/YHHistoricalPricesAdjusted!AU53-1,  "")</f>
        <v>-1.9809394402611979E-2</v>
      </c>
      <c r="AV54" s="37">
        <f>IFERROR(YHHistoricalPricesAdjusted!AV54/YHHistoricalPricesAdjusted!AV53-1,  "")</f>
        <v>-1.1365650485300915E-2</v>
      </c>
      <c r="AW54" s="37">
        <f>IFERROR(YHHistoricalPricesAdjusted!AW54/YHHistoricalPricesAdjusted!AW53-1,  "")</f>
        <v>5.8999622103060867E-2</v>
      </c>
      <c r="AX54" s="37">
        <f>IFERROR(YHHistoricalPricesAdjusted!AX54/YHHistoricalPricesAdjusted!AX53-1,  "")</f>
        <v>3.8545612337861579E-2</v>
      </c>
      <c r="AY54" s="37">
        <f>IFERROR(YHHistoricalPricesAdjusted!AY54/YHHistoricalPricesAdjusted!AY53-1,  "")</f>
        <v>1.626509984834934E-2</v>
      </c>
      <c r="AZ54" s="37">
        <f>IFERROR(YHHistoricalPricesAdjusted!AZ54/YHHistoricalPricesAdjusted!AZ53-1,  "")</f>
        <v>3.0702536191632213E-2</v>
      </c>
      <c r="BA54" s="37">
        <f>IFERROR(YHHistoricalPricesAdjusted!BA54/YHHistoricalPricesAdjusted!BA53-1,  "")</f>
        <v>4.713643740863982E-2</v>
      </c>
      <c r="BB54" s="37">
        <f>IFERROR(YHHistoricalPricesAdjusted!BB54/YHHistoricalPricesAdjusted!BB53-1,  "")</f>
        <v>-4.4851684067115261E-2</v>
      </c>
      <c r="BC54" s="37">
        <f>IFERROR(YHHistoricalPricesAdjusted!BC54/YHHistoricalPricesAdjusted!BC53-1,  "")</f>
        <v>-3.9845761713554362E-2</v>
      </c>
      <c r="BD54" s="37">
        <f>IFERROR(YHHistoricalPricesAdjusted!BD54/YHHistoricalPricesAdjusted!BD53-1,  "")</f>
        <v>4.3959663069006227E-2</v>
      </c>
      <c r="BE54" s="37">
        <f>IFERROR(YHHistoricalPricesAdjusted!BE54/YHHistoricalPricesAdjusted!BE53-1,  "")</f>
        <v>2.6752507924665325E-2</v>
      </c>
      <c r="BF54" s="37">
        <f>IFERROR(YHHistoricalPricesAdjusted!BF54/YHHistoricalPricesAdjusted!BF53-1,  "")</f>
        <v>-5.6032152959545334E-2</v>
      </c>
      <c r="BG54" s="37">
        <f>IFERROR(YHHistoricalPricesAdjusted!BG54/YHHistoricalPricesAdjusted!BG53-1,  "")</f>
        <v>-7.6052995560976777E-3</v>
      </c>
      <c r="BH54" s="37">
        <f>IFERROR(YHHistoricalPricesAdjusted!BH54/YHHistoricalPricesAdjusted!BH53-1,  "")</f>
        <v>-5.0148597725500288E-2</v>
      </c>
      <c r="BI54" s="37">
        <f>IFERROR(YHHistoricalPricesAdjusted!BI54/YHHistoricalPricesAdjusted!BI53-1,  "")</f>
        <v>5.8473585134846795E-2</v>
      </c>
      <c r="BJ54" s="37">
        <f>IFERROR(YHHistoricalPricesAdjusted!BJ54/YHHistoricalPricesAdjusted!BJ53-1,  "")</f>
        <v>1.2073918745476364E-2</v>
      </c>
      <c r="BK54" s="37">
        <f>IFERROR(YHHistoricalPricesAdjusted!BK54/YHHistoricalPricesAdjusted!BK53-1,  "")</f>
        <v>-2.5162168016667263E-2</v>
      </c>
      <c r="BL54" s="37">
        <f>IFERROR(YHHistoricalPricesAdjusted!BL54/YHHistoricalPricesAdjusted!BL53-1,  "")</f>
        <v>4.4119903864128229E-2</v>
      </c>
      <c r="BM54" s="37">
        <f>IFERROR(YHHistoricalPricesAdjusted!BM54/YHHistoricalPricesAdjusted!BM53-1,  "")</f>
        <v>1.4107121386174315E-2</v>
      </c>
      <c r="BN54" s="37">
        <f>IFERROR(YHHistoricalPricesAdjusted!BN54/YHHistoricalPricesAdjusted!BN53-1,  "")</f>
        <v>1.9320921329662788E-2</v>
      </c>
      <c r="BO54" s="37">
        <f>IFERROR(YHHistoricalPricesAdjusted!BO54/YHHistoricalPricesAdjusted!BO53-1,  "")</f>
        <v>2.2666200439691142E-2</v>
      </c>
      <c r="BP54" s="37">
        <f>IFERROR(YHHistoricalPricesAdjusted!BP54/YHHistoricalPricesAdjusted!BP53-1,  "")</f>
        <v>4.0627071812398219E-2</v>
      </c>
      <c r="BQ54" s="37">
        <f>IFERROR(YHHistoricalPricesAdjusted!BQ54/YHHistoricalPricesAdjusted!BQ53-1,  "")</f>
        <v>4.4785930416973319E-2</v>
      </c>
      <c r="BR54" s="37">
        <f>IFERROR(YHHistoricalPricesAdjusted!BR54/YHHistoricalPricesAdjusted!BR53-1,  "")</f>
        <v>3.5414303426144711E-2</v>
      </c>
      <c r="BS54" s="37">
        <f>IFERROR(YHHistoricalPricesAdjusted!BS54/YHHistoricalPricesAdjusted!BS53-1,  "")</f>
        <v>-7.4440959891204028E-2</v>
      </c>
      <c r="BT54" s="37">
        <f>IFERROR(YHHistoricalPricesAdjusted!BT54/YHHistoricalPricesAdjusted!BT53-1,  "")</f>
        <v>0.10682082656690861</v>
      </c>
      <c r="BU54" s="37">
        <f>IFERROR(YHHistoricalPricesAdjusted!BU54/YHHistoricalPricesAdjusted!BU53-1,  "")</f>
        <v>-5.7077820573061766E-2</v>
      </c>
      <c r="BV54" s="37">
        <f>IFERROR(YHHistoricalPricesAdjusted!BV54/YHHistoricalPricesAdjusted!BV53-1,  "")</f>
        <v>2.0157856732324397E-2</v>
      </c>
      <c r="BW54" s="37">
        <f>IFERROR(YHHistoricalPricesAdjusted!BW54/YHHistoricalPricesAdjusted!BW53-1,  "")</f>
        <v>-1.1065824552785042E-3</v>
      </c>
      <c r="BX54" s="37">
        <f>IFERROR(YHHistoricalPricesAdjusted!BX54/YHHistoricalPricesAdjusted!BX53-1,  "")</f>
        <v>2.8011688282744363E-2</v>
      </c>
      <c r="BY54" s="37">
        <f>IFERROR(YHHistoricalPricesAdjusted!BY54/YHHistoricalPricesAdjusted!BY53-1,  "")</f>
        <v>4.0873152315147987E-2</v>
      </c>
      <c r="BZ54" s="37">
        <f>IFERROR(YHHistoricalPricesAdjusted!BZ54/YHHistoricalPricesAdjusted!BZ53-1,  "")</f>
        <v>0.12651928489696096</v>
      </c>
      <c r="CA54" s="37">
        <f>IFERROR(YHHistoricalPricesAdjusted!CA54/YHHistoricalPricesAdjusted!CA53-1,  "")</f>
        <v>1.691641650961806E-2</v>
      </c>
      <c r="CB54" s="37">
        <f>IFERROR(YHHistoricalPricesAdjusted!CB54/YHHistoricalPricesAdjusted!CB53-1,  "")</f>
        <v>0.14678646888938007</v>
      </c>
      <c r="CC54" s="37">
        <f>IFERROR(YHHistoricalPricesAdjusted!CC54/YHHistoricalPricesAdjusted!CC53-1,  "")</f>
        <v>0.38398849792229828</v>
      </c>
      <c r="CD54" s="37">
        <f>IFERROR(YHHistoricalPricesAdjusted!CD54/YHHistoricalPricesAdjusted!CD53-1,  "")</f>
        <v>8.0532911813642194E-3</v>
      </c>
      <c r="CE54" s="37">
        <f>IFERROR(YHHistoricalPricesAdjusted!CE54/YHHistoricalPricesAdjusted!CE53-1,  "")</f>
        <v>-3.1879126316549655E-3</v>
      </c>
      <c r="CF54" s="37">
        <f>IFERROR(YHHistoricalPricesAdjusted!CF54/YHHistoricalPricesAdjusted!CF53-1,  "")</f>
        <v>0.11203469461510651</v>
      </c>
    </row>
    <row r="55" spans="1:84" x14ac:dyDescent="0.25">
      <c r="A55" s="17">
        <v>42916</v>
      </c>
      <c r="B55" s="37">
        <f>IFERROR(YHHistoricalPricesAdjusted!B55/YHHistoricalPricesAdjusted!B54-1,  "")</f>
        <v>-5.3322398177264696E-2</v>
      </c>
      <c r="C55" s="37">
        <f>IFERROR(YHHistoricalPricesAdjusted!C55/YHHistoricalPricesAdjusted!C54-1,  "")</f>
        <v>-1.3513563771062609E-2</v>
      </c>
      <c r="D55" s="37">
        <f>IFERROR(YHHistoricalPricesAdjusted!D55/YHHistoricalPricesAdjusted!D54-1,  "")</f>
        <v>1.770760271259153E-2</v>
      </c>
      <c r="E55" s="37">
        <f>IFERROR(YHHistoricalPricesAdjusted!E55/YHHistoricalPricesAdjusted!E54-1,  "")</f>
        <v>-1.5656821878851868E-2</v>
      </c>
      <c r="F55" s="37">
        <f>IFERROR(YHHistoricalPricesAdjusted!F55/YHHistoricalPricesAdjusted!F54-1,  "")</f>
        <v>1.5044012940355289E-2</v>
      </c>
      <c r="G55" s="37">
        <f>IFERROR(YHHistoricalPricesAdjusted!G55/YHHistoricalPricesAdjusted!G54-1,  "")</f>
        <v>-3.070670677966314E-2</v>
      </c>
      <c r="H55" s="37">
        <f>IFERROR(YHHistoricalPricesAdjusted!H55/YHHistoricalPricesAdjusted!H54-1,  "")</f>
        <v>-1.3635323436431479E-2</v>
      </c>
      <c r="I55" s="37">
        <f>IFERROR(YHHistoricalPricesAdjusted!I55/YHHistoricalPricesAdjusted!I54-1,  "")</f>
        <v>9.987459130955445E-3</v>
      </c>
      <c r="J55" s="37">
        <f>IFERROR(YHHistoricalPricesAdjusted!J55/YHHistoricalPricesAdjusted!J54-1,  "")</f>
        <v>-1.0049175422077061E-2</v>
      </c>
      <c r="K55" s="37">
        <f>IFERROR(YHHistoricalPricesAdjusted!K55/YHHistoricalPricesAdjusted!K54-1,  "")</f>
        <v>-2.3433241462660792E-2</v>
      </c>
      <c r="L55" s="37">
        <f>IFERROR(YHHistoricalPricesAdjusted!L55/YHHistoricalPricesAdjusted!L54-1,  "")</f>
        <v>-1.3635323436431479E-2</v>
      </c>
      <c r="M55" s="37">
        <f>IFERROR(YHHistoricalPricesAdjusted!M55/YHHistoricalPricesAdjusted!M54-1,  "")</f>
        <v>-5.0208736136865273E-3</v>
      </c>
      <c r="N55" s="37">
        <f>IFERROR(YHHistoricalPricesAdjusted!N55/YHHistoricalPricesAdjusted!N54-1,  "")</f>
        <v>-1.9334098813248213E-2</v>
      </c>
      <c r="O55" s="37">
        <f>IFERROR(YHHistoricalPricesAdjusted!O55/YHHistoricalPricesAdjusted!O54-1,  "")</f>
        <v>6.0408710583011782E-2</v>
      </c>
      <c r="P55" s="37">
        <f>IFERROR(YHHistoricalPricesAdjusted!P55/YHHistoricalPricesAdjusted!P54-1,  "")</f>
        <v>1.2327285039697156E-2</v>
      </c>
      <c r="Q55" s="37">
        <f>IFERROR(YHHistoricalPricesAdjusted!Q55/YHHistoricalPricesAdjusted!Q54-1,  "")</f>
        <v>1.8469954876068728E-2</v>
      </c>
      <c r="R55" s="37">
        <f>IFERROR(YHHistoricalPricesAdjusted!R55/YHHistoricalPricesAdjusted!R54-1,  "")</f>
        <v>6.05171019248123E-2</v>
      </c>
      <c r="S55" s="37">
        <f>IFERROR(YHHistoricalPricesAdjusted!S55/YHHistoricalPricesAdjusted!S54-1,  "")</f>
        <v>8.0563444895660696E-2</v>
      </c>
      <c r="T55" s="37">
        <f>IFERROR(YHHistoricalPricesAdjusted!T55/YHHistoricalPricesAdjusted!T54-1,  "")</f>
        <v>-2.095862277122762E-2</v>
      </c>
      <c r="U55" s="37">
        <f>IFERROR(YHHistoricalPricesAdjusted!U55/YHHistoricalPricesAdjusted!U54-1,  "")</f>
        <v>-7.0950639028038776E-2</v>
      </c>
      <c r="V55" s="37">
        <f>IFERROR(YHHistoricalPricesAdjusted!V55/YHHistoricalPricesAdjusted!V54-1,  "")</f>
        <v>8.0053909653363675E-3</v>
      </c>
      <c r="W55" s="37">
        <f>IFERROR(YHHistoricalPricesAdjusted!W55/YHHistoricalPricesAdjusted!W54-1,  "")</f>
        <v>1.5414383491354045E-2</v>
      </c>
      <c r="X55" s="37">
        <f>IFERROR(YHHistoricalPricesAdjusted!X55/YHHistoricalPricesAdjusted!X54-1,  "")</f>
        <v>3.8781614083806204E-2</v>
      </c>
      <c r="Y55" s="37">
        <f>IFERROR(YHHistoricalPricesAdjusted!Y55/YHHistoricalPricesAdjusted!Y54-1,  "")</f>
        <v>3.8341129427528875E-2</v>
      </c>
      <c r="Z55" s="37">
        <f>IFERROR(YHHistoricalPricesAdjusted!Z55/YHHistoricalPricesAdjusted!Z54-1,  "")</f>
        <v>3.8748222850726322E-2</v>
      </c>
      <c r="AA55" s="37">
        <f>IFERROR(YHHistoricalPricesAdjusted!AA55/YHHistoricalPricesAdjusted!AA54-1,  "")</f>
        <v>-1.5665963819961437E-2</v>
      </c>
      <c r="AB55" s="37">
        <f>IFERROR(YHHistoricalPricesAdjusted!AB55/YHHistoricalPricesAdjusted!AB54-1,  "")</f>
        <v>5.8454279198033365E-2</v>
      </c>
      <c r="AC55" s="37">
        <f>IFERROR(YHHistoricalPricesAdjusted!AC55/YHHistoricalPricesAdjusted!AC54-1,  "")</f>
        <v>6.4582947332942897E-2</v>
      </c>
      <c r="AD55" s="37">
        <f>IFERROR(YHHistoricalPricesAdjusted!AD55/YHHistoricalPricesAdjusted!AD54-1,  "")</f>
        <v>7.5006713453623419E-2</v>
      </c>
      <c r="AE55" s="37">
        <f>IFERROR(YHHistoricalPricesAdjusted!AE55/YHHistoricalPricesAdjusted!AE54-1,  "")</f>
        <v>7.3124303690332626E-2</v>
      </c>
      <c r="AF55" s="37">
        <f>IFERROR(YHHistoricalPricesAdjusted!AF55/YHHistoricalPricesAdjusted!AF54-1,  "")</f>
        <v>5.1120879362903215E-2</v>
      </c>
      <c r="AG55" s="37">
        <f>IFERROR(YHHistoricalPricesAdjusted!AG55/YHHistoricalPricesAdjusted!AG54-1,  "")</f>
        <v>8.9778201309547612E-2</v>
      </c>
      <c r="AH55" s="37">
        <f>IFERROR(YHHistoricalPricesAdjusted!AH55/YHHistoricalPricesAdjusted!AH54-1,  "")</f>
        <v>5.0582490763697585E-3</v>
      </c>
      <c r="AI55" s="37">
        <f>IFERROR(YHHistoricalPricesAdjusted!AI55/YHHistoricalPricesAdjusted!AI54-1,  "")</f>
        <v>-6.5217477711216443E-2</v>
      </c>
      <c r="AJ55" s="37">
        <f>IFERROR(YHHistoricalPricesAdjusted!AJ55/YHHistoricalPricesAdjusted!AJ54-1,  "")</f>
        <v>3.7996945812191596E-2</v>
      </c>
      <c r="AK55" s="37">
        <f>IFERROR(YHHistoricalPricesAdjusted!AK55/YHHistoricalPricesAdjusted!AK54-1,  "")</f>
        <v>2.4515198774910374E-4</v>
      </c>
      <c r="AL55" s="37">
        <f>IFERROR(YHHistoricalPricesAdjusted!AL55/YHHistoricalPricesAdjusted!AL54-1,  "")</f>
        <v>-6.7317611675475897E-3</v>
      </c>
      <c r="AM55" s="37">
        <f>IFERROR(YHHistoricalPricesAdjusted!AM55/YHHistoricalPricesAdjusted!AM54-1,  "")</f>
        <v>5.6020974907780685E-2</v>
      </c>
      <c r="AN55" s="37">
        <f>IFERROR(YHHistoricalPricesAdjusted!AN55/YHHistoricalPricesAdjusted!AN54-1,  "")</f>
        <v>-2.5823252712093625E-2</v>
      </c>
      <c r="AO55" s="37">
        <f>IFERROR(YHHistoricalPricesAdjusted!AO55/YHHistoricalPricesAdjusted!AO54-1,  "")</f>
        <v>-7.1261866904530624E-3</v>
      </c>
      <c r="AP55" s="37">
        <f>IFERROR(YHHistoricalPricesAdjusted!AP55/YHHistoricalPricesAdjusted!AP54-1,  "")</f>
        <v>-8.9749719481746482E-4</v>
      </c>
      <c r="AQ55" s="37">
        <f>IFERROR(YHHistoricalPricesAdjusted!AQ55/YHHistoricalPricesAdjusted!AQ54-1,  "")</f>
        <v>-0.12831255730622115</v>
      </c>
      <c r="AR55" s="37">
        <f>IFERROR(YHHistoricalPricesAdjusted!AR55/YHHistoricalPricesAdjusted!AR54-1,  "")</f>
        <v>4.106729845114887E-2</v>
      </c>
      <c r="AS55" s="37">
        <f>IFERROR(YHHistoricalPricesAdjusted!AS55/YHHistoricalPricesAdjusted!AS54-1,  "")</f>
        <v>6.7515693269132759E-2</v>
      </c>
      <c r="AT55" s="37">
        <f>IFERROR(YHHistoricalPricesAdjusted!AT55/YHHistoricalPricesAdjusted!AT54-1,  "")</f>
        <v>2.4832923455710088E-2</v>
      </c>
      <c r="AU55" s="37">
        <f>IFERROR(YHHistoricalPricesAdjusted!AU55/YHHistoricalPricesAdjusted!AU54-1,  "")</f>
        <v>2.3159881080003775E-3</v>
      </c>
      <c r="AV55" s="37">
        <f>IFERROR(YHHistoricalPricesAdjusted!AV55/YHHistoricalPricesAdjusted!AV54-1,  "")</f>
        <v>5.2055141489580015E-2</v>
      </c>
      <c r="AW55" s="37">
        <f>IFERROR(YHHistoricalPricesAdjusted!AW55/YHHistoricalPricesAdjusted!AW54-1,  "")</f>
        <v>-2.2673536936221872E-3</v>
      </c>
      <c r="AX55" s="37">
        <f>IFERROR(YHHistoricalPricesAdjusted!AX55/YHHistoricalPricesAdjusted!AX54-1,  "")</f>
        <v>-1.4253523317155459E-2</v>
      </c>
      <c r="AY55" s="37">
        <f>IFERROR(YHHistoricalPricesAdjusted!AY55/YHHistoricalPricesAdjusted!AY54-1,  "")</f>
        <v>-4.2809580493150423E-2</v>
      </c>
      <c r="AZ55" s="37">
        <f>IFERROR(YHHistoricalPricesAdjusted!AZ55/YHHistoricalPricesAdjusted!AZ54-1,  "")</f>
        <v>-3.2105733440150441E-2</v>
      </c>
      <c r="BA55" s="37">
        <f>IFERROR(YHHistoricalPricesAdjusted!BA55/YHHistoricalPricesAdjusted!BA54-1,  "")</f>
        <v>-3.4057737918813613E-2</v>
      </c>
      <c r="BB55" s="37">
        <f>IFERROR(YHHistoricalPricesAdjusted!BB55/YHHistoricalPricesAdjusted!BB54-1,  "")</f>
        <v>0.11259873808246312</v>
      </c>
      <c r="BC55" s="37">
        <f>IFERROR(YHHistoricalPricesAdjusted!BC55/YHHistoricalPricesAdjusted!BC54-1,  "")</f>
        <v>8.6107948019826352E-2</v>
      </c>
      <c r="BD55" s="37">
        <f>IFERROR(YHHistoricalPricesAdjusted!BD55/YHHistoricalPricesAdjusted!BD54-1,  "")</f>
        <v>-1.347890012564068E-2</v>
      </c>
      <c r="BE55" s="37">
        <f>IFERROR(YHHistoricalPricesAdjusted!BE55/YHHistoricalPricesAdjusted!BE54-1,  "")</f>
        <v>0.10472395725001582</v>
      </c>
      <c r="BF55" s="37">
        <f>IFERROR(YHHistoricalPricesAdjusted!BF55/YHHistoricalPricesAdjusted!BF54-1,  "")</f>
        <v>5.3900505237880036E-2</v>
      </c>
      <c r="BG55" s="37">
        <f>IFERROR(YHHistoricalPricesAdjusted!BG55/YHHistoricalPricesAdjusted!BG54-1,  "")</f>
        <v>2.0239768200917663E-2</v>
      </c>
      <c r="BH55" s="37">
        <f>IFERROR(YHHistoricalPricesAdjusted!BH55/YHHistoricalPricesAdjusted!BH54-1,  "")</f>
        <v>9.1098431566362992E-2</v>
      </c>
      <c r="BI55" s="37">
        <f>IFERROR(YHHistoricalPricesAdjusted!BI55/YHHistoricalPricesAdjusted!BI54-1,  "")</f>
        <v>-1.1637375302998909E-2</v>
      </c>
      <c r="BJ55" s="37">
        <f>IFERROR(YHHistoricalPricesAdjusted!BJ55/YHHistoricalPricesAdjusted!BJ54-1,  "")</f>
        <v>2.2935813688088169E-2</v>
      </c>
      <c r="BK55" s="37">
        <f>IFERROR(YHHistoricalPricesAdjusted!BK55/YHHistoricalPricesAdjusted!BK54-1,  "")</f>
        <v>9.4879087639929693E-2</v>
      </c>
      <c r="BL55" s="37">
        <f>IFERROR(YHHistoricalPricesAdjusted!BL55/YHHistoricalPricesAdjusted!BL54-1,  "")</f>
        <v>2.4274538184311245E-2</v>
      </c>
      <c r="BM55" s="37">
        <f>IFERROR(YHHistoricalPricesAdjusted!BM55/YHHistoricalPricesAdjusted!BM54-1,  "")</f>
        <v>7.3301328145300992E-3</v>
      </c>
      <c r="BN55" s="37">
        <f>IFERROR(YHHistoricalPricesAdjusted!BN55/YHHistoricalPricesAdjusted!BN54-1,  "")</f>
        <v>-6.4752569228259116E-3</v>
      </c>
      <c r="BO55" s="37">
        <f>IFERROR(YHHistoricalPricesAdjusted!BO55/YHHistoricalPricesAdjusted!BO54-1,  "")</f>
        <v>1.4374700706994981E-2</v>
      </c>
      <c r="BP55" s="37">
        <f>IFERROR(YHHistoricalPricesAdjusted!BP55/YHHistoricalPricesAdjusted!BP54-1,  "")</f>
        <v>1.9058153925458843E-2</v>
      </c>
      <c r="BQ55" s="37">
        <f>IFERROR(YHHistoricalPricesAdjusted!BQ55/YHHistoricalPricesAdjusted!BQ54-1,  "")</f>
        <v>3.5403876824375846E-2</v>
      </c>
      <c r="BR55" s="37">
        <f>IFERROR(YHHistoricalPricesAdjusted!BR55/YHHistoricalPricesAdjusted!BR54-1,  "")</f>
        <v>4.5554751742098665E-2</v>
      </c>
      <c r="BS55" s="37">
        <f>IFERROR(YHHistoricalPricesAdjusted!BS55/YHHistoricalPricesAdjusted!BS54-1,  "")</f>
        <v>4.9286225955717411E-2</v>
      </c>
      <c r="BT55" s="37">
        <f>IFERROR(YHHistoricalPricesAdjusted!BT55/YHHistoricalPricesAdjusted!BT54-1,  "")</f>
        <v>-3.6611070983748162E-2</v>
      </c>
      <c r="BU55" s="37">
        <f>IFERROR(YHHistoricalPricesAdjusted!BU55/YHHistoricalPricesAdjusted!BU54-1,  "")</f>
        <v>-5.3365526228065452E-2</v>
      </c>
      <c r="BV55" s="37">
        <f>IFERROR(YHHistoricalPricesAdjusted!BV55/YHHistoricalPricesAdjusted!BV54-1,  "")</f>
        <v>-7.3724875539852297E-3</v>
      </c>
      <c r="BW55" s="37">
        <f>IFERROR(YHHistoricalPricesAdjusted!BW55/YHHistoricalPricesAdjusted!BW54-1,  "")</f>
        <v>-5.8694684270638953E-2</v>
      </c>
      <c r="BX55" s="37">
        <f>IFERROR(YHHistoricalPricesAdjusted!BX55/YHHistoricalPricesAdjusted!BX54-1,  "")</f>
        <v>-4.2452918964328457E-2</v>
      </c>
      <c r="BY55" s="37">
        <f>IFERROR(YHHistoricalPricesAdjusted!BY55/YHHistoricalPricesAdjusted!BY54-1,  "")</f>
        <v>-3.3913443037856372E-2</v>
      </c>
      <c r="BZ55" s="37">
        <f>IFERROR(YHHistoricalPricesAdjusted!BZ55/YHHistoricalPricesAdjusted!BZ54-1,  "")</f>
        <v>-5.5674057387470333E-2</v>
      </c>
      <c r="CA55" s="37">
        <f>IFERROR(YHHistoricalPricesAdjusted!CA55/YHHistoricalPricesAdjusted!CA54-1,  "")</f>
        <v>6.8996315730713409E-2</v>
      </c>
      <c r="CB55" s="37">
        <f>IFERROR(YHHistoricalPricesAdjusted!CB55/YHHistoricalPricesAdjusted!CB54-1,  "")</f>
        <v>-3.6808374308424319E-2</v>
      </c>
      <c r="CC55" s="37">
        <f>IFERROR(YHHistoricalPricesAdjusted!CC55/YHHistoricalPricesAdjusted!CC54-1,  "")</f>
        <v>2.5094825892946204E-3</v>
      </c>
      <c r="CD55" s="37">
        <f>IFERROR(YHHistoricalPricesAdjusted!CD55/YHHistoricalPricesAdjusted!CD54-1,  "")</f>
        <v>-3.1692260518645377E-3</v>
      </c>
      <c r="CE55" s="37">
        <f>IFERROR(YHHistoricalPricesAdjusted!CE55/YHHistoricalPricesAdjusted!CE54-1,  "")</f>
        <v>-6.8230299250040649E-2</v>
      </c>
      <c r="CF55" s="37">
        <f>IFERROR(YHHistoricalPricesAdjusted!CF55/YHHistoricalPricesAdjusted!CF54-1,  "")</f>
        <v>-2.9574228144296333E-2</v>
      </c>
    </row>
    <row r="56" spans="1:84" x14ac:dyDescent="0.25">
      <c r="A56" s="17">
        <v>42947</v>
      </c>
      <c r="B56" s="37">
        <f>IFERROR(YHHistoricalPricesAdjusted!B56/YHHistoricalPricesAdjusted!B55-1,  "")</f>
        <v>3.2703822323809861E-2</v>
      </c>
      <c r="C56" s="37">
        <f>IFERROR(YHHistoricalPricesAdjusted!C56/YHHistoricalPricesAdjusted!C55-1,  "")</f>
        <v>-3.5838132316287075E-2</v>
      </c>
      <c r="D56" s="37">
        <f>IFERROR(YHHistoricalPricesAdjusted!D56/YHHistoricalPricesAdjusted!D55-1,  "")</f>
        <v>-5.9546229475191392E-2</v>
      </c>
      <c r="E56" s="37">
        <f>IFERROR(YHHistoricalPricesAdjusted!E56/YHHistoricalPricesAdjusted!E55-1,  "")</f>
        <v>3.4635259379399264E-2</v>
      </c>
      <c r="F56" s="37">
        <f>IFERROR(YHHistoricalPricesAdjusted!F56/YHHistoricalPricesAdjusted!F55-1,  "")</f>
        <v>1.9277418920776945E-2</v>
      </c>
      <c r="G56" s="37">
        <f>IFERROR(YHHistoricalPricesAdjusted!G56/YHHistoricalPricesAdjusted!G55-1,  "")</f>
        <v>5.6950384808092336E-2</v>
      </c>
      <c r="H56" s="37">
        <f>IFERROR(YHHistoricalPricesAdjusted!H56/YHHistoricalPricesAdjusted!H55-1,  "")</f>
        <v>3.0484727629853436E-2</v>
      </c>
      <c r="I56" s="37">
        <f>IFERROR(YHHistoricalPricesAdjusted!I56/YHHistoricalPricesAdjusted!I55-1,  "")</f>
        <v>3.0203992468004648E-2</v>
      </c>
      <c r="J56" s="37">
        <f>IFERROR(YHHistoricalPricesAdjusted!J56/YHHistoricalPricesAdjusted!J55-1,  "")</f>
        <v>-8.0377616305824073E-2</v>
      </c>
      <c r="K56" s="37">
        <f>IFERROR(YHHistoricalPricesAdjusted!K56/YHHistoricalPricesAdjusted!K55-1,  "")</f>
        <v>7.4462069060634128E-2</v>
      </c>
      <c r="L56" s="37">
        <f>IFERROR(YHHistoricalPricesAdjusted!L56/YHHistoricalPricesAdjusted!L55-1,  "")</f>
        <v>3.0484727629853436E-2</v>
      </c>
      <c r="M56" s="37">
        <f>IFERROR(YHHistoricalPricesAdjusted!M56/YHHistoricalPricesAdjusted!M55-1,  "")</f>
        <v>9.6978035458945566E-3</v>
      </c>
      <c r="N56" s="37">
        <f>IFERROR(YHHistoricalPricesAdjusted!N56/YHHistoricalPricesAdjusted!N55-1,  "")</f>
        <v>3.1108576602388194E-2</v>
      </c>
      <c r="O56" s="37">
        <f>IFERROR(YHHistoricalPricesAdjusted!O56/YHHistoricalPricesAdjusted!O55-1,  "")</f>
        <v>-0.10547270701056544</v>
      </c>
      <c r="P56" s="37">
        <f>IFERROR(YHHistoricalPricesAdjusted!P56/YHHistoricalPricesAdjusted!P55-1,  "")</f>
        <v>-8.547037320440154E-3</v>
      </c>
      <c r="Q56" s="37">
        <f>IFERROR(YHHistoricalPricesAdjusted!Q56/YHHistoricalPricesAdjusted!Q55-1,  "")</f>
        <v>4.6582991025777343E-2</v>
      </c>
      <c r="R56" s="37">
        <f>IFERROR(YHHistoricalPricesAdjusted!R56/YHHistoricalPricesAdjusted!R55-1,  "")</f>
        <v>-3.9007262117612629E-2</v>
      </c>
      <c r="S56" s="37">
        <f>IFERROR(YHHistoricalPricesAdjusted!S56/YHHistoricalPricesAdjusted!S55-1,  "")</f>
        <v>6.2679337490791909E-2</v>
      </c>
      <c r="T56" s="37">
        <f>IFERROR(YHHistoricalPricesAdjusted!T56/YHHistoricalPricesAdjusted!T55-1,  "")</f>
        <v>-8.8200226552554994E-3</v>
      </c>
      <c r="U56" s="37">
        <f>IFERROR(YHHistoricalPricesAdjusted!U56/YHHistoricalPricesAdjusted!U55-1,  "")</f>
        <v>0.10038120500094339</v>
      </c>
      <c r="V56" s="37">
        <f>IFERROR(YHHistoricalPricesAdjusted!V56/YHHistoricalPricesAdjusted!V55-1,  "")</f>
        <v>-1.3011095572475484E-2</v>
      </c>
      <c r="W56" s="37">
        <f>IFERROR(YHHistoricalPricesAdjusted!W56/YHHistoricalPricesAdjusted!W55-1,  "")</f>
        <v>5.7380559651607044E-2</v>
      </c>
      <c r="X56" s="37">
        <f>IFERROR(YHHistoricalPricesAdjusted!X56/YHHistoricalPricesAdjusted!X55-1,  "")</f>
        <v>7.2993483430902284E-2</v>
      </c>
      <c r="Y56" s="37">
        <f>IFERROR(YHHistoricalPricesAdjusted!Y56/YHHistoricalPricesAdjusted!Y55-1,  "")</f>
        <v>3.2505799539697122E-3</v>
      </c>
      <c r="Z56" s="37">
        <f>IFERROR(YHHistoricalPricesAdjusted!Z56/YHHistoricalPricesAdjusted!Z55-1,  "")</f>
        <v>-1.280140055790846E-2</v>
      </c>
      <c r="AA56" s="37">
        <f>IFERROR(YHHistoricalPricesAdjusted!AA56/YHHistoricalPricesAdjusted!AA55-1,  "")</f>
        <v>4.0523055780425921E-3</v>
      </c>
      <c r="AB56" s="37">
        <f>IFERROR(YHHistoricalPricesAdjusted!AB56/YHHistoricalPricesAdjusted!AB55-1,  "")</f>
        <v>3.8734317509465654E-2</v>
      </c>
      <c r="AC56" s="37">
        <f>IFERROR(YHHistoricalPricesAdjusted!AC56/YHHistoricalPricesAdjusted!AC55-1,  "")</f>
        <v>-7.8669708541304062E-2</v>
      </c>
      <c r="AD56" s="37">
        <f>IFERROR(YHHistoricalPricesAdjusted!AD56/YHHistoricalPricesAdjusted!AD55-1,  "")</f>
        <v>-9.2152703616614207E-2</v>
      </c>
      <c r="AE56" s="37">
        <f>IFERROR(YHHistoricalPricesAdjusted!AE56/YHHistoricalPricesAdjusted!AE55-1,  "")</f>
        <v>-1.0252077707610607E-2</v>
      </c>
      <c r="AF56" s="37">
        <f>IFERROR(YHHistoricalPricesAdjusted!AF56/YHHistoricalPricesAdjusted!AF55-1,  "")</f>
        <v>2.0257041232501161E-2</v>
      </c>
      <c r="AG56" s="37">
        <f>IFERROR(YHHistoricalPricesAdjusted!AG56/YHHistoricalPricesAdjusted!AG55-1,  "")</f>
        <v>3.8010685420624135E-2</v>
      </c>
      <c r="AH56" s="37">
        <f>IFERROR(YHHistoricalPricesAdjusted!AH56/YHHistoricalPricesAdjusted!AH55-1,  "")</f>
        <v>-2.4771931325571761E-2</v>
      </c>
      <c r="AI56" s="37">
        <f>IFERROR(YHHistoricalPricesAdjusted!AI56/YHHistoricalPricesAdjusted!AI55-1,  "")</f>
        <v>3.8680172737443508E-2</v>
      </c>
      <c r="AJ56" s="37">
        <f>IFERROR(YHHistoricalPricesAdjusted!AJ56/YHHistoricalPricesAdjusted!AJ55-1,  "")</f>
        <v>5.0486888341227276E-2</v>
      </c>
      <c r="AK56" s="37">
        <f>IFERROR(YHHistoricalPricesAdjusted!AK56/YHHistoricalPricesAdjusted!AK55-1,  "")</f>
        <v>3.9438335646919898E-2</v>
      </c>
      <c r="AL56" s="37">
        <f>IFERROR(YHHistoricalPricesAdjusted!AL56/YHHistoricalPricesAdjusted!AL55-1,  "")</f>
        <v>2.2150146025641471E-2</v>
      </c>
      <c r="AM56" s="37">
        <f>IFERROR(YHHistoricalPricesAdjusted!AM56/YHHistoricalPricesAdjusted!AM55-1,  "")</f>
        <v>0.26090728253552298</v>
      </c>
      <c r="AN56" s="37">
        <f>IFERROR(YHHistoricalPricesAdjusted!AN56/YHHistoricalPricesAdjusted!AN55-1,  "")</f>
        <v>-1.1385830887977288E-2</v>
      </c>
      <c r="AO56" s="37">
        <f>IFERROR(YHHistoricalPricesAdjusted!AO56/YHHistoricalPricesAdjusted!AO55-1,  "")</f>
        <v>-5.463227757078748E-2</v>
      </c>
      <c r="AP56" s="37">
        <f>IFERROR(YHHistoricalPricesAdjusted!AP56/YHHistoricalPricesAdjusted!AP55-1,  "")</f>
        <v>-0.11633637184372336</v>
      </c>
      <c r="AQ56" s="37">
        <f>IFERROR(YHHistoricalPricesAdjusted!AQ56/YHHistoricalPricesAdjusted!AQ55-1,  "")</f>
        <v>-0.17382844498204597</v>
      </c>
      <c r="AR56" s="37">
        <f>IFERROR(YHHistoricalPricesAdjusted!AR56/YHHistoricalPricesAdjusted!AR55-1,  "")</f>
        <v>4.3028926573521309E-2</v>
      </c>
      <c r="AS56" s="37">
        <f>IFERROR(YHHistoricalPricesAdjusted!AS56/YHHistoricalPricesAdjusted!AS55-1,  "")</f>
        <v>5.7065119602783154E-2</v>
      </c>
      <c r="AT56" s="37">
        <f>IFERROR(YHHistoricalPricesAdjusted!AT56/YHHistoricalPricesAdjusted!AT55-1,  "")</f>
        <v>2.4025786042738417E-3</v>
      </c>
      <c r="AU56" s="37">
        <f>IFERROR(YHHistoricalPricesAdjusted!AU56/YHHistoricalPricesAdjusted!AU55-1,  "")</f>
        <v>4.0410545793358121E-2</v>
      </c>
      <c r="AV56" s="37">
        <f>IFERROR(YHHistoricalPricesAdjusted!AV56/YHHistoricalPricesAdjusted!AV55-1,  "")</f>
        <v>2.6481699244762513E-2</v>
      </c>
      <c r="AW56" s="37">
        <f>IFERROR(YHHistoricalPricesAdjusted!AW56/YHHistoricalPricesAdjusted!AW55-1,  "")</f>
        <v>4.2531880183650728E-2</v>
      </c>
      <c r="AX56" s="37">
        <f>IFERROR(YHHistoricalPricesAdjusted!AX56/YHHistoricalPricesAdjusted!AX55-1,  "")</f>
        <v>1.8303675868283298E-2</v>
      </c>
      <c r="AY56" s="37">
        <f>IFERROR(YHHistoricalPricesAdjusted!AY56/YHHistoricalPricesAdjusted!AY55-1,  "")</f>
        <v>1.0443988400341553E-3</v>
      </c>
      <c r="AZ56" s="37">
        <f>IFERROR(YHHistoricalPricesAdjusted!AZ56/YHHistoricalPricesAdjusted!AZ55-1,  "")</f>
        <v>2.3060007971515972E-3</v>
      </c>
      <c r="BA56" s="37">
        <f>IFERROR(YHHistoricalPricesAdjusted!BA56/YHHistoricalPricesAdjusted!BA55-1,  "")</f>
        <v>1.9618031842056682E-2</v>
      </c>
      <c r="BB56" s="37">
        <f>IFERROR(YHHistoricalPricesAdjusted!BB56/YHHistoricalPricesAdjusted!BB55-1,  "")</f>
        <v>4.3764439874431904E-3</v>
      </c>
      <c r="BC56" s="37">
        <f>IFERROR(YHHistoricalPricesAdjusted!BC56/YHHistoricalPricesAdjusted!BC55-1,  "")</f>
        <v>-5.7707322522816407E-3</v>
      </c>
      <c r="BD56" s="37">
        <f>IFERROR(YHHistoricalPricesAdjusted!BD56/YHHistoricalPricesAdjusted!BD55-1,  "")</f>
        <v>6.1633685985513553E-2</v>
      </c>
      <c r="BE56" s="37">
        <f>IFERROR(YHHistoricalPricesAdjusted!BE56/YHHistoricalPricesAdjusted!BE55-1,  "")</f>
        <v>2.3474948705934029E-2</v>
      </c>
      <c r="BF56" s="37">
        <f>IFERROR(YHHistoricalPricesAdjusted!BF56/YHHistoricalPricesAdjusted!BF55-1,  "")</f>
        <v>1.5457522635891285E-2</v>
      </c>
      <c r="BG56" s="37">
        <f>IFERROR(YHHistoricalPricesAdjusted!BG56/YHHistoricalPricesAdjusted!BG55-1,  "")</f>
        <v>2.2129799900399982E-2</v>
      </c>
      <c r="BH56" s="37">
        <f>IFERROR(YHHistoricalPricesAdjusted!BH56/YHHistoricalPricesAdjusted!BH55-1,  "")</f>
        <v>-2.6529585463867633E-2</v>
      </c>
      <c r="BI56" s="37">
        <f>IFERROR(YHHistoricalPricesAdjusted!BI56/YHHistoricalPricesAdjusted!BI55-1,  "")</f>
        <v>5.2285010408650745E-2</v>
      </c>
      <c r="BJ56" s="37">
        <f>IFERROR(YHHistoricalPricesAdjusted!BJ56/YHHistoricalPricesAdjusted!BJ55-1,  "")</f>
        <v>1.9431893228486707E-2</v>
      </c>
      <c r="BK56" s="37">
        <f>IFERROR(YHHistoricalPricesAdjusted!BK56/YHHistoricalPricesAdjusted!BK55-1,  "")</f>
        <v>1.1752191731772887E-2</v>
      </c>
      <c r="BL56" s="37">
        <f>IFERROR(YHHistoricalPricesAdjusted!BL56/YHHistoricalPricesAdjusted!BL55-1,  "")</f>
        <v>-3.3719302241699167E-2</v>
      </c>
      <c r="BM56" s="37">
        <f>IFERROR(YHHistoricalPricesAdjusted!BM56/YHHistoricalPricesAdjusted!BM55-1,  "")</f>
        <v>2.1232030955165682E-2</v>
      </c>
      <c r="BN56" s="37">
        <f>IFERROR(YHHistoricalPricesAdjusted!BN56/YHHistoricalPricesAdjusted!BN55-1,  "")</f>
        <v>-3.2764019601108307E-2</v>
      </c>
      <c r="BO56" s="37">
        <f>IFERROR(YHHistoricalPricesAdjusted!BO56/YHHistoricalPricesAdjusted!BO55-1,  "")</f>
        <v>-1.322270956767424E-2</v>
      </c>
      <c r="BP56" s="37">
        <f>IFERROR(YHHistoricalPricesAdjusted!BP56/YHHistoricalPricesAdjusted!BP55-1,  "")</f>
        <v>4.0167807100919273E-3</v>
      </c>
      <c r="BQ56" s="37">
        <f>IFERROR(YHHistoricalPricesAdjusted!BQ56/YHHistoricalPricesAdjusted!BQ55-1,  "")</f>
        <v>3.5014153240427559E-2</v>
      </c>
      <c r="BR56" s="37">
        <f>IFERROR(YHHistoricalPricesAdjusted!BR56/YHHistoricalPricesAdjusted!BR55-1,  "")</f>
        <v>3.1236237693232027E-2</v>
      </c>
      <c r="BS56" s="37">
        <f>IFERROR(YHHistoricalPricesAdjusted!BS56/YHHistoricalPricesAdjusted!BS55-1,  "")</f>
        <v>4.6818277176105427E-2</v>
      </c>
      <c r="BT56" s="37">
        <f>IFERROR(YHHistoricalPricesAdjusted!BT56/YHHistoricalPricesAdjusted!BT55-1,  "")</f>
        <v>1.1937962950794745E-2</v>
      </c>
      <c r="BU56" s="37">
        <f>IFERROR(YHHistoricalPricesAdjusted!BU56/YHHistoricalPricesAdjusted!BU55-1,  "")</f>
        <v>7.5466964439684592E-2</v>
      </c>
      <c r="BV56" s="37">
        <f>IFERROR(YHHistoricalPricesAdjusted!BV56/YHHistoricalPricesAdjusted!BV55-1,  "")</f>
        <v>5.4693167427522837E-2</v>
      </c>
      <c r="BW56" s="37">
        <f>IFERROR(YHHistoricalPricesAdjusted!BW56/YHHistoricalPricesAdjusted!BW55-1,  "")</f>
        <v>5.127448020044878E-2</v>
      </c>
      <c r="BX56" s="37">
        <f>IFERROR(YHHistoricalPricesAdjusted!BX56/YHHistoricalPricesAdjusted!BX55-1,  "")</f>
        <v>8.3743878962278862E-2</v>
      </c>
      <c r="BY56" s="37">
        <f>IFERROR(YHHistoricalPricesAdjusted!BY56/YHHistoricalPricesAdjusted!BY55-1,  "")</f>
        <v>4.8498904122376674E-2</v>
      </c>
      <c r="BZ56" s="37">
        <f>IFERROR(YHHistoricalPricesAdjusted!BZ56/YHHistoricalPricesAdjusted!BZ55-1,  "")</f>
        <v>3.3130194514247258E-2</v>
      </c>
      <c r="CA56" s="37">
        <f>IFERROR(YHHistoricalPricesAdjusted!CA56/YHHistoricalPricesAdjusted!CA55-1,  "")</f>
        <v>3.2584887728459577E-2</v>
      </c>
      <c r="CB56" s="37">
        <f>IFERROR(YHHistoricalPricesAdjusted!CB56/YHHistoricalPricesAdjusted!CB55-1,  "")</f>
        <v>6.4677868178829589E-2</v>
      </c>
      <c r="CC56" s="37">
        <f>IFERROR(YHHistoricalPricesAdjusted!CC56/YHHistoricalPricesAdjusted!CC55-1,  "")</f>
        <v>0.12416990033202313</v>
      </c>
      <c r="CD56" s="37">
        <f>IFERROR(YHHistoricalPricesAdjusted!CD56/YHHistoricalPricesAdjusted!CD55-1,  "")</f>
        <v>0.12100943491878224</v>
      </c>
      <c r="CE56" s="37">
        <f>IFERROR(YHHistoricalPricesAdjusted!CE56/YHHistoricalPricesAdjusted!CE55-1,  "")</f>
        <v>0.10088436376303322</v>
      </c>
      <c r="CF56" s="37">
        <f>IFERROR(YHHistoricalPricesAdjusted!CF56/YHHistoricalPricesAdjusted!CF55-1,  "")</f>
        <v>-5.8271933748428317E-2</v>
      </c>
    </row>
    <row r="57" spans="1:84" x14ac:dyDescent="0.25">
      <c r="A57" s="17">
        <v>42978</v>
      </c>
      <c r="B57" s="37">
        <f>IFERROR(YHHistoricalPricesAdjusted!B57/YHHistoricalPricesAdjusted!B56-1,  "")</f>
        <v>0.10266932156801878</v>
      </c>
      <c r="C57" s="37">
        <f>IFERROR(YHHistoricalPricesAdjusted!C57/YHHistoricalPricesAdjusted!C56-1,  "")</f>
        <v>-4.1390168932423088E-2</v>
      </c>
      <c r="D57" s="37">
        <f>IFERROR(YHHistoricalPricesAdjusted!D57/YHHistoricalPricesAdjusted!D56-1,  "")</f>
        <v>-1.1336028783097474E-2</v>
      </c>
      <c r="E57" s="37">
        <f>IFERROR(YHHistoricalPricesAdjusted!E57/YHHistoricalPricesAdjusted!E56-1,  "")</f>
        <v>-7.2565804985778137E-2</v>
      </c>
      <c r="F57" s="37">
        <f>IFERROR(YHHistoricalPricesAdjusted!F57/YHHistoricalPricesAdjusted!F56-1,  "")</f>
        <v>3.113320164162614E-2</v>
      </c>
      <c r="G57" s="37">
        <f>IFERROR(YHHistoricalPricesAdjusted!G57/YHHistoricalPricesAdjusted!G56-1,  "")</f>
        <v>-2.4003024147290386E-2</v>
      </c>
      <c r="H57" s="37">
        <f>IFERROR(YHHistoricalPricesAdjusted!H57/YHHistoricalPricesAdjusted!H56-1,  "")</f>
        <v>-6.326374973162463E-3</v>
      </c>
      <c r="I57" s="37">
        <f>IFERROR(YHHistoricalPricesAdjusted!I57/YHHistoricalPricesAdjusted!I56-1,  "")</f>
        <v>1.6586971031226749E-2</v>
      </c>
      <c r="J57" s="37">
        <f>IFERROR(YHHistoricalPricesAdjusted!J57/YHHistoricalPricesAdjusted!J56-1,  "")</f>
        <v>-7.7968921654869905E-2</v>
      </c>
      <c r="K57" s="37">
        <f>IFERROR(YHHistoricalPricesAdjusted!K57/YHHistoricalPricesAdjusted!K56-1,  "")</f>
        <v>1.2407246428474128E-3</v>
      </c>
      <c r="L57" s="37">
        <f>IFERROR(YHHistoricalPricesAdjusted!L57/YHHistoricalPricesAdjusted!L56-1,  "")</f>
        <v>-6.326374973162463E-3</v>
      </c>
      <c r="M57" s="37">
        <f>IFERROR(YHHistoricalPricesAdjusted!M57/YHHistoricalPricesAdjusted!M56-1,  "")</f>
        <v>-7.5465143815333091E-3</v>
      </c>
      <c r="N57" s="37">
        <f>IFERROR(YHHistoricalPricesAdjusted!N57/YHHistoricalPricesAdjusted!N56-1,  "")</f>
        <v>2.8551417664359757E-3</v>
      </c>
      <c r="O57" s="37">
        <f>IFERROR(YHHistoricalPricesAdjusted!O57/YHHistoricalPricesAdjusted!O56-1,  "")</f>
        <v>0.10025657062399418</v>
      </c>
      <c r="P57" s="37">
        <f>IFERROR(YHHistoricalPricesAdjusted!P57/YHHistoricalPricesAdjusted!P56-1,  "")</f>
        <v>-4.635168584136895E-2</v>
      </c>
      <c r="Q57" s="37">
        <f>IFERROR(YHHistoricalPricesAdjusted!Q57/YHHistoricalPricesAdjusted!Q56-1,  "")</f>
        <v>-1.4378607888024142E-2</v>
      </c>
      <c r="R57" s="37">
        <f>IFERROR(YHHistoricalPricesAdjusted!R57/YHHistoricalPricesAdjusted!R56-1,  "")</f>
        <v>5.9298851131335262E-3</v>
      </c>
      <c r="S57" s="37">
        <f>IFERROR(YHHistoricalPricesAdjusted!S57/YHHistoricalPricesAdjusted!S56-1,  "")</f>
        <v>9.3092787097733609E-2</v>
      </c>
      <c r="T57" s="37">
        <f>IFERROR(YHHistoricalPricesAdjusted!T57/YHHistoricalPricesAdjusted!T56-1,  "")</f>
        <v>2.7556824309078687E-2</v>
      </c>
      <c r="U57" s="37">
        <f>IFERROR(YHHistoricalPricesAdjusted!U57/YHHistoricalPricesAdjusted!U56-1,  "")</f>
        <v>3.972385912073495E-3</v>
      </c>
      <c r="V57" s="37">
        <f>IFERROR(YHHistoricalPricesAdjusted!V57/YHHistoricalPricesAdjusted!V56-1,  "")</f>
        <v>7.8494893372909047E-3</v>
      </c>
      <c r="W57" s="37">
        <f>IFERROR(YHHistoricalPricesAdjusted!W57/YHHistoricalPricesAdjusted!W56-1,  "")</f>
        <v>-0.17232815343107533</v>
      </c>
      <c r="X57" s="37">
        <f>IFERROR(YHHistoricalPricesAdjusted!X57/YHHistoricalPricesAdjusted!X56-1,  "")</f>
        <v>-4.1670614784192761E-3</v>
      </c>
      <c r="Y57" s="37">
        <f>IFERROR(YHHistoricalPricesAdjusted!Y57/YHHistoricalPricesAdjusted!Y56-1,  "")</f>
        <v>-2.6371658137699372E-3</v>
      </c>
      <c r="Z57" s="37">
        <f>IFERROR(YHHistoricalPricesAdjusted!Z57/YHHistoricalPricesAdjusted!Z56-1,  "")</f>
        <v>2.2919186580967699E-2</v>
      </c>
      <c r="AA57" s="37">
        <f>IFERROR(YHHistoricalPricesAdjusted!AA57/YHHistoricalPricesAdjusted!AA56-1,  "")</f>
        <v>-3.1305141104276402E-4</v>
      </c>
      <c r="AB57" s="37">
        <f>IFERROR(YHHistoricalPricesAdjusted!AB57/YHHistoricalPricesAdjusted!AB56-1,  "")</f>
        <v>3.6963618526977271E-2</v>
      </c>
      <c r="AC57" s="37">
        <f>IFERROR(YHHistoricalPricesAdjusted!AC57/YHHistoricalPricesAdjusted!AC56-1,  "")</f>
        <v>-2.0911024633237463E-2</v>
      </c>
      <c r="AD57" s="37">
        <f>IFERROR(YHHistoricalPricesAdjusted!AD57/YHHistoricalPricesAdjusted!AD56-1,  "")</f>
        <v>-2.4361703175807881E-2</v>
      </c>
      <c r="AE57" s="37">
        <f>IFERROR(YHHistoricalPricesAdjusted!AE57/YHHistoricalPricesAdjusted!AE56-1,  "")</f>
        <v>1.8691659751946865E-2</v>
      </c>
      <c r="AF57" s="37">
        <f>IFERROR(YHHistoricalPricesAdjusted!AF57/YHHistoricalPricesAdjusted!AF56-1,  "")</f>
        <v>-8.300538646015243E-2</v>
      </c>
      <c r="AG57" s="37">
        <f>IFERROR(YHHistoricalPricesAdjusted!AG57/YHHistoricalPricesAdjusted!AG56-1,  "")</f>
        <v>-9.0556032590498492E-2</v>
      </c>
      <c r="AH57" s="37">
        <f>IFERROR(YHHistoricalPricesAdjusted!AH57/YHHistoricalPricesAdjusted!AH56-1,  "")</f>
        <v>1.8048305131763698E-3</v>
      </c>
      <c r="AI57" s="37">
        <f>IFERROR(YHHistoricalPricesAdjusted!AI57/YHHistoricalPricesAdjusted!AI56-1,  "")</f>
        <v>0.24685672552043258</v>
      </c>
      <c r="AJ57" s="37">
        <f>IFERROR(YHHistoricalPricesAdjusted!AJ57/YHHistoricalPricesAdjusted!AJ56-1,  "")</f>
        <v>-5.1831043144871525E-2</v>
      </c>
      <c r="AK57" s="37">
        <f>IFERROR(YHHistoricalPricesAdjusted!AK57/YHHistoricalPricesAdjusted!AK56-1,  "")</f>
        <v>-4.4936337109337976E-2</v>
      </c>
      <c r="AL57" s="37">
        <f>IFERROR(YHHistoricalPricesAdjusted!AL57/YHHistoricalPricesAdjusted!AL56-1,  "")</f>
        <v>-0.11557428980267437</v>
      </c>
      <c r="AM57" s="37">
        <f>IFERROR(YHHistoricalPricesAdjusted!AM57/YHHistoricalPricesAdjusted!AM56-1,  "")</f>
        <v>0.11579673364502741</v>
      </c>
      <c r="AN57" s="37">
        <f>IFERROR(YHHistoricalPricesAdjusted!AN57/YHHistoricalPricesAdjusted!AN56-1,  "")</f>
        <v>7.0901522517090587E-2</v>
      </c>
      <c r="AO57" s="37">
        <f>IFERROR(YHHistoricalPricesAdjusted!AO57/YHHistoricalPricesAdjusted!AO56-1,  "")</f>
        <v>2.2727289336870182E-2</v>
      </c>
      <c r="AP57" s="37">
        <f>IFERROR(YHHistoricalPricesAdjusted!AP57/YHHistoricalPricesAdjusted!AP56-1,  "")</f>
        <v>-2.2734615503935074E-2</v>
      </c>
      <c r="AQ57" s="37">
        <f>IFERROR(YHHistoricalPricesAdjusted!AQ57/YHHistoricalPricesAdjusted!AQ56-1,  "")</f>
        <v>-7.871541689463768E-2</v>
      </c>
      <c r="AR57" s="37">
        <f>IFERROR(YHHistoricalPricesAdjusted!AR57/YHHistoricalPricesAdjusted!AR56-1,  "")</f>
        <v>-3.033428489055856E-3</v>
      </c>
      <c r="AS57" s="37">
        <f>IFERROR(YHHistoricalPricesAdjusted!AS57/YHHistoricalPricesAdjusted!AS56-1,  "")</f>
        <v>-3.7275004460712524E-2</v>
      </c>
      <c r="AT57" s="37">
        <f>IFERROR(YHHistoricalPricesAdjusted!AT57/YHHistoricalPricesAdjusted!AT56-1,  "")</f>
        <v>5.9915927424558646E-4</v>
      </c>
      <c r="AU57" s="37">
        <f>IFERROR(YHHistoricalPricesAdjusted!AU57/YHHistoricalPricesAdjusted!AU56-1,  "")</f>
        <v>-2.4659358239345064E-3</v>
      </c>
      <c r="AV57" s="37">
        <f>IFERROR(YHHistoricalPricesAdjusted!AV57/YHHistoricalPricesAdjusted!AV56-1,  "")</f>
        <v>-4.8086977150935573E-2</v>
      </c>
      <c r="AW57" s="37">
        <f>IFERROR(YHHistoricalPricesAdjusted!AW57/YHHistoricalPricesAdjusted!AW56-1,  "")</f>
        <v>3.0255336814918543E-2</v>
      </c>
      <c r="AX57" s="37">
        <f>IFERROR(YHHistoricalPricesAdjusted!AX57/YHHistoricalPricesAdjusted!AX56-1,  "")</f>
        <v>2.5611040245975936E-2</v>
      </c>
      <c r="AY57" s="37">
        <f>IFERROR(YHHistoricalPricesAdjusted!AY57/YHHistoricalPricesAdjusted!AY56-1,  "")</f>
        <v>6.8848975486190955E-3</v>
      </c>
      <c r="AZ57" s="37">
        <f>IFERROR(YHHistoricalPricesAdjusted!AZ57/YHHistoricalPricesAdjusted!AZ56-1,  "")</f>
        <v>5.1243630753027958E-2</v>
      </c>
      <c r="BA57" s="37">
        <f>IFERROR(YHHistoricalPricesAdjusted!BA57/YHHistoricalPricesAdjusted!BA56-1,  "")</f>
        <v>4.9131526433614292E-2</v>
      </c>
      <c r="BB57" s="37">
        <f>IFERROR(YHHistoricalPricesAdjusted!BB57/YHHistoricalPricesAdjusted!BB56-1,  "")</f>
        <v>-4.4668339090467857E-3</v>
      </c>
      <c r="BC57" s="37">
        <f>IFERROR(YHHistoricalPricesAdjusted!BC57/YHHistoricalPricesAdjusted!BC56-1,  "")</f>
        <v>-9.5358336533843957E-3</v>
      </c>
      <c r="BD57" s="37">
        <f>IFERROR(YHHistoricalPricesAdjusted!BD57/YHHistoricalPricesAdjusted!BD56-1,  "")</f>
        <v>3.9774922751942832E-2</v>
      </c>
      <c r="BE57" s="37">
        <f>IFERROR(YHHistoricalPricesAdjusted!BE57/YHHistoricalPricesAdjusted!BE56-1,  "")</f>
        <v>-6.1358203571202363E-3</v>
      </c>
      <c r="BF57" s="37">
        <f>IFERROR(YHHistoricalPricesAdjusted!BF57/YHHistoricalPricesAdjusted!BF56-1,  "")</f>
        <v>-7.0563555402874956E-3</v>
      </c>
      <c r="BG57" s="37">
        <f>IFERROR(YHHistoricalPricesAdjusted!BG57/YHHistoricalPricesAdjusted!BG56-1,  "")</f>
        <v>-2.8988204823343522E-2</v>
      </c>
      <c r="BH57" s="37">
        <f>IFERROR(YHHistoricalPricesAdjusted!BH57/YHHistoricalPricesAdjusted!BH56-1,  "")</f>
        <v>-5.3207240088696039E-2</v>
      </c>
      <c r="BI57" s="37">
        <f>IFERROR(YHHistoricalPricesAdjusted!BI57/YHHistoricalPricesAdjusted!BI56-1,  "")</f>
        <v>4.493922988249488E-2</v>
      </c>
      <c r="BJ57" s="37">
        <f>IFERROR(YHHistoricalPricesAdjusted!BJ57/YHHistoricalPricesAdjusted!BJ56-1,  "")</f>
        <v>-4.5454524910498839E-2</v>
      </c>
      <c r="BK57" s="37">
        <f>IFERROR(YHHistoricalPricesAdjusted!BK57/YHHistoricalPricesAdjusted!BK56-1,  "")</f>
        <v>1.4020506759766072E-2</v>
      </c>
      <c r="BL57" s="37">
        <f>IFERROR(YHHistoricalPricesAdjusted!BL57/YHHistoricalPricesAdjusted!BL56-1,  "")</f>
        <v>1.565845008624045E-2</v>
      </c>
      <c r="BM57" s="37">
        <f>IFERROR(YHHistoricalPricesAdjusted!BM57/YHHistoricalPricesAdjusted!BM56-1,  "")</f>
        <v>1.5794863670501202E-2</v>
      </c>
      <c r="BN57" s="37">
        <f>IFERROR(YHHistoricalPricesAdjusted!BN57/YHHistoricalPricesAdjusted!BN56-1,  "")</f>
        <v>2.3683916935689053E-2</v>
      </c>
      <c r="BO57" s="37">
        <f>IFERROR(YHHistoricalPricesAdjusted!BO57/YHHistoricalPricesAdjusted!BO56-1,  "")</f>
        <v>-2.2741914569718524E-2</v>
      </c>
      <c r="BP57" s="37">
        <f>IFERROR(YHHistoricalPricesAdjusted!BP57/YHHistoricalPricesAdjusted!BP56-1,  "")</f>
        <v>-6.2463448525805765E-3</v>
      </c>
      <c r="BQ57" s="37">
        <f>IFERROR(YHHistoricalPricesAdjusted!BQ57/YHHistoricalPricesAdjusted!BQ56-1,  "")</f>
        <v>-5.0744546853705108E-2</v>
      </c>
      <c r="BR57" s="37">
        <f>IFERROR(YHHistoricalPricesAdjusted!BR57/YHHistoricalPricesAdjusted!BR56-1,  "")</f>
        <v>1.2216665839669849E-2</v>
      </c>
      <c r="BS57" s="37">
        <f>IFERROR(YHHistoricalPricesAdjusted!BS57/YHHistoricalPricesAdjusted!BS56-1,  "")</f>
        <v>-0.13937001062580945</v>
      </c>
      <c r="BT57" s="37">
        <f>IFERROR(YHHistoricalPricesAdjusted!BT57/YHHistoricalPricesAdjusted!BT56-1,  "")</f>
        <v>1.3468295188082013E-2</v>
      </c>
      <c r="BU57" s="37">
        <f>IFERROR(YHHistoricalPricesAdjusted!BU57/YHHistoricalPricesAdjusted!BU56-1,  "")</f>
        <v>-6.8717450880181774E-2</v>
      </c>
      <c r="BV57" s="37">
        <f>IFERROR(YHHistoricalPricesAdjusted!BV57/YHHistoricalPricesAdjusted!BV56-1,  "")</f>
        <v>2.8473066771364408E-2</v>
      </c>
      <c r="BW57" s="37">
        <f>IFERROR(YHHistoricalPricesAdjusted!BW57/YHHistoricalPricesAdjusted!BW56-1,  "")</f>
        <v>-1.1277199603064392E-2</v>
      </c>
      <c r="BX57" s="37">
        <f>IFERROR(YHHistoricalPricesAdjusted!BX57/YHHistoricalPricesAdjusted!BX56-1,  "")</f>
        <v>4.1027627292355984E-3</v>
      </c>
      <c r="BY57" s="37">
        <f>IFERROR(YHHistoricalPricesAdjusted!BY57/YHHistoricalPricesAdjusted!BY56-1,  "")</f>
        <v>5.1651925606213789E-2</v>
      </c>
      <c r="BZ57" s="37">
        <f>IFERROR(YHHistoricalPricesAdjusted!BZ57/YHHistoricalPricesAdjusted!BZ56-1,  "")</f>
        <v>3.3563990345202299E-2</v>
      </c>
      <c r="CA57" s="37">
        <f>IFERROR(YHHistoricalPricesAdjusted!CA57/YHHistoricalPricesAdjusted!CA56-1,  "")</f>
        <v>8.7286302600799948E-2</v>
      </c>
      <c r="CB57" s="37">
        <f>IFERROR(YHHistoricalPricesAdjusted!CB57/YHHistoricalPricesAdjusted!CB56-1,  "")</f>
        <v>-5.6348589972630148E-3</v>
      </c>
      <c r="CC57" s="37">
        <f>IFERROR(YHHistoricalPricesAdjusted!CC57/YHHistoricalPricesAdjusted!CC56-1,  "")</f>
        <v>4.2643500821557767E-2</v>
      </c>
      <c r="CD57" s="37">
        <f>IFERROR(YHHistoricalPricesAdjusted!CD57/YHHistoricalPricesAdjusted!CD56-1,  "")</f>
        <v>1.6070906942392993E-2</v>
      </c>
      <c r="CE57" s="37">
        <f>IFERROR(YHHistoricalPricesAdjusted!CE57/YHHistoricalPricesAdjusted!CE56-1,  "")</f>
        <v>-1.0471001299305893E-3</v>
      </c>
      <c r="CF57" s="37">
        <f>IFERROR(YHHistoricalPricesAdjusted!CF57/YHHistoricalPricesAdjusted!CF56-1,  "")</f>
        <v>0.13691315302584806</v>
      </c>
    </row>
    <row r="58" spans="1:84" x14ac:dyDescent="0.25">
      <c r="A58" s="17">
        <v>43008</v>
      </c>
      <c r="B58" s="37">
        <f>IFERROR(YHHistoricalPricesAdjusted!B58/YHHistoricalPricesAdjusted!B57-1,  "")</f>
        <v>-5.6553540791538182E-2</v>
      </c>
      <c r="C58" s="37">
        <f>IFERROR(YHHistoricalPricesAdjusted!C58/YHHistoricalPricesAdjusted!C57-1,  "")</f>
        <v>-1.50713585651997E-2</v>
      </c>
      <c r="D58" s="37">
        <f>IFERROR(YHHistoricalPricesAdjusted!D58/YHHistoricalPricesAdjusted!D57-1,  "")</f>
        <v>2.504960558027447E-2</v>
      </c>
      <c r="E58" s="37">
        <f>IFERROR(YHHistoricalPricesAdjusted!E58/YHHistoricalPricesAdjusted!E57-1,  "")</f>
        <v>-2.5988113940303981E-2</v>
      </c>
      <c r="F58" s="37">
        <f>IFERROR(YHHistoricalPricesAdjusted!F58/YHHistoricalPricesAdjusted!F57-1,  "")</f>
        <v>-1.475550817954463E-2</v>
      </c>
      <c r="G58" s="37">
        <f>IFERROR(YHHistoricalPricesAdjusted!G58/YHHistoricalPricesAdjusted!G57-1,  "")</f>
        <v>7.1923382458076723E-3</v>
      </c>
      <c r="H58" s="37">
        <f>IFERROR(YHHistoricalPricesAdjusted!H58/YHHistoricalPricesAdjusted!H57-1,  "")</f>
        <v>-1.1855062009454076E-2</v>
      </c>
      <c r="I58" s="37">
        <f>IFERROR(YHHistoricalPricesAdjusted!I58/YHHistoricalPricesAdjusted!I57-1,  "")</f>
        <v>-2.216340119633764E-2</v>
      </c>
      <c r="J58" s="37">
        <f>IFERROR(YHHistoricalPricesAdjusted!J58/YHHistoricalPricesAdjusted!J57-1,  "")</f>
        <v>8.8758750926459573E-2</v>
      </c>
      <c r="K58" s="37">
        <f>IFERROR(YHHistoricalPricesAdjusted!K58/YHHistoricalPricesAdjusted!K57-1,  "")</f>
        <v>5.4788392568474231E-2</v>
      </c>
      <c r="L58" s="37">
        <f>IFERROR(YHHistoricalPricesAdjusted!L58/YHHistoricalPricesAdjusted!L57-1,  "")</f>
        <v>-1.1855062009454076E-2</v>
      </c>
      <c r="M58" s="37">
        <f>IFERROR(YHHistoricalPricesAdjusted!M58/YHHistoricalPricesAdjusted!M57-1,  "")</f>
        <v>-3.0417539839090457E-2</v>
      </c>
      <c r="N58" s="37">
        <f>IFERROR(YHHistoricalPricesAdjusted!N58/YHHistoricalPricesAdjusted!N57-1,  "")</f>
        <v>5.1957199327009596E-2</v>
      </c>
      <c r="O58" s="37">
        <f>IFERROR(YHHistoricalPricesAdjusted!O58/YHHistoricalPricesAdjusted!O57-1,  "")</f>
        <v>-4.1584681791256184E-2</v>
      </c>
      <c r="P58" s="37">
        <f>IFERROR(YHHistoricalPricesAdjusted!P58/YHHistoricalPricesAdjusted!P57-1,  "")</f>
        <v>8.4430904521731964E-2</v>
      </c>
      <c r="Q58" s="37">
        <f>IFERROR(YHHistoricalPricesAdjusted!Q58/YHHistoricalPricesAdjusted!Q57-1,  "")</f>
        <v>0.10277428498565433</v>
      </c>
      <c r="R58" s="37">
        <f>IFERROR(YHHistoricalPricesAdjusted!R58/YHHistoricalPricesAdjusted!R57-1,  "")</f>
        <v>5.8028936110438911E-2</v>
      </c>
      <c r="S58" s="37">
        <f>IFERROR(YHHistoricalPricesAdjusted!S58/YHHistoricalPricesAdjusted!S57-1,  "")</f>
        <v>8.3394357401246566E-2</v>
      </c>
      <c r="T58" s="37">
        <f>IFERROR(YHHistoricalPricesAdjusted!T58/YHHistoricalPricesAdjusted!T57-1,  "")</f>
        <v>4.4282132991857681E-2</v>
      </c>
      <c r="U58" s="37">
        <f>IFERROR(YHHistoricalPricesAdjusted!U58/YHHistoricalPricesAdjusted!U57-1,  "")</f>
        <v>0.17245809384473709</v>
      </c>
      <c r="V58" s="37">
        <f>IFERROR(YHHistoricalPricesAdjusted!V58/YHHistoricalPricesAdjusted!V57-1,  "")</f>
        <v>2.2354972616446478E-2</v>
      </c>
      <c r="W58" s="37">
        <f>IFERROR(YHHistoricalPricesAdjusted!W58/YHHistoricalPricesAdjusted!W57-1,  "")</f>
        <v>8.058069402751955E-2</v>
      </c>
      <c r="X58" s="37">
        <f>IFERROR(YHHistoricalPricesAdjusted!X58/YHHistoricalPricesAdjusted!X57-1,  "")</f>
        <v>2.3991963287845364E-2</v>
      </c>
      <c r="Y58" s="37">
        <f>IFERROR(YHHistoricalPricesAdjusted!Y58/YHHistoricalPricesAdjusted!Y57-1,  "")</f>
        <v>-1.1580974954645051E-2</v>
      </c>
      <c r="Z58" s="37">
        <f>IFERROR(YHHistoricalPricesAdjusted!Z58/YHHistoricalPricesAdjusted!Z57-1,  "")</f>
        <v>6.2756951510767323E-2</v>
      </c>
      <c r="AA58" s="37">
        <f>IFERROR(YHHistoricalPricesAdjusted!AA58/YHHistoricalPricesAdjusted!AA57-1,  "")</f>
        <v>2.6620109515016477E-3</v>
      </c>
      <c r="AB58" s="37">
        <f>IFERROR(YHHistoricalPricesAdjusted!AB58/YHHistoricalPricesAdjusted!AB57-1,  "")</f>
        <v>-1.5334251701493606E-2</v>
      </c>
      <c r="AC58" s="37">
        <f>IFERROR(YHHistoricalPricesAdjusted!AC58/YHHistoricalPricesAdjusted!AC57-1,  "")</f>
        <v>1.1822945802904439E-2</v>
      </c>
      <c r="AD58" s="37">
        <f>IFERROR(YHHistoricalPricesAdjusted!AD58/YHHistoricalPricesAdjusted!AD57-1,  "")</f>
        <v>2.694774865723204E-2</v>
      </c>
      <c r="AE58" s="37">
        <f>IFERROR(YHHistoricalPricesAdjusted!AE58/YHHistoricalPricesAdjusted!AE57-1,  "")</f>
        <v>-0.10405199302633039</v>
      </c>
      <c r="AF58" s="37">
        <f>IFERROR(YHHistoricalPricesAdjusted!AF58/YHHistoricalPricesAdjusted!AF57-1,  "")</f>
        <v>7.4876061612974665E-2</v>
      </c>
      <c r="AG58" s="37">
        <f>IFERROR(YHHistoricalPricesAdjusted!AG58/YHHistoricalPricesAdjusted!AG57-1,  "")</f>
        <v>-0.1041809421977693</v>
      </c>
      <c r="AH58" s="37">
        <f>IFERROR(YHHistoricalPricesAdjusted!AH58/YHHistoricalPricesAdjusted!AH57-1,  "")</f>
        <v>9.7799615405618212E-2</v>
      </c>
      <c r="AI58" s="37">
        <f>IFERROR(YHHistoricalPricesAdjusted!AI58/YHHistoricalPricesAdjusted!AI57-1,  "")</f>
        <v>-0.14842234479910021</v>
      </c>
      <c r="AJ58" s="37">
        <f>IFERROR(YHHistoricalPricesAdjusted!AJ58/YHHistoricalPricesAdjusted!AJ57-1,  "")</f>
        <v>-2.778123902865326E-2</v>
      </c>
      <c r="AK58" s="37">
        <f>IFERROR(YHHistoricalPricesAdjusted!AK58/YHHistoricalPricesAdjusted!AK57-1,  "")</f>
        <v>6.3734312969366824E-2</v>
      </c>
      <c r="AL58" s="37">
        <f>IFERROR(YHHistoricalPricesAdjusted!AL58/YHHistoricalPricesAdjusted!AL57-1,  "")</f>
        <v>6.0558704702640576E-2</v>
      </c>
      <c r="AM58" s="37">
        <f>IFERROR(YHHistoricalPricesAdjusted!AM58/YHHistoricalPricesAdjusted!AM57-1,  "")</f>
        <v>4.6779937084385104E-2</v>
      </c>
      <c r="AN58" s="37">
        <f>IFERROR(YHHistoricalPricesAdjusted!AN58/YHHistoricalPricesAdjusted!AN57-1,  "")</f>
        <v>3.8312962996010391E-2</v>
      </c>
      <c r="AO58" s="37">
        <f>IFERROR(YHHistoricalPricesAdjusted!AO58/YHHistoricalPricesAdjusted!AO57-1,  "")</f>
        <v>0.10773964880970577</v>
      </c>
      <c r="AP58" s="37">
        <f>IFERROR(YHHistoricalPricesAdjusted!AP58/YHHistoricalPricesAdjusted!AP57-1,  "")</f>
        <v>8.9377868188367238E-2</v>
      </c>
      <c r="AQ58" s="37">
        <f>IFERROR(YHHistoricalPricesAdjusted!AQ58/YHHistoricalPricesAdjusted!AQ57-1,  "")</f>
        <v>-2.8038281874094628E-2</v>
      </c>
      <c r="AR58" s="37">
        <f>IFERROR(YHHistoricalPricesAdjusted!AR58/YHHistoricalPricesAdjusted!AR57-1,  "")</f>
        <v>3.9616978114529466E-3</v>
      </c>
      <c r="AS58" s="37">
        <f>IFERROR(YHHistoricalPricesAdjusted!AS58/YHHistoricalPricesAdjusted!AS57-1,  "")</f>
        <v>2.3501887959286094E-2</v>
      </c>
      <c r="AT58" s="37">
        <f>IFERROR(YHHistoricalPricesAdjusted!AT58/YHHistoricalPricesAdjusted!AT57-1,  "")</f>
        <v>-1.9656283821378739E-4</v>
      </c>
      <c r="AU58" s="37">
        <f>IFERROR(YHHistoricalPricesAdjusted!AU58/YHHistoricalPricesAdjusted!AU57-1,  "")</f>
        <v>5.2689939044565648E-3</v>
      </c>
      <c r="AV58" s="37">
        <f>IFERROR(YHHistoricalPricesAdjusted!AV58/YHHistoricalPricesAdjusted!AV57-1,  "")</f>
        <v>9.9217538735008937E-2</v>
      </c>
      <c r="AW58" s="37">
        <f>IFERROR(YHHistoricalPricesAdjusted!AW58/YHHistoricalPricesAdjusted!AW57-1,  "")</f>
        <v>-1.9926742676717901E-2</v>
      </c>
      <c r="AX58" s="37">
        <f>IFERROR(YHHistoricalPricesAdjusted!AX58/YHHistoricalPricesAdjusted!AX57-1,  "")</f>
        <v>-2.8769041076357138E-2</v>
      </c>
      <c r="AY58" s="37">
        <f>IFERROR(YHHistoricalPricesAdjusted!AY58/YHHistoricalPricesAdjusted!AY57-1,  "")</f>
        <v>3.0434108140720229E-2</v>
      </c>
      <c r="AZ58" s="37">
        <f>IFERROR(YHHistoricalPricesAdjusted!AZ58/YHHistoricalPricesAdjusted!AZ57-1,  "")</f>
        <v>-3.2222518260660249E-2</v>
      </c>
      <c r="BA58" s="37">
        <f>IFERROR(YHHistoricalPricesAdjusted!BA58/YHHistoricalPricesAdjusted!BA57-1,  "")</f>
        <v>-4.4159591629141626E-2</v>
      </c>
      <c r="BB58" s="37">
        <f>IFERROR(YHHistoricalPricesAdjusted!BB58/YHHistoricalPricesAdjusted!BB57-1,  "")</f>
        <v>5.0830603597002977E-2</v>
      </c>
      <c r="BC58" s="37">
        <f>IFERROR(YHHistoricalPricesAdjusted!BC58/YHHistoricalPricesAdjusted!BC57-1,  "")</f>
        <v>6.612041144254599E-2</v>
      </c>
      <c r="BD58" s="37">
        <f>IFERROR(YHHistoricalPricesAdjusted!BD58/YHHistoricalPricesAdjusted!BD57-1,  "")</f>
        <v>1.8252281220806132E-2</v>
      </c>
      <c r="BE58" s="37">
        <f>IFERROR(YHHistoricalPricesAdjusted!BE58/YHHistoricalPricesAdjusted!BE57-1,  "")</f>
        <v>7.4185747113223233E-2</v>
      </c>
      <c r="BF58" s="37">
        <f>IFERROR(YHHistoricalPricesAdjusted!BF58/YHHistoricalPricesAdjusted!BF57-1,  "")</f>
        <v>6.3735043212794995E-2</v>
      </c>
      <c r="BG58" s="37">
        <f>IFERROR(YHHistoricalPricesAdjusted!BG58/YHHistoricalPricesAdjusted!BG57-1,  "")</f>
        <v>4.5658476915889867E-2</v>
      </c>
      <c r="BH58" s="37">
        <f>IFERROR(YHHistoricalPricesAdjusted!BH58/YHHistoricalPricesAdjusted!BH57-1,  "")</f>
        <v>8.7734743419680017E-2</v>
      </c>
      <c r="BI58" s="37">
        <f>IFERROR(YHHistoricalPricesAdjusted!BI58/YHHistoricalPricesAdjusted!BI57-1,  "")</f>
        <v>5.9264909514321618E-2</v>
      </c>
      <c r="BJ58" s="37">
        <f>IFERROR(YHHistoricalPricesAdjusted!BJ58/YHHistoricalPricesAdjusted!BJ57-1,  "")</f>
        <v>7.7017945164335355E-2</v>
      </c>
      <c r="BK58" s="37">
        <f>IFERROR(YHHistoricalPricesAdjusted!BK58/YHHistoricalPricesAdjusted!BK57-1,  "")</f>
        <v>5.0638792017636769E-2</v>
      </c>
      <c r="BL58" s="37">
        <f>IFERROR(YHHistoricalPricesAdjusted!BL58/YHHistoricalPricesAdjusted!BL57-1,  "")</f>
        <v>3.3218964976414078E-2</v>
      </c>
      <c r="BM58" s="37">
        <f>IFERROR(YHHistoricalPricesAdjusted!BM58/YHHistoricalPricesAdjusted!BM57-1,  "")</f>
        <v>3.0080565206607179E-2</v>
      </c>
      <c r="BN58" s="37">
        <f>IFERROR(YHHistoricalPricesAdjusted!BN58/YHHistoricalPricesAdjusted!BN57-1,  "")</f>
        <v>2.8290606295899856E-2</v>
      </c>
      <c r="BO58" s="37">
        <f>IFERROR(YHHistoricalPricesAdjusted!BO58/YHHistoricalPricesAdjusted!BO57-1,  "")</f>
        <v>7.5994527674167367E-2</v>
      </c>
      <c r="BP58" s="37">
        <f>IFERROR(YHHistoricalPricesAdjusted!BP58/YHHistoricalPricesAdjusted!BP57-1,  "")</f>
        <v>5.5232743974155785E-2</v>
      </c>
      <c r="BQ58" s="37">
        <f>IFERROR(YHHistoricalPricesAdjusted!BQ58/YHHistoricalPricesAdjusted!BQ57-1,  "")</f>
        <v>6.1642064493541593E-2</v>
      </c>
      <c r="BR58" s="37">
        <f>IFERROR(YHHistoricalPricesAdjusted!BR58/YHHistoricalPricesAdjusted!BR57-1,  "")</f>
        <v>3.3083903312664642E-2</v>
      </c>
      <c r="BS58" s="37">
        <f>IFERROR(YHHistoricalPricesAdjusted!BS58/YHHistoricalPricesAdjusted!BS57-1,  "")</f>
        <v>8.9323945210542988E-2</v>
      </c>
      <c r="BT58" s="37">
        <f>IFERROR(YHHistoricalPricesAdjusted!BT58/YHHistoricalPricesAdjusted!BT57-1,  "")</f>
        <v>5.3254498137724093E-2</v>
      </c>
      <c r="BU58" s="37">
        <f>IFERROR(YHHistoricalPricesAdjusted!BU58/YHHistoricalPricesAdjusted!BU57-1,  "")</f>
        <v>5.3163526372149272E-2</v>
      </c>
      <c r="BV58" s="37">
        <f>IFERROR(YHHistoricalPricesAdjusted!BV58/YHHistoricalPricesAdjusted!BV57-1,  "")</f>
        <v>1.5630477949435395E-3</v>
      </c>
      <c r="BW58" s="37">
        <f>IFERROR(YHHistoricalPricesAdjusted!BW58/YHHistoricalPricesAdjusted!BW57-1,  "")</f>
        <v>9.3964423104674344E-2</v>
      </c>
      <c r="BX58" s="37">
        <f>IFERROR(YHHistoricalPricesAdjusted!BX58/YHHistoricalPricesAdjusted!BX57-1,  "")</f>
        <v>3.1686416456878197E-2</v>
      </c>
      <c r="BY58" s="37">
        <f>IFERROR(YHHistoricalPricesAdjusted!BY58/YHHistoricalPricesAdjusted!BY57-1,  "")</f>
        <v>-2.1677663036499317E-2</v>
      </c>
      <c r="BZ58" s="37">
        <f>IFERROR(YHHistoricalPricesAdjusted!BZ58/YHHistoricalPricesAdjusted!BZ57-1,  "")</f>
        <v>4.8781955720489378E-3</v>
      </c>
      <c r="CA58" s="37">
        <f>IFERROR(YHHistoricalPricesAdjusted!CA58/YHHistoricalPricesAdjusted!CA57-1,  "")</f>
        <v>3.1255823255813997E-2</v>
      </c>
      <c r="CB58" s="37">
        <f>IFERROR(YHHistoricalPricesAdjusted!CB58/YHHistoricalPricesAdjusted!CB57-1,  "")</f>
        <v>-4.7275296297724978E-2</v>
      </c>
      <c r="CC58" s="37">
        <f>IFERROR(YHHistoricalPricesAdjusted!CC58/YHHistoricalPricesAdjusted!CC57-1,  "")</f>
        <v>5.5992735103621794E-2</v>
      </c>
      <c r="CD58" s="37">
        <f>IFERROR(YHHistoricalPricesAdjusted!CD58/YHHistoricalPricesAdjusted!CD57-1,  "")</f>
        <v>-6.396499352232965E-3</v>
      </c>
      <c r="CE58" s="37">
        <f>IFERROR(YHHistoricalPricesAdjusted!CE58/YHHistoricalPricesAdjusted!CE57-1,  "")</f>
        <v>4.6121713936017272E-2</v>
      </c>
      <c r="CF58" s="37">
        <f>IFERROR(YHHistoricalPricesAdjusted!CF58/YHHistoricalPricesAdjusted!CF57-1,  "")</f>
        <v>0.23021592837710125</v>
      </c>
    </row>
    <row r="59" spans="1:84" x14ac:dyDescent="0.25">
      <c r="A59" s="17">
        <v>43039</v>
      </c>
      <c r="B59" s="37">
        <f>IFERROR(YHHistoricalPricesAdjusted!B59/YHHistoricalPricesAdjusted!B58-1,  "")</f>
        <v>9.6807639190841455E-2</v>
      </c>
      <c r="C59" s="37">
        <f>IFERROR(YHHistoricalPricesAdjusted!C59/YHHistoricalPricesAdjusted!C58-1,  "")</f>
        <v>-0.15792255803186495</v>
      </c>
      <c r="D59" s="37">
        <f>IFERROR(YHHistoricalPricesAdjusted!D59/YHHistoricalPricesAdjusted!D58-1,  "")</f>
        <v>6.189687982659664E-2</v>
      </c>
      <c r="E59" s="37">
        <f>IFERROR(YHHistoricalPricesAdjusted!E59/YHHistoricalPricesAdjusted!E58-1,  "")</f>
        <v>-7.710277081221073E-3</v>
      </c>
      <c r="F59" s="37">
        <f>IFERROR(YHHistoricalPricesAdjusted!F59/YHHistoricalPricesAdjusted!F58-1,  "")</f>
        <v>6.5292371138747196E-2</v>
      </c>
      <c r="G59" s="37">
        <f>IFERROR(YHHistoricalPricesAdjusted!G59/YHHistoricalPricesAdjusted!G58-1,  "")</f>
        <v>0.11735345986793355</v>
      </c>
      <c r="H59" s="37">
        <f>IFERROR(YHHistoricalPricesAdjusted!H59/YHHistoricalPricesAdjusted!H58-1,  "")</f>
        <v>2.9679189110713322E-2</v>
      </c>
      <c r="I59" s="37">
        <f>IFERROR(YHHistoricalPricesAdjusted!I59/YHHistoricalPricesAdjusted!I58-1,  "")</f>
        <v>5.7573493143175947E-2</v>
      </c>
      <c r="J59" s="37">
        <f>IFERROR(YHHistoricalPricesAdjusted!J59/YHHistoricalPricesAdjusted!J58-1,  "")</f>
        <v>0.11657581101851644</v>
      </c>
      <c r="K59" s="37">
        <f>IFERROR(YHHistoricalPricesAdjusted!K59/YHHistoricalPricesAdjusted!K58-1,  "")</f>
        <v>5.6156343845666257E-2</v>
      </c>
      <c r="L59" s="37">
        <f>IFERROR(YHHistoricalPricesAdjusted!L59/YHHistoricalPricesAdjusted!L58-1,  "")</f>
        <v>2.9679189110713322E-2</v>
      </c>
      <c r="M59" s="37">
        <f>IFERROR(YHHistoricalPricesAdjusted!M59/YHHistoricalPricesAdjusted!M58-1,  "")</f>
        <v>-1.0769033564027808E-2</v>
      </c>
      <c r="N59" s="37">
        <f>IFERROR(YHHistoricalPricesAdjusted!N59/YHHistoricalPricesAdjusted!N58-1,  "")</f>
        <v>6.6828383652750789E-2</v>
      </c>
      <c r="O59" s="37">
        <f>IFERROR(YHHistoricalPricesAdjusted!O59/YHHistoricalPricesAdjusted!O58-1,  "")</f>
        <v>-2.8056308506778649E-2</v>
      </c>
      <c r="P59" s="37">
        <f>IFERROR(YHHistoricalPricesAdjusted!P59/YHHistoricalPricesAdjusted!P58-1,  "")</f>
        <v>1.6711394652013434E-2</v>
      </c>
      <c r="Q59" s="37">
        <f>IFERROR(YHHistoricalPricesAdjusted!Q59/YHHistoricalPricesAdjusted!Q58-1,  "")</f>
        <v>-1.3702124472778965E-2</v>
      </c>
      <c r="R59" s="37">
        <f>IFERROR(YHHistoricalPricesAdjusted!R59/YHHistoricalPricesAdjusted!R58-1,  "")</f>
        <v>0.10364759648993838</v>
      </c>
      <c r="S59" s="37">
        <f>IFERROR(YHHistoricalPricesAdjusted!S59/YHHistoricalPricesAdjusted!S58-1,  "")</f>
        <v>2.1904054915921067E-2</v>
      </c>
      <c r="T59" s="37">
        <f>IFERROR(YHHistoricalPricesAdjusted!T59/YHHistoricalPricesAdjusted!T58-1,  "")</f>
        <v>3.6532780314682434E-2</v>
      </c>
      <c r="U59" s="37">
        <f>IFERROR(YHHistoricalPricesAdjusted!U59/YHHistoricalPricesAdjusted!U58-1,  "")</f>
        <v>3.6240090575094808E-2</v>
      </c>
      <c r="V59" s="37">
        <f>IFERROR(YHHistoricalPricesAdjusted!V59/YHHistoricalPricesAdjusted!V58-1,  "")</f>
        <v>1.0682672895924394E-2</v>
      </c>
      <c r="W59" s="37">
        <f>IFERROR(YHHistoricalPricesAdjusted!W59/YHHistoricalPricesAdjusted!W58-1,  "")</f>
        <v>4.2776104914016289E-2</v>
      </c>
      <c r="X59" s="37">
        <f>IFERROR(YHHistoricalPricesAdjusted!X59/YHHistoricalPricesAdjusted!X58-1,  "")</f>
        <v>2.3423092875055174E-2</v>
      </c>
      <c r="Y59" s="37">
        <f>IFERROR(YHHistoricalPricesAdjusted!Y59/YHHistoricalPricesAdjusted!Y58-1,  "")</f>
        <v>7.2302118168861673E-2</v>
      </c>
      <c r="Z59" s="37">
        <f>IFERROR(YHHistoricalPricesAdjusted!Z59/YHHistoricalPricesAdjusted!Z58-1,  "")</f>
        <v>-1.7927076698548983E-2</v>
      </c>
      <c r="AA59" s="37">
        <f>IFERROR(YHHistoricalPricesAdjusted!AA59/YHHistoricalPricesAdjusted!AA58-1,  "")</f>
        <v>-0.13339893463314145</v>
      </c>
      <c r="AB59" s="37">
        <f>IFERROR(YHHistoricalPricesAdjusted!AB59/YHHistoricalPricesAdjusted!AB58-1,  "")</f>
        <v>7.744587680828241E-2</v>
      </c>
      <c r="AC59" s="37">
        <f>IFERROR(YHHistoricalPricesAdjusted!AC59/YHHistoricalPricesAdjusted!AC58-1,  "")</f>
        <v>-4.9503621678388288E-2</v>
      </c>
      <c r="AD59" s="37">
        <f>IFERROR(YHHistoricalPricesAdjusted!AD59/YHHistoricalPricesAdjusted!AD58-1,  "")</f>
        <v>-7.427446280778971E-2</v>
      </c>
      <c r="AE59" s="37">
        <f>IFERROR(YHHistoricalPricesAdjusted!AE59/YHHistoricalPricesAdjusted!AE58-1,  "")</f>
        <v>1.1946360407093293E-2</v>
      </c>
      <c r="AF59" s="37">
        <f>IFERROR(YHHistoricalPricesAdjusted!AF59/YHHistoricalPricesAdjusted!AF58-1,  "")</f>
        <v>-2.3959889538381907E-3</v>
      </c>
      <c r="AG59" s="37">
        <f>IFERROR(YHHistoricalPricesAdjusted!AG59/YHHistoricalPricesAdjusted!AG58-1,  "")</f>
        <v>-0.13525247006867624</v>
      </c>
      <c r="AH59" s="37">
        <f>IFERROR(YHHistoricalPricesAdjusted!AH59/YHHistoricalPricesAdjusted!AH58-1,  "")</f>
        <v>1.357302598636001E-2</v>
      </c>
      <c r="AI59" s="37">
        <f>IFERROR(YHHistoricalPricesAdjusted!AI59/YHHistoricalPricesAdjusted!AI58-1,  "")</f>
        <v>8.3620556819300251E-2</v>
      </c>
      <c r="AJ59" s="37">
        <f>IFERROR(YHHistoricalPricesAdjusted!AJ59/YHHistoricalPricesAdjusted!AJ58-1,  "")</f>
        <v>-0.13394476180003245</v>
      </c>
      <c r="AK59" s="37">
        <f>IFERROR(YHHistoricalPricesAdjusted!AK59/YHHistoricalPricesAdjusted!AK58-1,  "")</f>
        <v>1.3660887134591571E-2</v>
      </c>
      <c r="AL59" s="37">
        <f>IFERROR(YHHistoricalPricesAdjusted!AL59/YHHistoricalPricesAdjusted!AL58-1,  "")</f>
        <v>5.1049357641640203E-2</v>
      </c>
      <c r="AM59" s="37">
        <f>IFERROR(YHHistoricalPricesAdjusted!AM59/YHHistoricalPricesAdjusted!AM58-1,  "")</f>
        <v>0.12683054625347334</v>
      </c>
      <c r="AN59" s="37">
        <f>IFERROR(YHHistoricalPricesAdjusted!AN59/YHHistoricalPricesAdjusted!AN58-1,  "")</f>
        <v>1.4079892835562324E-2</v>
      </c>
      <c r="AO59" s="37">
        <f>IFERROR(YHHistoricalPricesAdjusted!AO59/YHHistoricalPricesAdjusted!AO58-1,  "")</f>
        <v>-1.5521607384203495E-3</v>
      </c>
      <c r="AP59" s="37">
        <f>IFERROR(YHHistoricalPricesAdjusted!AP59/YHHistoricalPricesAdjusted!AP58-1,  "")</f>
        <v>-7.6063715407720278E-2</v>
      </c>
      <c r="AQ59" s="37">
        <f>IFERROR(YHHistoricalPricesAdjusted!AQ59/YHHistoricalPricesAdjusted!AQ58-1,  "")</f>
        <v>-0.11672024986961393</v>
      </c>
      <c r="AR59" s="37">
        <f>IFERROR(YHHistoricalPricesAdjusted!AR59/YHHistoricalPricesAdjusted!AR58-1,  "")</f>
        <v>9.1370501351154099E-2</v>
      </c>
      <c r="AS59" s="37">
        <f>IFERROR(YHHistoricalPricesAdjusted!AS59/YHHistoricalPricesAdjusted!AS58-1,  "")</f>
        <v>0.1009174057089488</v>
      </c>
      <c r="AT59" s="37">
        <f>IFERROR(YHHistoricalPricesAdjusted!AT59/YHHistoricalPricesAdjusted!AT58-1,  "")</f>
        <v>6.8996787440328999E-2</v>
      </c>
      <c r="AU59" s="37">
        <f>IFERROR(YHHistoricalPricesAdjusted!AU59/YHHistoricalPricesAdjusted!AU58-1,  "")</f>
        <v>8.4661808057229226E-2</v>
      </c>
      <c r="AV59" s="37">
        <f>IFERROR(YHHistoricalPricesAdjusted!AV59/YHHistoricalPricesAdjusted!AV58-1,  "")</f>
        <v>4.586850888989269E-2</v>
      </c>
      <c r="AW59" s="37">
        <f>IFERROR(YHHistoricalPricesAdjusted!AW59/YHHistoricalPricesAdjusted!AW58-1,  "")</f>
        <v>5.8137216841988471E-2</v>
      </c>
      <c r="AX59" s="37">
        <f>IFERROR(YHHistoricalPricesAdjusted!AX59/YHHistoricalPricesAdjusted!AX58-1,  "")</f>
        <v>5.2311691808182958E-2</v>
      </c>
      <c r="AY59" s="37">
        <f>IFERROR(YHHistoricalPricesAdjusted!AY59/YHHistoricalPricesAdjusted!AY58-1,  "")</f>
        <v>6.2271082129379707E-2</v>
      </c>
      <c r="AZ59" s="37">
        <f>IFERROR(YHHistoricalPricesAdjusted!AZ59/YHHistoricalPricesAdjusted!AZ58-1,  "")</f>
        <v>3.6842895382639629E-2</v>
      </c>
      <c r="BA59" s="37">
        <f>IFERROR(YHHistoricalPricesAdjusted!BA59/YHHistoricalPricesAdjusted!BA58-1,  "")</f>
        <v>4.4355087183018727E-2</v>
      </c>
      <c r="BB59" s="37">
        <f>IFERROR(YHHistoricalPricesAdjusted!BB59/YHHistoricalPricesAdjusted!BB58-1,  "")</f>
        <v>5.3397665300892294E-2</v>
      </c>
      <c r="BC59" s="37">
        <f>IFERROR(YHHistoricalPricesAdjusted!BC59/YHHistoricalPricesAdjusted!BC58-1,  "")</f>
        <v>8.0899797427391951E-2</v>
      </c>
      <c r="BD59" s="37">
        <f>IFERROR(YHHistoricalPricesAdjusted!BD59/YHHistoricalPricesAdjusted!BD58-1,  "")</f>
        <v>4.5039946302173561E-2</v>
      </c>
      <c r="BE59" s="37">
        <f>IFERROR(YHHistoricalPricesAdjusted!BE59/YHHistoricalPricesAdjusted!BE58-1,  "")</f>
        <v>1.044812377656279E-2</v>
      </c>
      <c r="BF59" s="37">
        <f>IFERROR(YHHistoricalPricesAdjusted!BF59/YHHistoricalPricesAdjusted!BF58-1,  "")</f>
        <v>2.2302796535972558E-2</v>
      </c>
      <c r="BG59" s="37">
        <f>IFERROR(YHHistoricalPricesAdjusted!BG59/YHHistoricalPricesAdjusted!BG58-1,  "")</f>
        <v>2.0394778654803769E-2</v>
      </c>
      <c r="BH59" s="37">
        <f>IFERROR(YHHistoricalPricesAdjusted!BH59/YHHistoricalPricesAdjusted!BH58-1,  "")</f>
        <v>1.7950981445612912E-2</v>
      </c>
      <c r="BI59" s="37">
        <f>IFERROR(YHHistoricalPricesAdjusted!BI59/YHHistoricalPricesAdjusted!BI58-1,  "")</f>
        <v>5.3611848257878902E-2</v>
      </c>
      <c r="BJ59" s="37">
        <f>IFERROR(YHHistoricalPricesAdjusted!BJ59/YHHistoricalPricesAdjusted!BJ58-1,  "")</f>
        <v>-2.8818451405737355E-2</v>
      </c>
      <c r="BK59" s="37">
        <f>IFERROR(YHHistoricalPricesAdjusted!BK59/YHHistoricalPricesAdjusted!BK58-1,  "")</f>
        <v>5.5936364995435639E-2</v>
      </c>
      <c r="BL59" s="37">
        <f>IFERROR(YHHistoricalPricesAdjusted!BL59/YHHistoricalPricesAdjusted!BL58-1,  "")</f>
        <v>9.6665140448624509E-2</v>
      </c>
      <c r="BM59" s="37">
        <f>IFERROR(YHHistoricalPricesAdjusted!BM59/YHHistoricalPricesAdjusted!BM58-1,  "")</f>
        <v>1.7073529659697995E-2</v>
      </c>
      <c r="BN59" s="37">
        <f>IFERROR(YHHistoricalPricesAdjusted!BN59/YHHistoricalPricesAdjusted!BN58-1,  "")</f>
        <v>7.7423604769808252E-2</v>
      </c>
      <c r="BO59" s="37">
        <f>IFERROR(YHHistoricalPricesAdjusted!BO59/YHHistoricalPricesAdjusted!BO58-1,  "")</f>
        <v>6.3467364349585997E-2</v>
      </c>
      <c r="BP59" s="37">
        <f>IFERROR(YHHistoricalPricesAdjusted!BP59/YHHistoricalPricesAdjusted!BP58-1,  "")</f>
        <v>6.0682087675209218E-2</v>
      </c>
      <c r="BQ59" s="37">
        <f>IFERROR(YHHistoricalPricesAdjusted!BQ59/YHHistoricalPricesAdjusted!BQ58-1,  "")</f>
        <v>5.266921640597122E-2</v>
      </c>
      <c r="BR59" s="37">
        <f>IFERROR(YHHistoricalPricesAdjusted!BR59/YHHistoricalPricesAdjusted!BR58-1,  "")</f>
        <v>5.5486994409524426E-2</v>
      </c>
      <c r="BS59" s="37">
        <f>IFERROR(YHHistoricalPricesAdjusted!BS59/YHHistoricalPricesAdjusted!BS58-1,  "")</f>
        <v>6.9113945689900369E-2</v>
      </c>
      <c r="BT59" s="37">
        <f>IFERROR(YHHistoricalPricesAdjusted!BT59/YHHistoricalPricesAdjusted!BT58-1,  "")</f>
        <v>6.8244574171218098E-2</v>
      </c>
      <c r="BU59" s="37">
        <f>IFERROR(YHHistoricalPricesAdjusted!BU59/YHHistoricalPricesAdjusted!BU58-1,  "")</f>
        <v>-9.5732200916473387E-2</v>
      </c>
      <c r="BV59" s="37">
        <f>IFERROR(YHHistoricalPricesAdjusted!BV59/YHHistoricalPricesAdjusted!BV58-1,  "")</f>
        <v>0.11666005275092006</v>
      </c>
      <c r="BW59" s="37">
        <f>IFERROR(YHHistoricalPricesAdjusted!BW59/YHHistoricalPricesAdjusted!BW58-1,  "")</f>
        <v>0.19459048601798234</v>
      </c>
      <c r="BX59" s="37">
        <f>IFERROR(YHHistoricalPricesAdjusted!BX59/YHHistoricalPricesAdjusted!BX58-1,  "")</f>
        <v>-3.2733925544874864E-2</v>
      </c>
      <c r="BY59" s="37">
        <f>IFERROR(YHHistoricalPricesAdjusted!BY59/YHHistoricalPricesAdjusted!BY58-1,  "")</f>
        <v>9.548274663846601E-2</v>
      </c>
      <c r="BZ59" s="37">
        <f>IFERROR(YHHistoricalPricesAdjusted!BZ59/YHHistoricalPricesAdjusted!BZ58-1,  "")</f>
        <v>6.2473507813590956E-2</v>
      </c>
      <c r="CA59" s="37">
        <f>IFERROR(YHHistoricalPricesAdjusted!CA59/YHHistoricalPricesAdjusted!CA58-1,  "")</f>
        <v>8.9933257352216689E-2</v>
      </c>
      <c r="CB59" s="37">
        <f>IFERROR(YHHistoricalPricesAdjusted!CB59/YHHistoricalPricesAdjusted!CB58-1,  "")</f>
        <v>0.11390860961683513</v>
      </c>
      <c r="CC59" s="37">
        <f>IFERROR(YHHistoricalPricesAdjusted!CC59/YHHistoricalPricesAdjusted!CC58-1,  "")</f>
        <v>0.15684947455916243</v>
      </c>
      <c r="CD59" s="37">
        <f>IFERROR(YHHistoricalPricesAdjusted!CD59/YHHistoricalPricesAdjusted!CD58-1,  "")</f>
        <v>5.378359728985771E-2</v>
      </c>
      <c r="CE59" s="37">
        <f>IFERROR(YHHistoricalPricesAdjusted!CE59/YHHistoricalPricesAdjusted!CE58-1,  "")</f>
        <v>8.7126218475823247E-2</v>
      </c>
      <c r="CF59" s="37">
        <f>IFERROR(YHHistoricalPricesAdjusted!CF59/YHHistoricalPricesAdjusted!CF58-1,  "")</f>
        <v>0.12662086821149909</v>
      </c>
    </row>
    <row r="60" spans="1:84" x14ac:dyDescent="0.25">
      <c r="A60" s="17">
        <v>43069</v>
      </c>
      <c r="B60" s="37">
        <f>IFERROR(YHHistoricalPricesAdjusted!B60/YHHistoricalPricesAdjusted!B59-1,  "")</f>
        <v>1.6623343509892141E-2</v>
      </c>
      <c r="C60" s="37">
        <f>IFERROR(YHHistoricalPricesAdjusted!C60/YHHistoricalPricesAdjusted!C59-1,  "")</f>
        <v>-9.2757841266416063E-2</v>
      </c>
      <c r="D60" s="37">
        <f>IFERROR(YHHistoricalPricesAdjusted!D60/YHHistoricalPricesAdjusted!D59-1,  "")</f>
        <v>-3.206546584357195E-2</v>
      </c>
      <c r="E60" s="37">
        <f>IFERROR(YHHistoricalPricesAdjusted!E60/YHHistoricalPricesAdjusted!E59-1,  "")</f>
        <v>7.1669622693621537E-2</v>
      </c>
      <c r="F60" s="37">
        <f>IFERROR(YHHistoricalPricesAdjusted!F60/YHHistoricalPricesAdjusted!F59-1,  "")</f>
        <v>3.0315683751999778E-2</v>
      </c>
      <c r="G60" s="37">
        <f>IFERROR(YHHistoricalPricesAdjusted!G60/YHHistoricalPricesAdjusted!G59-1,  "")</f>
        <v>0.11361822341643957</v>
      </c>
      <c r="H60" s="37">
        <f>IFERROR(YHHistoricalPricesAdjusted!H60/YHHistoricalPricesAdjusted!H59-1,  "")</f>
        <v>-4.5672099103345465E-3</v>
      </c>
      <c r="I60" s="37">
        <f>IFERROR(YHHistoricalPricesAdjusted!I60/YHHistoricalPricesAdjusted!I59-1,  "")</f>
        <v>3.3962345890802714E-2</v>
      </c>
      <c r="J60" s="37">
        <f>IFERROR(YHHistoricalPricesAdjusted!J60/YHHistoricalPricesAdjusted!J59-1,  "")</f>
        <v>4.0238406196120291E-2</v>
      </c>
      <c r="K60" s="37">
        <f>IFERROR(YHHistoricalPricesAdjusted!K60/YHHistoricalPricesAdjusted!K59-1,  "")</f>
        <v>1.8870935483870976E-2</v>
      </c>
      <c r="L60" s="37">
        <f>IFERROR(YHHistoricalPricesAdjusted!L60/YHHistoricalPricesAdjusted!L59-1,  "")</f>
        <v>-4.5672099103345465E-3</v>
      </c>
      <c r="M60" s="37">
        <f>IFERROR(YHHistoricalPricesAdjusted!M60/YHHistoricalPricesAdjusted!M59-1,  "")</f>
        <v>5.7062432218663472E-2</v>
      </c>
      <c r="N60" s="37">
        <f>IFERROR(YHHistoricalPricesAdjusted!N60/YHHistoricalPricesAdjusted!N59-1,  "")</f>
        <v>7.2370501348826277E-2</v>
      </c>
      <c r="O60" s="37">
        <f>IFERROR(YHHistoricalPricesAdjusted!O60/YHHistoricalPricesAdjusted!O59-1,  "")</f>
        <v>-6.841007772572627E-2</v>
      </c>
      <c r="P60" s="37">
        <f>IFERROR(YHHistoricalPricesAdjusted!P60/YHHistoricalPricesAdjusted!P59-1,  "")</f>
        <v>-7.1983109718543048E-4</v>
      </c>
      <c r="Q60" s="37">
        <f>IFERROR(YHHistoricalPricesAdjusted!Q60/YHHistoricalPricesAdjusted!Q59-1,  "")</f>
        <v>2.6749499553629263E-2</v>
      </c>
      <c r="R60" s="37">
        <f>IFERROR(YHHistoricalPricesAdjusted!R60/YHHistoricalPricesAdjusted!R59-1,  "")</f>
        <v>1.0806083347731477E-2</v>
      </c>
      <c r="S60" s="37">
        <f>IFERROR(YHHistoricalPricesAdjusted!S60/YHHistoricalPricesAdjusted!S59-1,  "")</f>
        <v>0.15333884125237418</v>
      </c>
      <c r="T60" s="37">
        <f>IFERROR(YHHistoricalPricesAdjusted!T60/YHHistoricalPricesAdjusted!T59-1,  "")</f>
        <v>7.9365184282873535E-3</v>
      </c>
      <c r="U60" s="37">
        <f>IFERROR(YHHistoricalPricesAdjusted!U60/YHHistoricalPricesAdjusted!U59-1,  "")</f>
        <v>-4.6632095132872808E-2</v>
      </c>
      <c r="V60" s="37">
        <f>IFERROR(YHHistoricalPricesAdjusted!V60/YHHistoricalPricesAdjusted!V59-1,  "")</f>
        <v>-1.8364510265298728E-2</v>
      </c>
      <c r="W60" s="37">
        <f>IFERROR(YHHistoricalPricesAdjusted!W60/YHHistoricalPricesAdjusted!W59-1,  "")</f>
        <v>8.7287413141031278E-2</v>
      </c>
      <c r="X60" s="37">
        <f>IFERROR(YHHistoricalPricesAdjusted!X60/YHHistoricalPricesAdjusted!X59-1,  "")</f>
        <v>-7.2273983154762522E-3</v>
      </c>
      <c r="Y60" s="37">
        <f>IFERROR(YHHistoricalPricesAdjusted!Y60/YHHistoricalPricesAdjusted!Y59-1,  "")</f>
        <v>-5.7375133057768757E-4</v>
      </c>
      <c r="Z60" s="37">
        <f>IFERROR(YHHistoricalPricesAdjusted!Z60/YHHistoricalPricesAdjusted!Z59-1,  "")</f>
        <v>3.42269289121373E-2</v>
      </c>
      <c r="AA60" s="37">
        <f>IFERROR(YHHistoricalPricesAdjusted!AA60/YHHistoricalPricesAdjusted!AA59-1,  "")</f>
        <v>3.2674256515101696E-3</v>
      </c>
      <c r="AB60" s="37">
        <f>IFERROR(YHHistoricalPricesAdjusted!AB60/YHHistoricalPricesAdjusted!AB59-1,  "")</f>
        <v>4.3288035109727563E-3</v>
      </c>
      <c r="AC60" s="37">
        <f>IFERROR(YHHistoricalPricesAdjusted!AC60/YHHistoricalPricesAdjusted!AC59-1,  "")</f>
        <v>0.12359542230510523</v>
      </c>
      <c r="AD60" s="37">
        <f>IFERROR(YHHistoricalPricesAdjusted!AD60/YHHistoricalPricesAdjusted!AD59-1,  "")</f>
        <v>5.5014637594091642E-2</v>
      </c>
      <c r="AE60" s="37">
        <f>IFERROR(YHHistoricalPricesAdjusted!AE60/YHHistoricalPricesAdjusted!AE59-1,  "")</f>
        <v>9.6129601016261113E-2</v>
      </c>
      <c r="AF60" s="37">
        <f>IFERROR(YHHistoricalPricesAdjusted!AF60/YHHistoricalPricesAdjusted!AF59-1,  "")</f>
        <v>-4.5543453932457845E-2</v>
      </c>
      <c r="AG60" s="37">
        <f>IFERROR(YHHistoricalPricesAdjusted!AG60/YHHistoricalPricesAdjusted!AG59-1,  "")</f>
        <v>-1.9184104521888901E-2</v>
      </c>
      <c r="AH60" s="37">
        <f>IFERROR(YHHistoricalPricesAdjusted!AH60/YHHistoricalPricesAdjusted!AH59-1,  "")</f>
        <v>8.4690624171844586E-2</v>
      </c>
      <c r="AI60" s="37">
        <f>IFERROR(YHHistoricalPricesAdjusted!AI60/YHHistoricalPricesAdjusted!AI59-1,  "")</f>
        <v>6.2939415705660195E-2</v>
      </c>
      <c r="AJ60" s="37">
        <f>IFERROR(YHHistoricalPricesAdjusted!AJ60/YHHistoricalPricesAdjusted!AJ59-1,  "")</f>
        <v>-1.7327211654144414E-2</v>
      </c>
      <c r="AK60" s="37">
        <f>IFERROR(YHHistoricalPricesAdjusted!AK60/YHHistoricalPricesAdjusted!AK59-1,  "")</f>
        <v>5.1848369906183578E-2</v>
      </c>
      <c r="AL60" s="37">
        <f>IFERROR(YHHistoricalPricesAdjusted!AL60/YHHistoricalPricesAdjusted!AL59-1,  "")</f>
        <v>5.522574707043959E-2</v>
      </c>
      <c r="AM60" s="37">
        <f>IFERROR(YHHistoricalPricesAdjusted!AM60/YHHistoricalPricesAdjusted!AM59-1,  "")</f>
        <v>-0.20300248732051118</v>
      </c>
      <c r="AN60" s="37">
        <f>IFERROR(YHHistoricalPricesAdjusted!AN60/YHHistoricalPricesAdjusted!AN59-1,  "")</f>
        <v>0.1548037602619925</v>
      </c>
      <c r="AO60" s="37">
        <f>IFERROR(YHHistoricalPricesAdjusted!AO60/YHHistoricalPricesAdjusted!AO59-1,  "")</f>
        <v>9.2495104430891484E-2</v>
      </c>
      <c r="AP60" s="37">
        <f>IFERROR(YHHistoricalPricesAdjusted!AP60/YHHistoricalPricesAdjusted!AP59-1,  "")</f>
        <v>1.726782972562102E-2</v>
      </c>
      <c r="AQ60" s="37">
        <f>IFERROR(YHHistoricalPricesAdjusted!AQ60/YHHistoricalPricesAdjusted!AQ59-1,  "")</f>
        <v>0.11949254033451728</v>
      </c>
      <c r="AR60" s="37">
        <f>IFERROR(YHHistoricalPricesAdjusted!AR60/YHHistoricalPricesAdjusted!AR59-1,  "")</f>
        <v>7.3302317390074645E-2</v>
      </c>
      <c r="AS60" s="37">
        <f>IFERROR(YHHistoricalPricesAdjusted!AS60/YHHistoricalPricesAdjusted!AS59-1,  "")</f>
        <v>8.5714148402727508E-2</v>
      </c>
      <c r="AT60" s="37">
        <f>IFERROR(YHHistoricalPricesAdjusted!AT60/YHHistoricalPricesAdjusted!AT59-1,  "")</f>
        <v>7.0744155550318544E-2</v>
      </c>
      <c r="AU60" s="37">
        <f>IFERROR(YHHistoricalPricesAdjusted!AU60/YHHistoricalPricesAdjusted!AU59-1,  "")</f>
        <v>4.3299937187310178E-2</v>
      </c>
      <c r="AV60" s="37">
        <f>IFERROR(YHHistoricalPricesAdjusted!AV60/YHHistoricalPricesAdjusted!AV59-1,  "")</f>
        <v>2.0799747505876764E-2</v>
      </c>
      <c r="AW60" s="37">
        <f>IFERROR(YHHistoricalPricesAdjusted!AW60/YHHistoricalPricesAdjusted!AW59-1,  "")</f>
        <v>1.4315928932865152E-2</v>
      </c>
      <c r="AX60" s="37">
        <f>IFERROR(YHHistoricalPricesAdjusted!AX60/YHHistoricalPricesAdjusted!AX59-1,  "")</f>
        <v>9.8516805341322122E-3</v>
      </c>
      <c r="AY60" s="37">
        <f>IFERROR(YHHistoricalPricesAdjusted!AY60/YHHistoricalPricesAdjusted!AY59-1,  "")</f>
        <v>-1.9157118506066495E-2</v>
      </c>
      <c r="AZ60" s="37">
        <f>IFERROR(YHHistoricalPricesAdjusted!AZ60/YHHistoricalPricesAdjusted!AZ59-1,  "")</f>
        <v>2.9702115099490722E-2</v>
      </c>
      <c r="BA60" s="37">
        <f>IFERROR(YHHistoricalPricesAdjusted!BA60/YHHistoricalPricesAdjusted!BA59-1,  "")</f>
        <v>4.6261142227590923E-2</v>
      </c>
      <c r="BB60" s="37">
        <f>IFERROR(YHHistoricalPricesAdjusted!BB60/YHHistoricalPricesAdjusted!BB59-1,  "")</f>
        <v>4.4935457228425735E-2</v>
      </c>
      <c r="BC60" s="37">
        <f>IFERROR(YHHistoricalPricesAdjusted!BC60/YHHistoricalPricesAdjusted!BC59-1,  "")</f>
        <v>2.8477593954147729E-2</v>
      </c>
      <c r="BD60" s="37">
        <f>IFERROR(YHHistoricalPricesAdjusted!BD60/YHHistoricalPricesAdjusted!BD59-1,  "")</f>
        <v>2.3731489304668063E-2</v>
      </c>
      <c r="BE60" s="37">
        <f>IFERROR(YHHistoricalPricesAdjusted!BE60/YHHistoricalPricesAdjusted!BE59-1,  "")</f>
        <v>2.7210986455777686E-2</v>
      </c>
      <c r="BF60" s="37">
        <f>IFERROR(YHHistoricalPricesAdjusted!BF60/YHHistoricalPricesAdjusted!BF59-1,  "")</f>
        <v>2.1280057021347165E-2</v>
      </c>
      <c r="BG60" s="37">
        <f>IFERROR(YHHistoricalPricesAdjusted!BG60/YHHistoricalPricesAdjusted!BG59-1,  "")</f>
        <v>1.4159682810781948E-2</v>
      </c>
      <c r="BH60" s="37">
        <f>IFERROR(YHHistoricalPricesAdjusted!BH60/YHHistoricalPricesAdjusted!BH59-1,  "")</f>
        <v>5.8781540921302167E-3</v>
      </c>
      <c r="BI60" s="37">
        <f>IFERROR(YHHistoricalPricesAdjusted!BI60/YHHistoricalPricesAdjusted!BI59-1,  "")</f>
        <v>1.2995520498120472E-2</v>
      </c>
      <c r="BJ60" s="37">
        <f>IFERROR(YHHistoricalPricesAdjusted!BJ60/YHHistoricalPricesAdjusted!BJ59-1,  "")</f>
        <v>-2.8694608523188725E-2</v>
      </c>
      <c r="BK60" s="37">
        <f>IFERROR(YHHistoricalPricesAdjusted!BK60/YHHistoricalPricesAdjusted!BK59-1,  "")</f>
        <v>2.6876270636573496E-2</v>
      </c>
      <c r="BL60" s="37">
        <f>IFERROR(YHHistoricalPricesAdjusted!BL60/YHHistoricalPricesAdjusted!BL59-1,  "")</f>
        <v>5.625785987859877E-2</v>
      </c>
      <c r="BM60" s="37">
        <f>IFERROR(YHHistoricalPricesAdjusted!BM60/YHHistoricalPricesAdjusted!BM59-1,  "")</f>
        <v>8.1853508834892841E-2</v>
      </c>
      <c r="BN60" s="37">
        <f>IFERROR(YHHistoricalPricesAdjusted!BN60/YHHistoricalPricesAdjusted!BN59-1,  "")</f>
        <v>2.2650871277970053E-2</v>
      </c>
      <c r="BO60" s="37">
        <f>IFERROR(YHHistoricalPricesAdjusted!BO60/YHHistoricalPricesAdjusted!BO59-1,  "")</f>
        <v>8.1331434825747451E-2</v>
      </c>
      <c r="BP60" s="37">
        <f>IFERROR(YHHistoricalPricesAdjusted!BP60/YHHistoricalPricesAdjusted!BP59-1,  "")</f>
        <v>3.6468713728527336E-2</v>
      </c>
      <c r="BQ60" s="37">
        <f>IFERROR(YHHistoricalPricesAdjusted!BQ60/YHHistoricalPricesAdjusted!BQ59-1,  "")</f>
        <v>-5.3595706275922028E-2</v>
      </c>
      <c r="BR60" s="37">
        <f>IFERROR(YHHistoricalPricesAdjusted!BR60/YHHistoricalPricesAdjusted!BR59-1,  "")</f>
        <v>6.055692792993761E-2</v>
      </c>
      <c r="BS60" s="37">
        <f>IFERROR(YHHistoricalPricesAdjusted!BS60/YHHistoricalPricesAdjusted!BS59-1,  "")</f>
        <v>1.318176403832183E-2</v>
      </c>
      <c r="BT60" s="37">
        <f>IFERROR(YHHistoricalPricesAdjusted!BT60/YHHistoricalPricesAdjusted!BT59-1,  "")</f>
        <v>-4.8883508041788315E-2</v>
      </c>
      <c r="BU60" s="37">
        <f>IFERROR(YHHistoricalPricesAdjusted!BU60/YHHistoricalPricesAdjusted!BU59-1,  "")</f>
        <v>0.10025879896015888</v>
      </c>
      <c r="BV60" s="37">
        <f>IFERROR(YHHistoricalPricesAdjusted!BV60/YHHistoricalPricesAdjusted!BV59-1,  "")</f>
        <v>1.1901883745270903E-2</v>
      </c>
      <c r="BW60" s="37">
        <f>IFERROR(YHHistoricalPricesAdjusted!BW60/YHHistoricalPricesAdjusted!BW59-1,  "")</f>
        <v>-1.4288933819884608E-2</v>
      </c>
      <c r="BX60" s="37">
        <f>IFERROR(YHHistoricalPricesAdjusted!BX60/YHHistoricalPricesAdjusted!BX59-1,  "")</f>
        <v>7.584111426876583E-2</v>
      </c>
      <c r="BY60" s="37">
        <f>IFERROR(YHHistoricalPricesAdjusted!BY60/YHHistoricalPricesAdjusted!BY59-1,  "")</f>
        <v>4.5827664484176855E-2</v>
      </c>
      <c r="BZ60" s="37">
        <f>IFERROR(YHHistoricalPricesAdjusted!BZ60/YHHistoricalPricesAdjusted!BZ59-1,  "")</f>
        <v>4.3904021341505839E-2</v>
      </c>
      <c r="CA60" s="37">
        <f>IFERROR(YHHistoricalPricesAdjusted!CA60/YHHistoricalPricesAdjusted!CA59-1,  "")</f>
        <v>4.9077215110862937E-2</v>
      </c>
      <c r="CB60" s="37">
        <f>IFERROR(YHHistoricalPricesAdjusted!CB60/YHHistoricalPricesAdjusted!CB59-1,  "")</f>
        <v>8.3973333422475926E-2</v>
      </c>
      <c r="CC60" s="37">
        <f>IFERROR(YHHistoricalPricesAdjusted!CC60/YHHistoricalPricesAdjusted!CC59-1,  "")</f>
        <v>2.3209776038609409E-2</v>
      </c>
      <c r="CD60" s="37">
        <f>IFERROR(YHHistoricalPricesAdjusted!CD60/YHHistoricalPricesAdjusted!CD59-1,  "")</f>
        <v>-1.5994696390033369E-2</v>
      </c>
      <c r="CE60" s="37">
        <f>IFERROR(YHHistoricalPricesAdjusted!CE60/YHHistoricalPricesAdjusted!CE59-1,  "")</f>
        <v>-4.6403110555114369E-3</v>
      </c>
      <c r="CF60" s="37">
        <f>IFERROR(YHHistoricalPricesAdjusted!CF60/YHHistoricalPricesAdjusted!CF59-1,  "")</f>
        <v>-4.3331120665061507E-2</v>
      </c>
    </row>
    <row r="61" spans="1:84" x14ac:dyDescent="0.25">
      <c r="A61" s="17">
        <v>43100</v>
      </c>
      <c r="B61" s="37">
        <f>IFERROR(YHHistoricalPricesAdjusted!B61/YHHistoricalPricesAdjusted!B60-1,  "")</f>
        <v>-1.1705777261996397E-2</v>
      </c>
      <c r="C61" s="37">
        <f>IFERROR(YHHistoricalPricesAdjusted!C61/YHHistoricalPricesAdjusted!C60-1,  "")</f>
        <v>-4.5926784656754371E-2</v>
      </c>
      <c r="D61" s="37">
        <f>IFERROR(YHHistoricalPricesAdjusted!D61/YHHistoricalPricesAdjusted!D60-1,  "")</f>
        <v>3.9119469873282187E-2</v>
      </c>
      <c r="E61" s="37">
        <f>IFERROR(YHHistoricalPricesAdjusted!E61/YHHistoricalPricesAdjusted!E60-1,  "")</f>
        <v>2.5663039485884553E-2</v>
      </c>
      <c r="F61" s="37">
        <f>IFERROR(YHHistoricalPricesAdjusted!F61/YHHistoricalPricesAdjusted!F60-1,  "")</f>
        <v>6.8389460735149843E-3</v>
      </c>
      <c r="G61" s="37">
        <f>IFERROR(YHHistoricalPricesAdjusted!G61/YHHistoricalPricesAdjusted!G60-1,  "")</f>
        <v>1.5632918697275899E-2</v>
      </c>
      <c r="H61" s="37">
        <f>IFERROR(YHHistoricalPricesAdjusted!H61/YHHistoricalPricesAdjusted!H60-1,  "")</f>
        <v>1.0621600917375185E-2</v>
      </c>
      <c r="I61" s="37">
        <f>IFERROR(YHHistoricalPricesAdjusted!I61/YHHistoricalPricesAdjusted!I60-1,  "")</f>
        <v>1.9397746596661714E-2</v>
      </c>
      <c r="J61" s="37">
        <f>IFERROR(YHHistoricalPricesAdjusted!J61/YHHistoricalPricesAdjusted!J60-1,  "")</f>
        <v>3.5105491426180135E-2</v>
      </c>
      <c r="K61" s="37">
        <f>IFERROR(YHHistoricalPricesAdjusted!K61/YHHistoricalPricesAdjusted!K60-1,  "")</f>
        <v>6.5695902032480991E-3</v>
      </c>
      <c r="L61" s="37">
        <f>IFERROR(YHHistoricalPricesAdjusted!L61/YHHistoricalPricesAdjusted!L60-1,  "")</f>
        <v>1.0621600917375185E-2</v>
      </c>
      <c r="M61" s="37">
        <f>IFERROR(YHHistoricalPricesAdjusted!M61/YHHistoricalPricesAdjusted!M60-1,  "")</f>
        <v>3.6319496002895635E-2</v>
      </c>
      <c r="N61" s="37">
        <f>IFERROR(YHHistoricalPricesAdjusted!N61/YHHistoricalPricesAdjusted!N60-1,  "")</f>
        <v>2.219566231889103E-2</v>
      </c>
      <c r="O61" s="37">
        <f>IFERROR(YHHistoricalPricesAdjusted!O61/YHHistoricalPricesAdjusted!O60-1,  "")</f>
        <v>8.0945441199051782E-3</v>
      </c>
      <c r="P61" s="37">
        <f>IFERROR(YHHistoricalPricesAdjusted!P61/YHHistoricalPricesAdjusted!P60-1,  "")</f>
        <v>1.3495826039935155E-2</v>
      </c>
      <c r="Q61" s="37">
        <f>IFERROR(YHHistoricalPricesAdjusted!Q61/YHHistoricalPricesAdjusted!Q60-1,  "")</f>
        <v>6.1954163910782567E-2</v>
      </c>
      <c r="R61" s="37">
        <f>IFERROR(YHHistoricalPricesAdjusted!R61/YHHistoricalPricesAdjusted!R60-1,  "")</f>
        <v>2.8854331687386381E-2</v>
      </c>
      <c r="S61" s="37">
        <f>IFERROR(YHHistoricalPricesAdjusted!S61/YHHistoricalPricesAdjusted!S60-1,  "")</f>
        <v>9.0233118824760483E-2</v>
      </c>
      <c r="T61" s="37">
        <f>IFERROR(YHHistoricalPricesAdjusted!T61/YHHistoricalPricesAdjusted!T60-1,  "")</f>
        <v>2.7054431382987021E-2</v>
      </c>
      <c r="U61" s="37">
        <f>IFERROR(YHHistoricalPricesAdjusted!U61/YHHistoricalPricesAdjusted!U60-1,  "")</f>
        <v>-4.7870806665108123E-2</v>
      </c>
      <c r="V61" s="37">
        <f>IFERROR(YHHistoricalPricesAdjusted!V61/YHHistoricalPricesAdjusted!V60-1,  "")</f>
        <v>-1.318234230997084E-2</v>
      </c>
      <c r="W61" s="37">
        <f>IFERROR(YHHistoricalPricesAdjusted!W61/YHHistoricalPricesAdjusted!W60-1,  "")</f>
        <v>5.6401870001244525E-2</v>
      </c>
      <c r="X61" s="37">
        <f>IFERROR(YHHistoricalPricesAdjusted!X61/YHHistoricalPricesAdjusted!X60-1,  "")</f>
        <v>8.7662808496815181E-2</v>
      </c>
      <c r="Y61" s="37">
        <f>IFERROR(YHHistoricalPricesAdjusted!Y61/YHHistoricalPricesAdjusted!Y60-1,  "")</f>
        <v>8.9399731299646401E-3</v>
      </c>
      <c r="Z61" s="37">
        <f>IFERROR(YHHistoricalPricesAdjusted!Z61/YHHistoricalPricesAdjusted!Z60-1,  "")</f>
        <v>8.024472667017335E-3</v>
      </c>
      <c r="AA61" s="37">
        <f>IFERROR(YHHistoricalPricesAdjusted!AA61/YHHistoricalPricesAdjusted!AA60-1,  "")</f>
        <v>1.8093019380183373E-2</v>
      </c>
      <c r="AB61" s="37">
        <f>IFERROR(YHHistoricalPricesAdjusted!AB61/YHHistoricalPricesAdjusted!AB60-1,  "")</f>
        <v>4.7716373408495105E-2</v>
      </c>
      <c r="AC61" s="37">
        <f>IFERROR(YHHistoricalPricesAdjusted!AC61/YHHistoricalPricesAdjusted!AC60-1,  "")</f>
        <v>3.3411709712208193E-2</v>
      </c>
      <c r="AD61" s="37">
        <f>IFERROR(YHHistoricalPricesAdjusted!AD61/YHHistoricalPricesAdjusted!AD60-1,  "")</f>
        <v>4.7121079899167029E-2</v>
      </c>
      <c r="AE61" s="37">
        <f>IFERROR(YHHistoricalPricesAdjusted!AE61/YHHistoricalPricesAdjusted!AE60-1,  "")</f>
        <v>0.13816440733270219</v>
      </c>
      <c r="AF61" s="37">
        <f>IFERROR(YHHistoricalPricesAdjusted!AF61/YHHistoricalPricesAdjusted!AF60-1,  "")</f>
        <v>-2.4137967638267477E-2</v>
      </c>
      <c r="AG61" s="37">
        <f>IFERROR(YHHistoricalPricesAdjusted!AG61/YHHistoricalPricesAdjusted!AG60-1,  "")</f>
        <v>-5.5143608046248183E-2</v>
      </c>
      <c r="AH61" s="37">
        <f>IFERROR(YHHistoricalPricesAdjusted!AH61/YHHistoricalPricesAdjusted!AH60-1,  "")</f>
        <v>5.9337946937492614E-2</v>
      </c>
      <c r="AI61" s="37">
        <f>IFERROR(YHHistoricalPricesAdjusted!AI61/YHHistoricalPricesAdjusted!AI60-1,  "")</f>
        <v>7.1548509181128761E-2</v>
      </c>
      <c r="AJ61" s="37">
        <f>IFERROR(YHHistoricalPricesAdjusted!AJ61/YHHistoricalPricesAdjusted!AJ60-1,  "")</f>
        <v>-1.98773196937998E-2</v>
      </c>
      <c r="AK61" s="37">
        <f>IFERROR(YHHistoricalPricesAdjusted!AK61/YHHistoricalPricesAdjusted!AK60-1,  "")</f>
        <v>3.6446518710818054E-2</v>
      </c>
      <c r="AL61" s="37">
        <f>IFERROR(YHHistoricalPricesAdjusted!AL61/YHHistoricalPricesAdjusted!AL60-1,  "")</f>
        <v>8.2679856092773063E-2</v>
      </c>
      <c r="AM61" s="37">
        <f>IFERROR(YHHistoricalPricesAdjusted!AM61/YHHistoricalPricesAdjusted!AM60-1,  "")</f>
        <v>0.35348134250966345</v>
      </c>
      <c r="AN61" s="37">
        <f>IFERROR(YHHistoricalPricesAdjusted!AN61/YHHistoricalPricesAdjusted!AN60-1,  "")</f>
        <v>1.6307346632812969E-2</v>
      </c>
      <c r="AO61" s="37">
        <f>IFERROR(YHHistoricalPricesAdjusted!AO61/YHHistoricalPricesAdjusted!AO60-1,  "")</f>
        <v>6.6046412241246522E-2</v>
      </c>
      <c r="AP61" s="37">
        <f>IFERROR(YHHistoricalPricesAdjusted!AP61/YHHistoricalPricesAdjusted!AP60-1,  "")</f>
        <v>1.5040775767247938E-2</v>
      </c>
      <c r="AQ61" s="37">
        <f>IFERROR(YHHistoricalPricesAdjusted!AQ61/YHHistoricalPricesAdjusted!AQ60-1,  "")</f>
        <v>-5.0461628972947814E-2</v>
      </c>
      <c r="AR61" s="37">
        <f>IFERROR(YHHistoricalPricesAdjusted!AR61/YHHistoricalPricesAdjusted!AR60-1,  "")</f>
        <v>8.5656469760395648E-3</v>
      </c>
      <c r="AS61" s="37">
        <f>IFERROR(YHHistoricalPricesAdjusted!AS61/YHHistoricalPricesAdjusted!AS60-1,  "")</f>
        <v>-1.3452771880092529E-3</v>
      </c>
      <c r="AT61" s="37">
        <f>IFERROR(YHHistoricalPricesAdjusted!AT61/YHHistoricalPricesAdjusted!AT60-1,  "")</f>
        <v>3.8428990921163919E-2</v>
      </c>
      <c r="AU61" s="37">
        <f>IFERROR(YHHistoricalPricesAdjusted!AU61/YHHistoricalPricesAdjusted!AU60-1,  "")</f>
        <v>3.8520251670364214E-3</v>
      </c>
      <c r="AV61" s="37">
        <f>IFERROR(YHHistoricalPricesAdjusted!AV61/YHHistoricalPricesAdjusted!AV60-1,  "")</f>
        <v>-8.8927228771102373E-2</v>
      </c>
      <c r="AW61" s="37">
        <f>IFERROR(YHHistoricalPricesAdjusted!AW61/YHHistoricalPricesAdjusted!AW60-1,  "")</f>
        <v>-7.0822035840001352E-4</v>
      </c>
      <c r="AX61" s="37">
        <f>IFERROR(YHHistoricalPricesAdjusted!AX61/YHHistoricalPricesAdjusted!AX60-1,  "")</f>
        <v>-4.74923473179093E-2</v>
      </c>
      <c r="AY61" s="37">
        <f>IFERROR(YHHistoricalPricesAdjusted!AY61/YHHistoricalPricesAdjusted!AY60-1,  "")</f>
        <v>-5.0135247106642189E-2</v>
      </c>
      <c r="AZ61" s="37">
        <f>IFERROR(YHHistoricalPricesAdjusted!AZ61/YHHistoricalPricesAdjusted!AZ60-1,  "")</f>
        <v>-0.11629061333267687</v>
      </c>
      <c r="BA61" s="37">
        <f>IFERROR(YHHistoricalPricesAdjusted!BA61/YHHistoricalPricesAdjusted!BA60-1,  "")</f>
        <v>-5.2868437122388645E-2</v>
      </c>
      <c r="BB61" s="37">
        <f>IFERROR(YHHistoricalPricesAdjusted!BB61/YHHistoricalPricesAdjusted!BB60-1,  "")</f>
        <v>2.3153512507815055E-2</v>
      </c>
      <c r="BC61" s="37">
        <f>IFERROR(YHHistoricalPricesAdjusted!BC61/YHHistoricalPricesAdjusted!BC60-1,  "")</f>
        <v>5.238888002643427E-2</v>
      </c>
      <c r="BD61" s="37">
        <f>IFERROR(YHHistoricalPricesAdjusted!BD61/YHHistoricalPricesAdjusted!BD60-1,  "")</f>
        <v>1.4495337363095828E-2</v>
      </c>
      <c r="BE61" s="37">
        <f>IFERROR(YHHistoricalPricesAdjusted!BE61/YHHistoricalPricesAdjusted!BE60-1,  "")</f>
        <v>-1.0199150425398429E-2</v>
      </c>
      <c r="BF61" s="37">
        <f>IFERROR(YHHistoricalPricesAdjusted!BF61/YHHistoricalPricesAdjusted!BF60-1,  "")</f>
        <v>3.1984283487380694E-2</v>
      </c>
      <c r="BG61" s="37">
        <f>IFERROR(YHHistoricalPricesAdjusted!BG61/YHHistoricalPricesAdjusted!BG60-1,  "")</f>
        <v>-2.8467886143717536E-2</v>
      </c>
      <c r="BH61" s="37">
        <f>IFERROR(YHHistoricalPricesAdjusted!BH61/YHHistoricalPricesAdjusted!BH60-1,  "")</f>
        <v>8.1882148576224223E-2</v>
      </c>
      <c r="BI61" s="37">
        <f>IFERROR(YHHistoricalPricesAdjusted!BI61/YHHistoricalPricesAdjusted!BI60-1,  "")</f>
        <v>5.9147511666390873E-3</v>
      </c>
      <c r="BJ61" s="37">
        <f>IFERROR(YHHistoricalPricesAdjusted!BJ61/YHHistoricalPricesAdjusted!BJ60-1,  "")</f>
        <v>6.1538848718796224E-3</v>
      </c>
      <c r="BK61" s="37">
        <f>IFERROR(YHHistoricalPricesAdjusted!BK61/YHHistoricalPricesAdjusted!BK60-1,  "")</f>
        <v>1.6374971876956801E-2</v>
      </c>
      <c r="BL61" s="37">
        <f>IFERROR(YHHistoricalPricesAdjusted!BL61/YHHistoricalPricesAdjusted!BL60-1,  "")</f>
        <v>-2.7073368718458446E-2</v>
      </c>
      <c r="BM61" s="37">
        <f>IFERROR(YHHistoricalPricesAdjusted!BM61/YHHistoricalPricesAdjusted!BM60-1,  "")</f>
        <v>-1.1640453740608736E-2</v>
      </c>
      <c r="BN61" s="37">
        <f>IFERROR(YHHistoricalPricesAdjusted!BN61/YHHistoricalPricesAdjusted!BN60-1,  "")</f>
        <v>-1.6320383545709416E-2</v>
      </c>
      <c r="BO61" s="37">
        <f>IFERROR(YHHistoricalPricesAdjusted!BO61/YHHistoricalPricesAdjusted!BO60-1,  "")</f>
        <v>-1.4180227336482387E-2</v>
      </c>
      <c r="BP61" s="37">
        <f>IFERROR(YHHistoricalPricesAdjusted!BP61/YHHistoricalPricesAdjusted!BP60-1,  "")</f>
        <v>-3.0724942812690559E-2</v>
      </c>
      <c r="BQ61" s="37">
        <f>IFERROR(YHHistoricalPricesAdjusted!BQ61/YHHistoricalPricesAdjusted!BQ60-1,  "")</f>
        <v>6.2072139240479274E-2</v>
      </c>
      <c r="BR61" s="37">
        <f>IFERROR(YHHistoricalPricesAdjusted!BR61/YHHistoricalPricesAdjusted!BR60-1,  "")</f>
        <v>-2.6554581815414591E-2</v>
      </c>
      <c r="BS61" s="37">
        <f>IFERROR(YHHistoricalPricesAdjusted!BS61/YHHistoricalPricesAdjusted!BS60-1,  "")</f>
        <v>0.14054208839652493</v>
      </c>
      <c r="BT61" s="37">
        <f>IFERROR(YHHistoricalPricesAdjusted!BT61/YHHistoricalPricesAdjusted!BT60-1,  "")</f>
        <v>-5.9100770485859266E-2</v>
      </c>
      <c r="BU61" s="37">
        <f>IFERROR(YHHistoricalPricesAdjusted!BU61/YHHistoricalPricesAdjusted!BU60-1,  "")</f>
        <v>5.8265371508752439E-2</v>
      </c>
      <c r="BV61" s="37">
        <f>IFERROR(YHHistoricalPricesAdjusted!BV61/YHHistoricalPricesAdjusted!BV60-1,  "")</f>
        <v>2.1380524007427848E-2</v>
      </c>
      <c r="BW61" s="37">
        <f>IFERROR(YHHistoricalPricesAdjusted!BW61/YHHistoricalPricesAdjusted!BW60-1,  "")</f>
        <v>3.5527399305356422E-2</v>
      </c>
      <c r="BX61" s="37">
        <f>IFERROR(YHHistoricalPricesAdjusted!BX61/YHHistoricalPricesAdjusted!BX60-1,  "")</f>
        <v>4.0086542526801994E-2</v>
      </c>
      <c r="BY61" s="37">
        <f>IFERROR(YHHistoricalPricesAdjusted!BY61/YHHistoricalPricesAdjusted!BY60-1,  "")</f>
        <v>-4.4847202138159514E-2</v>
      </c>
      <c r="BZ61" s="37">
        <f>IFERROR(YHHistoricalPricesAdjusted!BZ61/YHHistoricalPricesAdjusted!BZ60-1,  "")</f>
        <v>3.561800524140013E-3</v>
      </c>
      <c r="CA61" s="37">
        <f>IFERROR(YHHistoricalPricesAdjusted!CA61/YHHistoricalPricesAdjusted!CA60-1,  "")</f>
        <v>-5.2540264238872481E-2</v>
      </c>
      <c r="CB61" s="37">
        <f>IFERROR(YHHistoricalPricesAdjusted!CB61/YHHistoricalPricesAdjusted!CB60-1,  "")</f>
        <v>-4.0488966320412212E-3</v>
      </c>
      <c r="CC61" s="37">
        <f>IFERROR(YHHistoricalPricesAdjusted!CC61/YHHistoricalPricesAdjusted!CC60-1,  "")</f>
        <v>-8.4946698285388367E-2</v>
      </c>
      <c r="CD61" s="37">
        <f>IFERROR(YHHistoricalPricesAdjusted!CD61/YHHistoricalPricesAdjusted!CD60-1,  "")</f>
        <v>-4.0635852152901553E-3</v>
      </c>
      <c r="CE61" s="37">
        <f>IFERROR(YHHistoricalPricesAdjusted!CE61/YHHistoricalPricesAdjusted!CE60-1,  "")</f>
        <v>-2.0512855370322214E-2</v>
      </c>
      <c r="CF61" s="37">
        <f>IFERROR(YHHistoricalPricesAdjusted!CF61/YHHistoricalPricesAdjusted!CF60-1,  "")</f>
        <v>-2.9959896908702488E-2</v>
      </c>
    </row>
    <row r="62" spans="1:84" x14ac:dyDescent="0.25">
      <c r="A62" s="17">
        <v>43131</v>
      </c>
      <c r="B62" s="37">
        <f>IFERROR(YHHistoricalPricesAdjusted!B62/YHHistoricalPricesAdjusted!B61-1,  "")</f>
        <v>-1.0636429857998619E-2</v>
      </c>
      <c r="C62" s="37">
        <f>IFERROR(YHHistoricalPricesAdjusted!C62/YHHistoricalPricesAdjusted!C61-1,  "")</f>
        <v>-6.060715934198535E-2</v>
      </c>
      <c r="D62" s="37">
        <f>IFERROR(YHHistoricalPricesAdjusted!D62/YHHistoricalPricesAdjusted!D61-1,  "")</f>
        <v>6.700554883312404E-2</v>
      </c>
      <c r="E62" s="37">
        <f>IFERROR(YHHistoricalPricesAdjusted!E62/YHHistoricalPricesAdjusted!E61-1,  "")</f>
        <v>1.8920893463215904E-2</v>
      </c>
      <c r="F62" s="37">
        <f>IFERROR(YHHistoricalPricesAdjusted!F62/YHHistoricalPricesAdjusted!F61-1,  "")</f>
        <v>-5.6936604168469351E-3</v>
      </c>
      <c r="G62" s="37">
        <f>IFERROR(YHHistoricalPricesAdjusted!G62/YHHistoricalPricesAdjusted!G61-1,  "")</f>
        <v>8.5182865337947167E-2</v>
      </c>
      <c r="H62" s="37">
        <f>IFERROR(YHHistoricalPricesAdjusted!H62/YHHistoricalPricesAdjusted!H61-1,  "")</f>
        <v>3.7271140130513025E-2</v>
      </c>
      <c r="I62" s="37">
        <f>IFERROR(YHHistoricalPricesAdjusted!I62/YHHistoricalPricesAdjusted!I61-1,  "")</f>
        <v>1.8702443320821605E-2</v>
      </c>
      <c r="J62" s="37">
        <f>IFERROR(YHHistoricalPricesAdjusted!J62/YHHistoricalPricesAdjusted!J61-1,  "")</f>
        <v>4.3116193127536118E-2</v>
      </c>
      <c r="K62" s="37">
        <f>IFERROR(YHHistoricalPricesAdjusted!K62/YHHistoricalPricesAdjusted!K61-1,  "")</f>
        <v>8.4532516859833429E-2</v>
      </c>
      <c r="L62" s="37">
        <f>IFERROR(YHHistoricalPricesAdjusted!L62/YHHistoricalPricesAdjusted!L61-1,  "")</f>
        <v>3.7271140130513025E-2</v>
      </c>
      <c r="M62" s="37">
        <f>IFERROR(YHHistoricalPricesAdjusted!M62/YHHistoricalPricesAdjusted!M61-1,  "")</f>
        <v>3.1688528980331476E-3</v>
      </c>
      <c r="N62" s="37">
        <f>IFERROR(YHHistoricalPricesAdjusted!N62/YHHistoricalPricesAdjusted!N61-1,  "")</f>
        <v>4.2590515629092884E-2</v>
      </c>
      <c r="O62" s="37">
        <f>IFERROR(YHHistoricalPricesAdjusted!O62/YHHistoricalPricesAdjusted!O61-1,  "")</f>
        <v>0.13797973718362488</v>
      </c>
      <c r="P62" s="37">
        <f>IFERROR(YHHistoricalPricesAdjusted!P62/YHHistoricalPricesAdjusted!P61-1,  "")</f>
        <v>4.3758997474350858E-2</v>
      </c>
      <c r="Q62" s="37">
        <f>IFERROR(YHHistoricalPricesAdjusted!Q62/YHHistoricalPricesAdjusted!Q61-1,  "")</f>
        <v>1.2780658435764813E-3</v>
      </c>
      <c r="R62" s="37">
        <f>IFERROR(YHHistoricalPricesAdjusted!R62/YHHistoricalPricesAdjusted!R61-1,  "")</f>
        <v>1.7242198448320201E-2</v>
      </c>
      <c r="S62" s="37">
        <f>IFERROR(YHHistoricalPricesAdjusted!S62/YHHistoricalPricesAdjusted!S61-1,  "")</f>
        <v>5.6979226438021335E-2</v>
      </c>
      <c r="T62" s="37">
        <f>IFERROR(YHHistoricalPricesAdjusted!T62/YHHistoricalPricesAdjusted!T61-1,  "")</f>
        <v>-1.0672643585802E-2</v>
      </c>
      <c r="U62" s="37">
        <f>IFERROR(YHHistoricalPricesAdjusted!U62/YHHistoricalPricesAdjusted!U61-1,  "")</f>
        <v>-0.12530183579990939</v>
      </c>
      <c r="V62" s="37">
        <f>IFERROR(YHHistoricalPricesAdjusted!V62/YHHistoricalPricesAdjusted!V61-1,  "")</f>
        <v>4.2986886048487882E-2</v>
      </c>
      <c r="W62" s="37">
        <f>IFERROR(YHHistoricalPricesAdjusted!W62/YHHistoricalPricesAdjusted!W61-1,  "")</f>
        <v>6.5029486671156267E-2</v>
      </c>
      <c r="X62" s="37">
        <f>IFERROR(YHHistoricalPricesAdjusted!X62/YHHistoricalPricesAdjusted!X61-1,  "")</f>
        <v>-0.15627628041058306</v>
      </c>
      <c r="Y62" s="37">
        <f>IFERROR(YHHistoricalPricesAdjusted!Y62/YHHistoricalPricesAdjusted!Y61-1,  "")</f>
        <v>-1.0950464243906777E-2</v>
      </c>
      <c r="Z62" s="37">
        <f>IFERROR(YHHistoricalPricesAdjusted!Z62/YHHistoricalPricesAdjusted!Z61-1,  "")</f>
        <v>2.26394535349288E-2</v>
      </c>
      <c r="AA62" s="37">
        <f>IFERROR(YHHistoricalPricesAdjusted!AA62/YHHistoricalPricesAdjusted!AA61-1,  "")</f>
        <v>6.1915419941605876E-2</v>
      </c>
      <c r="AB62" s="37">
        <f>IFERROR(YHHistoricalPricesAdjusted!AB62/YHHistoricalPricesAdjusted!AB61-1,  "")</f>
        <v>7.4027034045758278E-2</v>
      </c>
      <c r="AC62" s="37">
        <f>IFERROR(YHHistoricalPricesAdjusted!AC62/YHHistoricalPricesAdjusted!AC61-1,  "")</f>
        <v>0.15163950096368661</v>
      </c>
      <c r="AD62" s="37">
        <f>IFERROR(YHHistoricalPricesAdjusted!AD62/YHHistoricalPricesAdjusted!AD61-1,  "")</f>
        <v>7.190116561046489E-2</v>
      </c>
      <c r="AE62" s="37">
        <f>IFERROR(YHHistoricalPricesAdjusted!AE62/YHHistoricalPricesAdjusted!AE61-1,  "")</f>
        <v>-0.12808379441873186</v>
      </c>
      <c r="AF62" s="37">
        <f>IFERROR(YHHistoricalPricesAdjusted!AF62/YHHistoricalPricesAdjusted!AF61-1,  "")</f>
        <v>-2.884153403535028E-2</v>
      </c>
      <c r="AG62" s="37">
        <f>IFERROR(YHHistoricalPricesAdjusted!AG62/YHHistoricalPricesAdjusted!AG61-1,  "")</f>
        <v>0.10196833321917231</v>
      </c>
      <c r="AH62" s="37">
        <f>IFERROR(YHHistoricalPricesAdjusted!AH62/YHHistoricalPricesAdjusted!AH61-1,  "")</f>
        <v>5.999050883487933E-2</v>
      </c>
      <c r="AI62" s="37">
        <f>IFERROR(YHHistoricalPricesAdjusted!AI62/YHHistoricalPricesAdjusted!AI61-1,  "")</f>
        <v>8.5537562254977217E-2</v>
      </c>
      <c r="AJ62" s="37">
        <f>IFERROR(YHHistoricalPricesAdjusted!AJ62/YHHistoricalPricesAdjusted!AJ61-1,  "")</f>
        <v>6.8798468134042778E-2</v>
      </c>
      <c r="AK62" s="37">
        <f>IFERROR(YHHistoricalPricesAdjusted!AK62/YHHistoricalPricesAdjusted!AK61-1,  "")</f>
        <v>7.1286740988036001E-2</v>
      </c>
      <c r="AL62" s="37">
        <f>IFERROR(YHHistoricalPricesAdjusted!AL62/YHHistoricalPricesAdjusted!AL61-1,  "")</f>
        <v>5.6054133444815912E-2</v>
      </c>
      <c r="AM62" s="37">
        <f>IFERROR(YHHistoricalPricesAdjusted!AM62/YHHistoricalPricesAdjusted!AM61-1,  "")</f>
        <v>4.1279489700764893E-2</v>
      </c>
      <c r="AN62" s="37">
        <f>IFERROR(YHHistoricalPricesAdjusted!AN62/YHHistoricalPricesAdjusted!AN61-1,  "")</f>
        <v>0.10552087507824015</v>
      </c>
      <c r="AO62" s="37">
        <f>IFERROR(YHHistoricalPricesAdjusted!AO62/YHHistoricalPricesAdjusted!AO61-1,  "")</f>
        <v>-4.4743017428979792E-3</v>
      </c>
      <c r="AP62" s="37">
        <f>IFERROR(YHHistoricalPricesAdjusted!AP62/YHHistoricalPricesAdjusted!AP61-1,  "")</f>
        <v>0.15052932046025447</v>
      </c>
      <c r="AQ62" s="37">
        <f>IFERROR(YHHistoricalPricesAdjusted!AQ62/YHHistoricalPricesAdjusted!AQ61-1,  "")</f>
        <v>0.12362042391315953</v>
      </c>
      <c r="AR62" s="37">
        <f>IFERROR(YHHistoricalPricesAdjusted!AR62/YHHistoricalPricesAdjusted!AR61-1,  "")</f>
        <v>-4.6451372214739273E-2</v>
      </c>
      <c r="AS62" s="37">
        <f>IFERROR(YHHistoricalPricesAdjusted!AS62/YHHistoricalPricesAdjusted!AS61-1,  "")</f>
        <v>-0.10253576951963739</v>
      </c>
      <c r="AT62" s="37">
        <f>IFERROR(YHHistoricalPricesAdjusted!AT62/YHHistoricalPricesAdjusted!AT61-1,  "")</f>
        <v>-7.6981916418461194E-2</v>
      </c>
      <c r="AU62" s="37">
        <f>IFERROR(YHHistoricalPricesAdjusted!AU62/YHHistoricalPricesAdjusted!AU61-1,  "")</f>
        <v>-9.0938884400042386E-2</v>
      </c>
      <c r="AV62" s="37">
        <f>IFERROR(YHHistoricalPricesAdjusted!AV62/YHHistoricalPricesAdjusted!AV61-1,  "")</f>
        <v>-7.5944946489942544E-2</v>
      </c>
      <c r="AW62" s="37">
        <f>IFERROR(YHHistoricalPricesAdjusted!AW62/YHHistoricalPricesAdjusted!AW61-1,  "")</f>
        <v>1.4277469719111702E-2</v>
      </c>
      <c r="AX62" s="37">
        <f>IFERROR(YHHistoricalPricesAdjusted!AX62/YHHistoricalPricesAdjusted!AX61-1,  "")</f>
        <v>-6.6698392554991548E-2</v>
      </c>
      <c r="AY62" s="37">
        <f>IFERROR(YHHistoricalPricesAdjusted!AY62/YHHistoricalPricesAdjusted!AY61-1,  "")</f>
        <v>-6.1967146759103198E-2</v>
      </c>
      <c r="AZ62" s="37">
        <f>IFERROR(YHHistoricalPricesAdjusted!AZ62/YHHistoricalPricesAdjusted!AZ61-1,  "")</f>
        <v>8.6288156553484541E-3</v>
      </c>
      <c r="BA62" s="37">
        <f>IFERROR(YHHistoricalPricesAdjusted!BA62/YHHistoricalPricesAdjusted!BA61-1,  "")</f>
        <v>-2.7343817113264834E-2</v>
      </c>
      <c r="BB62" s="37">
        <f>IFERROR(YHHistoricalPricesAdjusted!BB62/YHHistoricalPricesAdjusted!BB61-1,  "")</f>
        <v>8.1634545243902457E-2</v>
      </c>
      <c r="BC62" s="37">
        <f>IFERROR(YHHistoricalPricesAdjusted!BC62/YHHistoricalPricesAdjusted!BC61-1,  "")</f>
        <v>8.4010806658835868E-2</v>
      </c>
      <c r="BD62" s="37">
        <f>IFERROR(YHHistoricalPricesAdjusted!BD62/YHHistoricalPricesAdjusted!BD61-1,  "")</f>
        <v>8.9545742531411232E-2</v>
      </c>
      <c r="BE62" s="37">
        <f>IFERROR(YHHistoricalPricesAdjusted!BE62/YHHistoricalPricesAdjusted!BE61-1,  "")</f>
        <v>5.4696869599197839E-2</v>
      </c>
      <c r="BF62" s="37">
        <f>IFERROR(YHHistoricalPricesAdjusted!BF62/YHHistoricalPricesAdjusted!BF61-1,  "")</f>
        <v>5.153882634093554E-2</v>
      </c>
      <c r="BG62" s="37">
        <f>IFERROR(YHHistoricalPricesAdjusted!BG62/YHHistoricalPricesAdjusted!BG61-1,  "")</f>
        <v>7.2392715971889565E-2</v>
      </c>
      <c r="BH62" s="37">
        <f>IFERROR(YHHistoricalPricesAdjusted!BH62/YHHistoricalPricesAdjusted!BH61-1,  "")</f>
        <v>8.4226150775750686E-2</v>
      </c>
      <c r="BI62" s="37">
        <f>IFERROR(YHHistoricalPricesAdjusted!BI62/YHHistoricalPricesAdjusted!BI61-1,  "")</f>
        <v>0.11654329920952855</v>
      </c>
      <c r="BJ62" s="37">
        <f>IFERROR(YHHistoricalPricesAdjusted!BJ62/YHHistoricalPricesAdjusted!BJ61-1,  "")</f>
        <v>0.13302746698349543</v>
      </c>
      <c r="BK62" s="37">
        <f>IFERROR(YHHistoricalPricesAdjusted!BK62/YHHistoricalPricesAdjusted!BK61-1,  "")</f>
        <v>9.0624153508001015E-4</v>
      </c>
      <c r="BL62" s="37">
        <f>IFERROR(YHHistoricalPricesAdjusted!BL62/YHHistoricalPricesAdjusted!BL61-1,  "")</f>
        <v>6.4281759603231237E-2</v>
      </c>
      <c r="BM62" s="37">
        <f>IFERROR(YHHistoricalPricesAdjusted!BM62/YHHistoricalPricesAdjusted!BM61-1,  "")</f>
        <v>4.1145089962062897E-2</v>
      </c>
      <c r="BN62" s="37">
        <f>IFERROR(YHHistoricalPricesAdjusted!BN62/YHHistoricalPricesAdjusted!BN61-1,  "")</f>
        <v>9.2779288571509522E-2</v>
      </c>
      <c r="BO62" s="37">
        <f>IFERROR(YHHistoricalPricesAdjusted!BO62/YHHistoricalPricesAdjusted!BO61-1,  "")</f>
        <v>4.5755582356998836E-2</v>
      </c>
      <c r="BP62" s="37">
        <f>IFERROR(YHHistoricalPricesAdjusted!BP62/YHHistoricalPricesAdjusted!BP61-1,  "")</f>
        <v>8.3359096001948796E-2</v>
      </c>
      <c r="BQ62" s="37">
        <f>IFERROR(YHHistoricalPricesAdjusted!BQ62/YHHistoricalPricesAdjusted!BQ61-1,  "")</f>
        <v>6.4311647231651836E-2</v>
      </c>
      <c r="BR62" s="37">
        <f>IFERROR(YHHistoricalPricesAdjusted!BR62/YHHistoricalPricesAdjusted!BR61-1,  "")</f>
        <v>8.7216662882453333E-2</v>
      </c>
      <c r="BS62" s="37">
        <f>IFERROR(YHHistoricalPricesAdjusted!BS62/YHHistoricalPricesAdjusted!BS61-1,  "")</f>
        <v>-1.6267868874344504E-2</v>
      </c>
      <c r="BT62" s="37">
        <f>IFERROR(YHHistoricalPricesAdjusted!BT62/YHHistoricalPricesAdjusted!BT61-1,  "")</f>
        <v>0.18651252832815435</v>
      </c>
      <c r="BU62" s="37">
        <f>IFERROR(YHHistoricalPricesAdjusted!BU62/YHHistoricalPricesAdjusted!BU61-1,  "")</f>
        <v>9.7072843951231391E-3</v>
      </c>
      <c r="BV62" s="37">
        <f>IFERROR(YHHistoricalPricesAdjusted!BV62/YHHistoricalPricesAdjusted!BV61-1,  "")</f>
        <v>0.11070841387708663</v>
      </c>
      <c r="BW62" s="37">
        <f>IFERROR(YHHistoricalPricesAdjusted!BW62/YHHistoricalPricesAdjusted!BW61-1,  "")</f>
        <v>4.2894243878960125E-2</v>
      </c>
      <c r="BX62" s="37">
        <f>IFERROR(YHHistoricalPricesAdjusted!BX62/YHHistoricalPricesAdjusted!BX61-1,  "")</f>
        <v>2.1537816489387573E-2</v>
      </c>
      <c r="BY62" s="37">
        <f>IFERROR(YHHistoricalPricesAdjusted!BY62/YHHistoricalPricesAdjusted!BY61-1,  "")</f>
        <v>0.11425218289390049</v>
      </c>
      <c r="BZ62" s="37">
        <f>IFERROR(YHHistoricalPricesAdjusted!BZ62/YHHistoricalPricesAdjusted!BZ61-1,  "")</f>
        <v>6.4139921677756728E-2</v>
      </c>
      <c r="CA62" s="37">
        <f>IFERROR(YHHistoricalPricesAdjusted!CA62/YHHistoricalPricesAdjusted!CA61-1,  "")</f>
        <v>9.3921791738914129E-2</v>
      </c>
      <c r="CB62" s="37">
        <f>IFERROR(YHHistoricalPricesAdjusted!CB62/YHHistoricalPricesAdjusted!CB61-1,  "")</f>
        <v>9.5263895799549747E-2</v>
      </c>
      <c r="CC62" s="37">
        <f>IFERROR(YHHistoricalPricesAdjusted!CC62/YHHistoricalPricesAdjusted!CC61-1,  "")</f>
        <v>0.27028423368804222</v>
      </c>
      <c r="CD62" s="37">
        <f>IFERROR(YHHistoricalPricesAdjusted!CD62/YHHistoricalPricesAdjusted!CD61-1,  "")</f>
        <v>5.9106832065352943E-2</v>
      </c>
      <c r="CE62" s="37">
        <f>IFERROR(YHHistoricalPricesAdjusted!CE62/YHHistoricalPricesAdjusted!CE61-1,  "")</f>
        <v>0.117254278987591</v>
      </c>
      <c r="CF62" s="37">
        <f>IFERROR(YHHistoricalPricesAdjusted!CF62/YHHistoricalPricesAdjusted!CF61-1,  "")</f>
        <v>6.3229622160253518E-2</v>
      </c>
    </row>
    <row r="63" spans="1:84" x14ac:dyDescent="0.25">
      <c r="A63" s="17">
        <v>43159</v>
      </c>
      <c r="B63" s="37">
        <f>IFERROR(YHHistoricalPricesAdjusted!B63/YHHistoricalPricesAdjusted!B62-1,  "")</f>
        <v>6.3847575729428119E-2</v>
      </c>
      <c r="C63" s="37">
        <f>IFERROR(YHHistoricalPricesAdjusted!C63/YHHistoricalPricesAdjusted!C62-1,  "")</f>
        <v>-0.12739637782648516</v>
      </c>
      <c r="D63" s="37">
        <f>IFERROR(YHHistoricalPricesAdjusted!D63/YHHistoricalPricesAdjusted!D62-1,  "")</f>
        <v>-4.807568609768309E-2</v>
      </c>
      <c r="E63" s="37">
        <f>IFERROR(YHHistoricalPricesAdjusted!E63/YHHistoricalPricesAdjusted!E62-1,  "")</f>
        <v>-5.0703911856150086E-2</v>
      </c>
      <c r="F63" s="37">
        <f>IFERROR(YHHistoricalPricesAdjusted!F63/YHHistoricalPricesAdjusted!F62-1,  "")</f>
        <v>-7.829841024018025E-2</v>
      </c>
      <c r="G63" s="37">
        <f>IFERROR(YHHistoricalPricesAdjusted!G63/YHHistoricalPricesAdjusted!G62-1,  "")</f>
        <v>-0.15562851180746418</v>
      </c>
      <c r="H63" s="37">
        <f>IFERROR(YHHistoricalPricesAdjusted!H63/YHHistoricalPricesAdjusted!H62-1,  "")</f>
        <v>-9.1825983258084887E-2</v>
      </c>
      <c r="I63" s="37">
        <f>IFERROR(YHHistoricalPricesAdjusted!I63/YHHistoricalPricesAdjusted!I62-1,  "")</f>
        <v>-0.14651673412450528</v>
      </c>
      <c r="J63" s="37">
        <f>IFERROR(YHHistoricalPricesAdjusted!J63/YHHistoricalPricesAdjusted!J62-1,  "")</f>
        <v>2.0629969418189509E-2</v>
      </c>
      <c r="K63" s="37">
        <f>IFERROR(YHHistoricalPricesAdjusted!K63/YHHistoricalPricesAdjusted!K62-1,  "")</f>
        <v>-2.4071868098489824E-2</v>
      </c>
      <c r="L63" s="37">
        <f>IFERROR(YHHistoricalPricesAdjusted!L63/YHHistoricalPricesAdjusted!L62-1,  "")</f>
        <v>-9.1825983258084887E-2</v>
      </c>
      <c r="M63" s="37">
        <f>IFERROR(YHHistoricalPricesAdjusted!M63/YHHistoricalPricesAdjusted!M62-1,  "")</f>
        <v>-8.7863660604800331E-2</v>
      </c>
      <c r="N63" s="37">
        <f>IFERROR(YHHistoricalPricesAdjusted!N63/YHHistoricalPricesAdjusted!N62-1,  "")</f>
        <v>2.2669282440655358E-2</v>
      </c>
      <c r="O63" s="37">
        <f>IFERROR(YHHistoricalPricesAdjusted!O63/YHHistoricalPricesAdjusted!O62-1,  "")</f>
        <v>-3.1751855898799697E-2</v>
      </c>
      <c r="P63" s="37">
        <f>IFERROR(YHHistoricalPricesAdjusted!P63/YHHistoricalPricesAdjusted!P62-1,  "")</f>
        <v>-0.13241693167059809</v>
      </c>
      <c r="Q63" s="37">
        <f>IFERROR(YHHistoricalPricesAdjusted!Q63/YHHistoricalPricesAdjusted!Q62-1,  "")</f>
        <v>-0.10714003802892325</v>
      </c>
      <c r="R63" s="37">
        <f>IFERROR(YHHistoricalPricesAdjusted!R63/YHHistoricalPricesAdjusted!R62-1,  "")</f>
        <v>-3.7232395180197719E-2</v>
      </c>
      <c r="S63" s="37">
        <f>IFERROR(YHHistoricalPricesAdjusted!S63/YHHistoricalPricesAdjusted!S62-1,  "")</f>
        <v>-3.8543443733345173E-2</v>
      </c>
      <c r="T63" s="37">
        <f>IFERROR(YHHistoricalPricesAdjusted!T63/YHHistoricalPricesAdjusted!T62-1,  "")</f>
        <v>-6.021294713230041E-2</v>
      </c>
      <c r="U63" s="37">
        <f>IFERROR(YHHistoricalPricesAdjusted!U63/YHHistoricalPricesAdjusted!U62-1,  "")</f>
        <v>-0.10000896720556085</v>
      </c>
      <c r="V63" s="37">
        <f>IFERROR(YHHistoricalPricesAdjusted!V63/YHHistoricalPricesAdjusted!V62-1,  "")</f>
        <v>1.7546517500450109E-2</v>
      </c>
      <c r="W63" s="37">
        <f>IFERROR(YHHistoricalPricesAdjusted!W63/YHHistoricalPricesAdjusted!W62-1,  "")</f>
        <v>-3.5897419539555386E-2</v>
      </c>
      <c r="X63" s="37">
        <f>IFERROR(YHHistoricalPricesAdjusted!X63/YHHistoricalPricesAdjusted!X62-1,  "")</f>
        <v>-4.7635329095613299E-3</v>
      </c>
      <c r="Y63" s="37">
        <f>IFERROR(YHHistoricalPricesAdjusted!Y63/YHHistoricalPricesAdjusted!Y62-1,  "")</f>
        <v>-6.0134594710705258E-2</v>
      </c>
      <c r="Z63" s="37">
        <f>IFERROR(YHHistoricalPricesAdjusted!Z63/YHHistoricalPricesAdjusted!Z62-1,  "")</f>
        <v>-1.9708473577425778E-2</v>
      </c>
      <c r="AA63" s="37">
        <f>IFERROR(YHHistoricalPricesAdjusted!AA63/YHHistoricalPricesAdjusted!AA62-1,  "")</f>
        <v>-8.48944815479038E-2</v>
      </c>
      <c r="AB63" s="37">
        <f>IFERROR(YHHistoricalPricesAdjusted!AB63/YHHistoricalPricesAdjusted!AB62-1,  "")</f>
        <v>-4.4851790599612196E-2</v>
      </c>
      <c r="AC63" s="37">
        <f>IFERROR(YHHistoricalPricesAdjusted!AC63/YHHistoricalPricesAdjusted!AC62-1,  "")</f>
        <v>-1.8881071628159107E-2</v>
      </c>
      <c r="AD63" s="37">
        <f>IFERROR(YHHistoricalPricesAdjusted!AD63/YHHistoricalPricesAdjusted!AD62-1,  "")</f>
        <v>-6.0082308838701914E-2</v>
      </c>
      <c r="AE63" s="37">
        <f>IFERROR(YHHistoricalPricesAdjusted!AE63/YHHistoricalPricesAdjusted!AE62-1,  "")</f>
        <v>-0.10193799999999997</v>
      </c>
      <c r="AF63" s="37">
        <f>IFERROR(YHHistoricalPricesAdjusted!AF63/YHHistoricalPricesAdjusted!AF62-1,  "")</f>
        <v>-3.4811681879994505E-2</v>
      </c>
      <c r="AG63" s="37">
        <f>IFERROR(YHHistoricalPricesAdjusted!AG63/YHHistoricalPricesAdjusted!AG62-1,  "")</f>
        <v>-0.14445794880519647</v>
      </c>
      <c r="AH63" s="37">
        <f>IFERROR(YHHistoricalPricesAdjusted!AH63/YHHistoricalPricesAdjusted!AH62-1,  "")</f>
        <v>-9.2732678847862737E-2</v>
      </c>
      <c r="AI63" s="37">
        <f>IFERROR(YHHistoricalPricesAdjusted!AI63/YHHistoricalPricesAdjusted!AI62-1,  "")</f>
        <v>-4.1604367987270074E-2</v>
      </c>
      <c r="AJ63" s="37">
        <f>IFERROR(YHHistoricalPricesAdjusted!AJ63/YHHistoricalPricesAdjusted!AJ62-1,  "")</f>
        <v>-0.17842349827137138</v>
      </c>
      <c r="AK63" s="37">
        <f>IFERROR(YHHistoricalPricesAdjusted!AK63/YHHistoricalPricesAdjusted!AK62-1,  "")</f>
        <v>-6.7268225066115628E-2</v>
      </c>
      <c r="AL63" s="37">
        <f>IFERROR(YHHistoricalPricesAdjusted!AL63/YHHistoricalPricesAdjusted!AL62-1,  "")</f>
        <v>-3.3994255990649092E-2</v>
      </c>
      <c r="AM63" s="37">
        <f>IFERROR(YHHistoricalPricesAdjusted!AM63/YHHistoricalPricesAdjusted!AM62-1,  "")</f>
        <v>1.612140557490771E-2</v>
      </c>
      <c r="AN63" s="37">
        <f>IFERROR(YHHistoricalPricesAdjusted!AN63/YHHistoricalPricesAdjusted!AN62-1,  "")</f>
        <v>-4.9569581386043948E-2</v>
      </c>
      <c r="AO63" s="37">
        <f>IFERROR(YHHistoricalPricesAdjusted!AO63/YHHistoricalPricesAdjusted!AO62-1,  "")</f>
        <v>-2.4344601256672704E-2</v>
      </c>
      <c r="AP63" s="37">
        <f>IFERROR(YHHistoricalPricesAdjusted!AP63/YHHistoricalPricesAdjusted!AP62-1,  "")</f>
        <v>2.5639842108113653E-2</v>
      </c>
      <c r="AQ63" s="37">
        <f>IFERROR(YHHistoricalPricesAdjusted!AQ63/YHHistoricalPricesAdjusted!AQ62-1,  "")</f>
        <v>-1.9552918476631431E-2</v>
      </c>
      <c r="AR63" s="37">
        <f>IFERROR(YHHistoricalPricesAdjusted!AR63/YHHistoricalPricesAdjusted!AR62-1,  "")</f>
        <v>-3.8029736668536929E-2</v>
      </c>
      <c r="AS63" s="37">
        <f>IFERROR(YHHistoricalPricesAdjusted!AS63/YHHistoricalPricesAdjusted!AS62-1,  "")</f>
        <v>-6.7567620960700236E-2</v>
      </c>
      <c r="AT63" s="37">
        <f>IFERROR(YHHistoricalPricesAdjusted!AT63/YHHistoricalPricesAdjusted!AT62-1,  "")</f>
        <v>-5.5785777210067722E-2</v>
      </c>
      <c r="AU63" s="37">
        <f>IFERROR(YHHistoricalPricesAdjusted!AU63/YHHistoricalPricesAdjusted!AU62-1,  "")</f>
        <v>-4.5809791784068743E-2</v>
      </c>
      <c r="AV63" s="37">
        <f>IFERROR(YHHistoricalPricesAdjusted!AV63/YHHistoricalPricesAdjusted!AV62-1,  "")</f>
        <v>-2.6767169230668353E-2</v>
      </c>
      <c r="AW63" s="37">
        <f>IFERROR(YHHistoricalPricesAdjusted!AW63/YHHistoricalPricesAdjusted!AW62-1,  "")</f>
        <v>-3.957835895076578E-2</v>
      </c>
      <c r="AX63" s="37">
        <f>IFERROR(YHHistoricalPricesAdjusted!AX63/YHHistoricalPricesAdjusted!AX62-1,  "")</f>
        <v>-4.0254807298702899E-2</v>
      </c>
      <c r="AY63" s="37">
        <f>IFERROR(YHHistoricalPricesAdjusted!AY63/YHHistoricalPricesAdjusted!AY62-1,  "")</f>
        <v>-4.5444426031923002E-2</v>
      </c>
      <c r="AZ63" s="37">
        <f>IFERROR(YHHistoricalPricesAdjusted!AZ63/YHHistoricalPricesAdjusted!AZ62-1,  "")</f>
        <v>1.8314439080472589E-2</v>
      </c>
      <c r="BA63" s="37">
        <f>IFERROR(YHHistoricalPricesAdjusted!BA63/YHHistoricalPricesAdjusted!BA62-1,  "")</f>
        <v>-4.6005330924916987E-2</v>
      </c>
      <c r="BB63" s="37">
        <f>IFERROR(YHHistoricalPricesAdjusted!BB63/YHHistoricalPricesAdjusted!BB62-1,  "")</f>
        <v>3.7320036099230958E-3</v>
      </c>
      <c r="BC63" s="37">
        <f>IFERROR(YHHistoricalPricesAdjusted!BC63/YHHistoricalPricesAdjusted!BC62-1,  "")</f>
        <v>3.124963437535655E-3</v>
      </c>
      <c r="BD63" s="37">
        <f>IFERROR(YHHistoricalPricesAdjusted!BD63/YHHistoricalPricesAdjusted!BD62-1,  "")</f>
        <v>-1.0383964487779673E-2</v>
      </c>
      <c r="BE63" s="37">
        <f>IFERROR(YHHistoricalPricesAdjusted!BE63/YHHistoricalPricesAdjusted!BE62-1,  "")</f>
        <v>-3.809888859050925E-2</v>
      </c>
      <c r="BF63" s="37">
        <f>IFERROR(YHHistoricalPricesAdjusted!BF63/YHHistoricalPricesAdjusted!BF62-1,  "")</f>
        <v>-1.8515139864587082E-2</v>
      </c>
      <c r="BG63" s="37">
        <f>IFERROR(YHHistoricalPricesAdjusted!BG63/YHHistoricalPricesAdjusted!BG62-1,  "")</f>
        <v>-4.8652395663963177E-2</v>
      </c>
      <c r="BH63" s="37">
        <f>IFERROR(YHHistoricalPricesAdjusted!BH63/YHHistoricalPricesAdjusted!BH62-1,  "")</f>
        <v>-0.11204014546628149</v>
      </c>
      <c r="BI63" s="37">
        <f>IFERROR(YHHistoricalPricesAdjusted!BI63/YHHistoricalPricesAdjusted!BI62-1,  "")</f>
        <v>4.1637417175652391E-2</v>
      </c>
      <c r="BJ63" s="37">
        <f>IFERROR(YHHistoricalPricesAdjusted!BJ63/YHHistoricalPricesAdjusted!BJ62-1,  "")</f>
        <v>-6.3811022282933005E-2</v>
      </c>
      <c r="BK63" s="37">
        <f>IFERROR(YHHistoricalPricesAdjusted!BK63/YHHistoricalPricesAdjusted!BK62-1,  "")</f>
        <v>-1.5552878509063728E-2</v>
      </c>
      <c r="BL63" s="37">
        <f>IFERROR(YHHistoricalPricesAdjusted!BL63/YHHistoricalPricesAdjusted!BL62-1,  "")</f>
        <v>-5.9840328266833498E-2</v>
      </c>
      <c r="BM63" s="37">
        <f>IFERROR(YHHistoricalPricesAdjusted!BM63/YHHistoricalPricesAdjusted!BM62-1,  "")</f>
        <v>-5.3610550633898968E-2</v>
      </c>
      <c r="BN63" s="37">
        <f>IFERROR(YHHistoricalPricesAdjusted!BN63/YHHistoricalPricesAdjusted!BN62-1,  "")</f>
        <v>-3.455764725068744E-2</v>
      </c>
      <c r="BO63" s="37">
        <f>IFERROR(YHHistoricalPricesAdjusted!BO63/YHHistoricalPricesAdjusted!BO62-1,  "")</f>
        <v>-7.0420871312362743E-2</v>
      </c>
      <c r="BP63" s="37">
        <f>IFERROR(YHHistoricalPricesAdjusted!BP63/YHHistoricalPricesAdjusted!BP62-1,  "")</f>
        <v>-1.8084691160364597E-2</v>
      </c>
      <c r="BQ63" s="37">
        <f>IFERROR(YHHistoricalPricesAdjusted!BQ63/YHHistoricalPricesAdjusted!BQ62-1,  "")</f>
        <v>-0.10547872232976852</v>
      </c>
      <c r="BR63" s="37">
        <f>IFERROR(YHHistoricalPricesAdjusted!BR63/YHHistoricalPricesAdjusted!BR62-1,  "")</f>
        <v>-4.3935462625991351E-2</v>
      </c>
      <c r="BS63" s="37">
        <f>IFERROR(YHHistoricalPricesAdjusted!BS63/YHHistoricalPricesAdjusted!BS62-1,  "")</f>
        <v>-6.7144397832491265E-2</v>
      </c>
      <c r="BT63" s="37">
        <f>IFERROR(YHHistoricalPricesAdjusted!BT63/YHHistoricalPricesAdjusted!BT62-1,  "")</f>
        <v>0.12163035493243401</v>
      </c>
      <c r="BU63" s="37">
        <f>IFERROR(YHHistoricalPricesAdjusted!BU63/YHHistoricalPricesAdjusted!BU62-1,  "")</f>
        <v>-0.11749593121590829</v>
      </c>
      <c r="BV63" s="37">
        <f>IFERROR(YHHistoricalPricesAdjusted!BV63/YHHistoricalPricesAdjusted!BV62-1,  "")</f>
        <v>-1.3051317156678399E-2</v>
      </c>
      <c r="BW63" s="37">
        <f>IFERROR(YHHistoricalPricesAdjusted!BW63/YHHistoricalPricesAdjusted!BW62-1,  "")</f>
        <v>2.3888728376437074E-2</v>
      </c>
      <c r="BX63" s="37">
        <f>IFERROR(YHHistoricalPricesAdjusted!BX63/YHHistoricalPricesAdjusted!BX62-1,  "")</f>
        <v>-0.10701390238798192</v>
      </c>
      <c r="BY63" s="37">
        <f>IFERROR(YHHistoricalPricesAdjusted!BY63/YHHistoricalPricesAdjusted!BY62-1,  "")</f>
        <v>2.0542497742340515E-2</v>
      </c>
      <c r="BZ63" s="37">
        <f>IFERROR(YHHistoricalPricesAdjusted!BZ63/YHHistoricalPricesAdjusted!BZ62-1,  "")</f>
        <v>-3.8282190608985855E-3</v>
      </c>
      <c r="CA63" s="37">
        <f>IFERROR(YHHistoricalPricesAdjusted!CA63/YHHistoricalPricesAdjusted!CA62-1,  "")</f>
        <v>0.12193627942090557</v>
      </c>
      <c r="CB63" s="37">
        <f>IFERROR(YHHistoricalPricesAdjusted!CB63/YHHistoricalPricesAdjusted!CB62-1,  "")</f>
        <v>-1.0578361048377172E-2</v>
      </c>
      <c r="CC63" s="37">
        <f>IFERROR(YHHistoricalPricesAdjusted!CC63/YHHistoricalPricesAdjusted!CC62-1,  "")</f>
        <v>-1.5459715604735247E-2</v>
      </c>
      <c r="CD63" s="37">
        <f>IFERROR(YHHistoricalPricesAdjusted!CD63/YHHistoricalPricesAdjusted!CD62-1,  "")</f>
        <v>-4.5855808474802306E-2</v>
      </c>
      <c r="CE63" s="37">
        <f>IFERROR(YHHistoricalPricesAdjusted!CE63/YHHistoricalPricesAdjusted!CE62-1,  "")</f>
        <v>3.0016803630106281E-3</v>
      </c>
      <c r="CF63" s="37">
        <f>IFERROR(YHHistoricalPricesAdjusted!CF63/YHHistoricalPricesAdjusted!CF62-1,  "")</f>
        <v>0.1164226871815488</v>
      </c>
    </row>
    <row r="64" spans="1:84" x14ac:dyDescent="0.25">
      <c r="A64" s="17">
        <v>43190</v>
      </c>
      <c r="B64" s="37">
        <f>IFERROR(YHHistoricalPricesAdjusted!B64/YHHistoricalPricesAdjusted!B63-1,  "")</f>
        <v>-5.4210300574369596E-2</v>
      </c>
      <c r="C64" s="37">
        <f>IFERROR(YHHistoricalPricesAdjusted!C64/YHHistoricalPricesAdjusted!C63-1,  "")</f>
        <v>-3.6742830201056287E-2</v>
      </c>
      <c r="D64" s="37">
        <f>IFERROR(YHHistoricalPricesAdjusted!D64/YHHistoricalPricesAdjusted!D63-1,  "")</f>
        <v>-5.7073553921235254E-3</v>
      </c>
      <c r="E64" s="37">
        <f>IFERROR(YHHistoricalPricesAdjusted!E64/YHHistoricalPricesAdjusted!E63-1,  "")</f>
        <v>-2.6366827205628995E-2</v>
      </c>
      <c r="F64" s="37">
        <f>IFERROR(YHHistoricalPricesAdjusted!F64/YHHistoricalPricesAdjusted!F63-1,  "")</f>
        <v>-2.3500212924068009E-3</v>
      </c>
      <c r="G64" s="37">
        <f>IFERROR(YHHistoricalPricesAdjusted!G64/YHHistoricalPricesAdjusted!G63-1,  "")</f>
        <v>-1.1554267958060471E-2</v>
      </c>
      <c r="H64" s="37">
        <f>IFERROR(YHHistoricalPricesAdjusted!H64/YHHistoricalPricesAdjusted!H63-1,  "")</f>
        <v>4.8588043046540186E-3</v>
      </c>
      <c r="I64" s="37">
        <f>IFERROR(YHHistoricalPricesAdjusted!I64/YHHistoricalPricesAdjusted!I63-1,  "")</f>
        <v>-3.1932648992566204E-2</v>
      </c>
      <c r="J64" s="37">
        <f>IFERROR(YHHistoricalPricesAdjusted!J64/YHHistoricalPricesAdjusted!J63-1,  "")</f>
        <v>5.9334886867453474E-2</v>
      </c>
      <c r="K64" s="37">
        <f>IFERROR(YHHistoricalPricesAdjusted!K64/YHHistoricalPricesAdjusted!K63-1,  "")</f>
        <v>-3.1426529059738861E-2</v>
      </c>
      <c r="L64" s="37">
        <f>IFERROR(YHHistoricalPricesAdjusted!L64/YHHistoricalPricesAdjusted!L63-1,  "")</f>
        <v>4.8588043046540186E-3</v>
      </c>
      <c r="M64" s="37">
        <f>IFERROR(YHHistoricalPricesAdjusted!M64/YHHistoricalPricesAdjusted!M63-1,  "")</f>
        <v>-5.2857010249519609E-3</v>
      </c>
      <c r="N64" s="37">
        <f>IFERROR(YHHistoricalPricesAdjusted!N64/YHHistoricalPricesAdjusted!N63-1,  "")</f>
        <v>-3.7683568855638838E-2</v>
      </c>
      <c r="O64" s="37">
        <f>IFERROR(YHHistoricalPricesAdjusted!O64/YHHistoricalPricesAdjusted!O63-1,  "")</f>
        <v>-0.22424646839763585</v>
      </c>
      <c r="P64" s="37">
        <f>IFERROR(YHHistoricalPricesAdjusted!P64/YHHistoricalPricesAdjusted!P63-1,  "")</f>
        <v>-4.8462824980340935E-3</v>
      </c>
      <c r="Q64" s="37">
        <f>IFERROR(YHHistoricalPricesAdjusted!Q64/YHHistoricalPricesAdjusted!Q63-1,  "")</f>
        <v>2.9085396571779443E-2</v>
      </c>
      <c r="R64" s="37">
        <f>IFERROR(YHHistoricalPricesAdjusted!R64/YHHistoricalPricesAdjusted!R63-1,  "")</f>
        <v>-2.1447150114770608E-2</v>
      </c>
      <c r="S64" s="37">
        <f>IFERROR(YHHistoricalPricesAdjusted!S64/YHHistoricalPricesAdjusted!S63-1,  "")</f>
        <v>2.8637679685138195E-2</v>
      </c>
      <c r="T64" s="37">
        <f>IFERROR(YHHistoricalPricesAdjusted!T64/YHHistoricalPricesAdjusted!T63-1,  "")</f>
        <v>-3.0725618685131795E-2</v>
      </c>
      <c r="U64" s="37">
        <f>IFERROR(YHHistoricalPricesAdjusted!U64/YHHistoricalPricesAdjusted!U63-1,  "")</f>
        <v>-7.6570774804109121E-2</v>
      </c>
      <c r="V64" s="37">
        <f>IFERROR(YHHistoricalPricesAdjusted!V64/YHHistoricalPricesAdjusted!V63-1,  "")</f>
        <v>-5.4146044786787861E-2</v>
      </c>
      <c r="W64" s="37">
        <f>IFERROR(YHHistoricalPricesAdjusted!W64/YHHistoricalPricesAdjusted!W63-1,  "")</f>
        <v>-7.6646828645167586E-2</v>
      </c>
      <c r="X64" s="37">
        <f>IFERROR(YHHistoricalPricesAdjusted!X64/YHHistoricalPricesAdjusted!X63-1,  "")</f>
        <v>-3.9947896768793734E-2</v>
      </c>
      <c r="Y64" s="37">
        <f>IFERROR(YHHistoricalPricesAdjusted!Y64/YHHistoricalPricesAdjusted!Y63-1,  "")</f>
        <v>-7.0019345989824622E-3</v>
      </c>
      <c r="Z64" s="37">
        <f>IFERROR(YHHistoricalPricesAdjusted!Z64/YHHistoricalPricesAdjusted!Z63-1,  "")</f>
        <v>-1.3528144604702641E-2</v>
      </c>
      <c r="AA64" s="37">
        <f>IFERROR(YHHistoricalPricesAdjusted!AA64/YHHistoricalPricesAdjusted!AA63-1,  "")</f>
        <v>4.6108677755702931E-3</v>
      </c>
      <c r="AB64" s="37">
        <f>IFERROR(YHHistoricalPricesAdjusted!AB64/YHHistoricalPricesAdjusted!AB63-1,  "")</f>
        <v>-5.3767250296173352E-2</v>
      </c>
      <c r="AC64" s="37">
        <f>IFERROR(YHHistoricalPricesAdjusted!AC64/YHHistoricalPricesAdjusted!AC63-1,  "")</f>
        <v>-1.9290247410726602E-2</v>
      </c>
      <c r="AD64" s="37">
        <f>IFERROR(YHHistoricalPricesAdjusted!AD64/YHHistoricalPricesAdjusted!AD63-1,  "")</f>
        <v>3.774763286013183E-2</v>
      </c>
      <c r="AE64" s="37">
        <f>IFERROR(YHHistoricalPricesAdjusted!AE64/YHHistoricalPricesAdjusted!AE63-1,  "")</f>
        <v>-3.0125136471733094E-2</v>
      </c>
      <c r="AF64" s="37">
        <f>IFERROR(YHHistoricalPricesAdjusted!AF64/YHHistoricalPricesAdjusted!AF63-1,  "")</f>
        <v>6.0111664592732428E-3</v>
      </c>
      <c r="AG64" s="37">
        <f>IFERROR(YHHistoricalPricesAdjusted!AG64/YHHistoricalPricesAdjusted!AG63-1,  "")</f>
        <v>9.5993852170423111E-2</v>
      </c>
      <c r="AH64" s="37">
        <f>IFERROR(YHHistoricalPricesAdjusted!AH64/YHHistoricalPricesAdjusted!AH63-1,  "")</f>
        <v>-2.2110018882240734E-2</v>
      </c>
      <c r="AI64" s="37">
        <f>IFERROR(YHHistoricalPricesAdjusted!AI64/YHHistoricalPricesAdjusted!AI63-1,  "")</f>
        <v>-3.4793460842624468E-2</v>
      </c>
      <c r="AJ64" s="37">
        <f>IFERROR(YHHistoricalPricesAdjusted!AJ64/YHHistoricalPricesAdjusted!AJ63-1,  "")</f>
        <v>4.9824083354477411E-2</v>
      </c>
      <c r="AK64" s="37">
        <f>IFERROR(YHHistoricalPricesAdjusted!AK64/YHHistoricalPricesAdjusted!AK63-1,  "")</f>
        <v>-1.1659987730186838E-2</v>
      </c>
      <c r="AL64" s="37">
        <f>IFERROR(YHHistoricalPricesAdjusted!AL64/YHHistoricalPricesAdjusted!AL63-1,  "")</f>
        <v>-5.5255453850205027E-2</v>
      </c>
      <c r="AM64" s="37">
        <f>IFERROR(YHHistoricalPricesAdjusted!AM64/YHHistoricalPricesAdjusted!AM63-1,  "")</f>
        <v>-0.13291631203092746</v>
      </c>
      <c r="AN64" s="37">
        <f>IFERROR(YHHistoricalPricesAdjusted!AN64/YHHistoricalPricesAdjusted!AN63-1,  "")</f>
        <v>-1.3070984928073015E-2</v>
      </c>
      <c r="AO64" s="37">
        <f>IFERROR(YHHistoricalPricesAdjusted!AO64/YHHistoricalPricesAdjusted!AO63-1,  "")</f>
        <v>3.7549379399488769E-2</v>
      </c>
      <c r="AP64" s="37">
        <f>IFERROR(YHHistoricalPricesAdjusted!AP64/YHHistoricalPricesAdjusted!AP63-1,  "")</f>
        <v>5.0132621756539431E-2</v>
      </c>
      <c r="AQ64" s="37">
        <f>IFERROR(YHHistoricalPricesAdjusted!AQ64/YHHistoricalPricesAdjusted!AQ63-1,  "")</f>
        <v>1.4760783081426032E-2</v>
      </c>
      <c r="AR64" s="37">
        <f>IFERROR(YHHistoricalPricesAdjusted!AR64/YHHistoricalPricesAdjusted!AR63-1,  "")</f>
        <v>3.717082464247623E-3</v>
      </c>
      <c r="AS64" s="37">
        <f>IFERROR(YHHistoricalPricesAdjusted!AS64/YHHistoricalPricesAdjusted!AS63-1,  "")</f>
        <v>-1.3479602836687032E-2</v>
      </c>
      <c r="AT64" s="37">
        <f>IFERROR(YHHistoricalPricesAdjusted!AT64/YHHistoricalPricesAdjusted!AT63-1,  "")</f>
        <v>2.1946178325431553E-3</v>
      </c>
      <c r="AU64" s="37">
        <f>IFERROR(YHHistoricalPricesAdjusted!AU64/YHHistoricalPricesAdjusted!AU63-1,  "")</f>
        <v>4.0382011871629375E-2</v>
      </c>
      <c r="AV64" s="37">
        <f>IFERROR(YHHistoricalPricesAdjusted!AV64/YHHistoricalPricesAdjusted!AV63-1,  "")</f>
        <v>0.17897457647338944</v>
      </c>
      <c r="AW64" s="37">
        <f>IFERROR(YHHistoricalPricesAdjusted!AW64/YHHistoricalPricesAdjusted!AW63-1,  "")</f>
        <v>8.1160291970335141E-2</v>
      </c>
      <c r="AX64" s="37">
        <f>IFERROR(YHHistoricalPricesAdjusted!AX64/YHHistoricalPricesAdjusted!AX63-1,  "")</f>
        <v>4.0541159298763674E-2</v>
      </c>
      <c r="AY64" s="37">
        <f>IFERROR(YHHistoricalPricesAdjusted!AY64/YHHistoricalPricesAdjusted!AY63-1,  "")</f>
        <v>5.0835224589675931E-2</v>
      </c>
      <c r="AZ64" s="37">
        <f>IFERROR(YHHistoricalPricesAdjusted!AZ64/YHHistoricalPricesAdjusted!AZ63-1,  "")</f>
        <v>2.0554208756027759E-2</v>
      </c>
      <c r="BA64" s="37">
        <f>IFERROR(YHHistoricalPricesAdjusted!BA64/YHHistoricalPricesAdjusted!BA63-1,  "")</f>
        <v>4.4859186102349957E-2</v>
      </c>
      <c r="BB64" s="37">
        <f>IFERROR(YHHistoricalPricesAdjusted!BB64/YHHistoricalPricesAdjusted!BB63-1,  "")</f>
        <v>-4.7878781507932344E-2</v>
      </c>
      <c r="BC64" s="37">
        <f>IFERROR(YHHistoricalPricesAdjusted!BC64/YHHistoricalPricesAdjusted!BC63-1,  "")</f>
        <v>-6.573202412332857E-2</v>
      </c>
      <c r="BD64" s="37">
        <f>IFERROR(YHHistoricalPricesAdjusted!BD64/YHHistoricalPricesAdjusted!BD63-1,  "")</f>
        <v>-2.5311094380300991E-2</v>
      </c>
      <c r="BE64" s="37">
        <f>IFERROR(YHHistoricalPricesAdjusted!BE64/YHHistoricalPricesAdjusted!BE63-1,  "")</f>
        <v>-0.10221441806403109</v>
      </c>
      <c r="BF64" s="37">
        <f>IFERROR(YHHistoricalPricesAdjusted!BF64/YHHistoricalPricesAdjusted!BF63-1,  "")</f>
        <v>-3.941356018825759E-2</v>
      </c>
      <c r="BG64" s="37">
        <f>IFERROR(YHHistoricalPricesAdjusted!BG64/YHHistoricalPricesAdjusted!BG63-1,  "")</f>
        <v>-7.1008130690685345E-2</v>
      </c>
      <c r="BH64" s="37">
        <f>IFERROR(YHHistoricalPricesAdjusted!BH64/YHHistoricalPricesAdjusted!BH63-1,  "")</f>
        <v>-9.7370553103286905E-2</v>
      </c>
      <c r="BI64" s="37">
        <f>IFERROR(YHHistoricalPricesAdjusted!BI64/YHHistoricalPricesAdjusted!BI63-1,  "")</f>
        <v>-3.413690438341499E-3</v>
      </c>
      <c r="BJ64" s="37">
        <f>IFERROR(YHHistoricalPricesAdjusted!BJ64/YHHistoricalPricesAdjusted!BJ63-1,  "")</f>
        <v>-4.6579330422125254E-2</v>
      </c>
      <c r="BK64" s="37">
        <f>IFERROR(YHHistoricalPricesAdjusted!BK64/YHHistoricalPricesAdjusted!BK63-1,  "")</f>
        <v>-4.338017292900076E-2</v>
      </c>
      <c r="BL64" s="37">
        <f>IFERROR(YHHistoricalPricesAdjusted!BL64/YHHistoricalPricesAdjusted!BL63-1,  "")</f>
        <v>-6.2398910346275316E-2</v>
      </c>
      <c r="BM64" s="37">
        <f>IFERROR(YHHistoricalPricesAdjusted!BM64/YHHistoricalPricesAdjusted!BM63-1,  "")</f>
        <v>-3.9029539631826871E-2</v>
      </c>
      <c r="BN64" s="37">
        <f>IFERROR(YHHistoricalPricesAdjusted!BN64/YHHistoricalPricesAdjusted!BN63-1,  "")</f>
        <v>1.3295755314342017E-3</v>
      </c>
      <c r="BO64" s="37">
        <f>IFERROR(YHHistoricalPricesAdjusted!BO64/YHHistoricalPricesAdjusted!BO63-1,  "")</f>
        <v>-2.9608512024109745E-2</v>
      </c>
      <c r="BP64" s="37">
        <f>IFERROR(YHHistoricalPricesAdjusted!BP64/YHHistoricalPricesAdjusted!BP63-1,  "")</f>
        <v>2.0356963759248892E-2</v>
      </c>
      <c r="BQ64" s="37">
        <f>IFERROR(YHHistoricalPricesAdjusted!BQ64/YHHistoricalPricesAdjusted!BQ63-1,  "")</f>
        <v>-2.9852764097917261E-2</v>
      </c>
      <c r="BR64" s="37">
        <f>IFERROR(YHHistoricalPricesAdjusted!BR64/YHHistoricalPricesAdjusted!BR63-1,  "")</f>
        <v>4.1739706686994671E-2</v>
      </c>
      <c r="BS64" s="37">
        <f>IFERROR(YHHistoricalPricesAdjusted!BS64/YHHistoricalPricesAdjusted!BS63-1,  "")</f>
        <v>1.9130989356905603E-2</v>
      </c>
      <c r="BT64" s="37">
        <f>IFERROR(YHHistoricalPricesAdjusted!BT64/YHHistoricalPricesAdjusted!BT63-1,  "")</f>
        <v>7.6010062805922374E-3</v>
      </c>
      <c r="BU64" s="37">
        <f>IFERROR(YHHistoricalPricesAdjusted!BU64/YHHistoricalPricesAdjusted!BU63-1,  "")</f>
        <v>2.9438677754677789E-2</v>
      </c>
      <c r="BV64" s="37">
        <f>IFERROR(YHHistoricalPricesAdjusted!BV64/YHHistoricalPricesAdjusted!BV63-1,  "")</f>
        <v>-2.2088730894956665E-2</v>
      </c>
      <c r="BW64" s="37">
        <f>IFERROR(YHHistoricalPricesAdjusted!BW64/YHHistoricalPricesAdjusted!BW63-1,  "")</f>
        <v>6.377204934554026E-2</v>
      </c>
      <c r="BX64" s="37">
        <f>IFERROR(YHHistoricalPricesAdjusted!BX64/YHHistoricalPricesAdjusted!BX63-1,  "")</f>
        <v>1.6757669719473789E-3</v>
      </c>
      <c r="BY64" s="37">
        <f>IFERROR(YHHistoricalPricesAdjusted!BY64/YHHistoricalPricesAdjusted!BY63-1,  "")</f>
        <v>4.3013333333341564E-4</v>
      </c>
      <c r="BZ64" s="37">
        <f>IFERROR(YHHistoricalPricesAdjusted!BZ64/YHHistoricalPricesAdjusted!BZ63-1,  "")</f>
        <v>3.889493452015369E-2</v>
      </c>
      <c r="CA64" s="37">
        <f>IFERROR(YHHistoricalPricesAdjusted!CA64/YHHistoricalPricesAdjusted!CA63-1,  "")</f>
        <v>1.4314797054876482E-2</v>
      </c>
      <c r="CB64" s="37">
        <f>IFERROR(YHHistoricalPricesAdjusted!CB64/YHHistoricalPricesAdjusted!CB63-1,  "")</f>
        <v>-2.0320119790920077E-2</v>
      </c>
      <c r="CC64" s="37">
        <f>IFERROR(YHHistoricalPricesAdjusted!CC64/YHHistoricalPricesAdjusted!CC63-1,  "")</f>
        <v>-4.2421822138204779E-2</v>
      </c>
      <c r="CD64" s="37">
        <f>IFERROR(YHHistoricalPricesAdjusted!CD64/YHHistoricalPricesAdjusted!CD63-1,  "")</f>
        <v>-0.10391438578173673</v>
      </c>
      <c r="CE64" s="37">
        <f>IFERROR(YHHistoricalPricesAdjusted!CE64/YHHistoricalPricesAdjusted!CE63-1,  "")</f>
        <v>-6.2847287162309473E-2</v>
      </c>
      <c r="CF64" s="37">
        <f>IFERROR(YHHistoricalPricesAdjusted!CF64/YHHistoricalPricesAdjusted!CF63-1,  "")</f>
        <v>6.8223682273639064E-2</v>
      </c>
    </row>
  </sheetData>
  <mergeCells count="3">
    <mergeCell ref="A1:P1"/>
    <mergeCell ref="Q1:AE1"/>
    <mergeCell ref="AF1:AT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57</vt:i4>
      </vt:variant>
    </vt:vector>
  </HeadingPairs>
  <TitlesOfParts>
    <vt:vector size="62" baseType="lpstr">
      <vt:lpstr>GetHistoricalPriceYahoo</vt:lpstr>
      <vt:lpstr>GetRecentPriceYahoo</vt:lpstr>
      <vt:lpstr>YHHistoricalPrices</vt:lpstr>
      <vt:lpstr>YHHistoricalPricesAdjusted</vt:lpstr>
      <vt:lpstr>YHCalculatedReturns</vt:lpstr>
      <vt:lpstr>JSONResponseArea</vt:lpstr>
      <vt:lpstr>JSONstart</vt:lpstr>
      <vt:lpstr>ResPriceAdjHeadingStart</vt:lpstr>
      <vt:lpstr>ResPriceHeadingStart</vt:lpstr>
      <vt:lpstr>ResReturnHeadingStart</vt:lpstr>
      <vt:lpstr>YHappDay</vt:lpstr>
      <vt:lpstr>YHappMonth</vt:lpstr>
      <vt:lpstr>YHappUserDay</vt:lpstr>
      <vt:lpstr>YHappUserMonth</vt:lpstr>
      <vt:lpstr>YHappUserYear</vt:lpstr>
      <vt:lpstr>YHappYear</vt:lpstr>
      <vt:lpstr>YHBegDateDaily</vt:lpstr>
      <vt:lpstr>YHBegDateMonthly</vt:lpstr>
      <vt:lpstr>YHCookie</vt:lpstr>
      <vt:lpstr>YHCrumb</vt:lpstr>
      <vt:lpstr>YHCurrentTicker</vt:lpstr>
      <vt:lpstr>YHDataAreaAdjClose</vt:lpstr>
      <vt:lpstr>YHDataAreaClose</vt:lpstr>
      <vt:lpstr>YHDataAreaDate</vt:lpstr>
      <vt:lpstr>YHDataAreaEnd</vt:lpstr>
      <vt:lpstr>YHDataAreaHeadingEnd</vt:lpstr>
      <vt:lpstr>YHDataAreaHeadingStart</vt:lpstr>
      <vt:lpstr>YHDataAreaNumberHeadings</vt:lpstr>
      <vt:lpstr>YHDataAreaTicker</vt:lpstr>
      <vt:lpstr>YHDataAreaUpHeadingTicker</vt:lpstr>
      <vt:lpstr>YHDataAreaVolume</vt:lpstr>
      <vt:lpstr>YHDataType</vt:lpstr>
      <vt:lpstr>YHDebugFlag</vt:lpstr>
      <vt:lpstr>YHEndDateDaily</vt:lpstr>
      <vt:lpstr>YHEndDateMonthly</vt:lpstr>
      <vt:lpstr>YHErrorCount</vt:lpstr>
      <vt:lpstr>YHErrorsMessageHeading</vt:lpstr>
      <vt:lpstr>YHErrorsTickerHeading</vt:lpstr>
      <vt:lpstr>YHErrorsURLHeading</vt:lpstr>
      <vt:lpstr>YHExtractMethod</vt:lpstr>
      <vt:lpstr>YHFactoryArea1</vt:lpstr>
      <vt:lpstr>YHFactoryArea2</vt:lpstr>
      <vt:lpstr>YHFactoryPeriod</vt:lpstr>
      <vt:lpstr>YHInputArea1</vt:lpstr>
      <vt:lpstr>YHInputArea2</vt:lpstr>
      <vt:lpstr>YHNumPeriod</vt:lpstr>
      <vt:lpstr>YHOptCSV</vt:lpstr>
      <vt:lpstr>YHOptWorkArea</vt:lpstr>
      <vt:lpstr>YHOptWorksheet</vt:lpstr>
      <vt:lpstr>YHPeriod</vt:lpstr>
      <vt:lpstr>YHPriceInfoSwitch</vt:lpstr>
      <vt:lpstr>YHProcess</vt:lpstr>
      <vt:lpstr>YHRecentTickerEnding</vt:lpstr>
      <vt:lpstr>YHRecentTickerHeading</vt:lpstr>
      <vt:lpstr>YHResponseHeadingEnd</vt:lpstr>
      <vt:lpstr>YHResponseHeadingStart</vt:lpstr>
      <vt:lpstr>YHStatus</vt:lpstr>
      <vt:lpstr>YHSummaryErrorHeading</vt:lpstr>
      <vt:lpstr>YHSummaryHistoricalDateHeading</vt:lpstr>
      <vt:lpstr>YHSummaryPriceHeading</vt:lpstr>
      <vt:lpstr>YHTickerInputHeading</vt:lpstr>
      <vt:lpstr>YHWarningCount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 mu</dc:creator>
  <cp:lastModifiedBy>wei mu</cp:lastModifiedBy>
  <dcterms:created xsi:type="dcterms:W3CDTF">2018-04-24T10:03:28Z</dcterms:created>
  <dcterms:modified xsi:type="dcterms:W3CDTF">2019-05-16T02:56:46Z</dcterms:modified>
</cp:coreProperties>
</file>